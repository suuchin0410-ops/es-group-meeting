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収支予測" sheetId="1" r:id="rId4"/>
    <sheet state="visible" name="単位計算" sheetId="2" r:id="rId5"/>
    <sheet state="visible" name="予測PL (2025.04-)" sheetId="3" r:id="rId6"/>
    <sheet state="visible" name="A型" sheetId="4" r:id="rId7"/>
    <sheet state="visible" name="B型" sheetId="5" r:id="rId8"/>
    <sheet state="visible" name="共通費" sheetId="6" r:id="rId9"/>
    <sheet state="visible" name="予測PL (2024)" sheetId="7" r:id="rId10"/>
    <sheet state="visible" name="予測PL (2023)" sheetId="8" r:id="rId11"/>
    <sheet state="visible" name="予測PL (2022)" sheetId="9" r:id="rId12"/>
    <sheet state="visible" name="予測PL (2021)" sheetId="10" r:id="rId13"/>
    <sheet state="visible" name="予算PL (2021)" sheetId="11" r:id="rId14"/>
    <sheet state="visible" name="実際PL  (2021)" sheetId="12" r:id="rId15"/>
    <sheet state="visible" name="予算PL" sheetId="13" r:id="rId16"/>
    <sheet state="visible" name="実際PL " sheetId="14" r:id="rId17"/>
    <sheet state="visible" name="予測PL" sheetId="15" r:id="rId18"/>
    <sheet state="visible" name="前期実際PL" sheetId="16" r:id="rId19"/>
    <sheet state="visible" name="税込PL" sheetId="17" r:id="rId20"/>
  </sheets>
  <definedNames/>
  <calcPr/>
  <extLst>
    <ext uri="GoogleSheetsCustomDataVersion2">
      <go:sheetsCustomData xmlns:go="http://customooxmlschemas.google.com/" r:id="rId21" roundtripDataChecksum="MddAM2nIeW+s4piDSKC5vtM0OfG1rGfg4vymiGd3MK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81">
      <text>
        <t xml:space="preserve">======
ID#AAABwUf9KAs
tc={7DEA5A84-54E2-4FA2-A7F7-4C99EB7993C3}    (2025-12-15 05:41:01)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エンターに貸付</t>
      </text>
    </comment>
    <comment authorId="0" ref="S43">
      <text>
        <t xml:space="preserve">======
ID#AAABwUf9KAo
Windows ユーザー    (2025-12-15 05:41:01)
ｷｬﾘｱｱｯﾌﾟ助成金90%</t>
      </text>
    </comment>
    <comment authorId="0" ref="L83">
      <text>
        <t xml:space="preserve">======
ID#AAABwUf9KAk
erePC04    (2025-12-15 05:41:01)
Sｸﾘへ借入返済2,000千円
（㈱es株と相殺）</t>
      </text>
    </comment>
    <comment authorId="0" ref="K83">
      <text>
        <t xml:space="preserve">======
ID#AAABwUf9KAg
erePC04    (2025-12-15 05:41:01)
esﾌﾟﾛへ返済3,000千円</t>
      </text>
    </comment>
    <comment authorId="0" ref="K70">
      <text>
        <t xml:space="preserve">======
ID#AAABwUf9KAY
erePC04    (2025-12-15 05:41:01)
Sｸﾘｴｲﾄ</t>
      </text>
    </comment>
    <comment authorId="0" ref="BB74">
      <text>
        <t xml:space="preserve">======
ID#AAABwUf9KAQ
tc={2E2E80B9-7AD4-4C35-9104-54527D32A94D}    (2025-12-15 05:41:01)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エンターから回収</t>
      </text>
    </comment>
    <comment authorId="0" ref="K74">
      <text>
        <t xml:space="preserve">======
ID#AAABwUf9KAM
erePC04    (2025-12-15 05:41:01)
ｵｰﾀﾑ3,980
その他立替戻り202
源泉預かり61
助成金等入金855</t>
      </text>
    </comment>
    <comment authorId="0" ref="L74">
      <text>
        <t xml:space="preserve">======
ID#AAABwUf9KAI
erePC04    (2025-12-15 05:41:01)
㈱es株をSｸﾘへ売却
2,000千円</t>
      </text>
    </comment>
    <comment authorId="0" ref="J74">
      <text>
        <t xml:space="preserve">======
ID#AAABwUf9KAE
erePC04    (2025-12-15 05:41:01)
esﾌﾟﾛ貸付金回収1,000
Sｸﾘ未収金回収1,080</t>
      </text>
    </comment>
    <comment authorId="0" ref="I83">
      <text>
        <t xml:space="preserve">======
ID#AAABwUf9KAA
erePC04    (2025-12-15 05:41:01)
esﾌﾟﾛへ貸付1,000</t>
      </text>
    </comment>
    <comment authorId="0" ref="J70">
      <text>
        <t xml:space="preserve">======
ID#AAABwUf9J_4
erePC04    (2025-12-15 05:41:01)
esﾌﾟﾛ</t>
      </text>
    </comment>
  </commentList>
  <extLst>
    <ext uri="GoogleSheetsCustomDataVersion2">
      <go:sheetsCustomData xmlns:go="http://customooxmlschemas.google.com/" r:id="rId1" roundtripDataSignature="AMtx7mgJ5vtSN7ubahwqwyak7jzdeVWk2g=="/>
    </ext>
  </extLst>
</comments>
</file>

<file path=xl/sharedStrings.xml><?xml version="1.0" encoding="utf-8"?>
<sst xmlns="http://schemas.openxmlformats.org/spreadsheetml/2006/main" count="1348" uniqueCount="303">
  <si>
    <t xml:space="preserve"> 収支予測表　</t>
  </si>
  <si>
    <r>
      <rPr>
        <rFont val="ＭＳ ゴシック"/>
        <color rgb="FFFFFFFF"/>
        <sz val="10.0"/>
      </rPr>
      <t>勘定科目</t>
    </r>
  </si>
  <si>
    <t>実績</t>
  </si>
  <si>
    <t>予算</t>
  </si>
  <si>
    <t>手入力</t>
  </si>
  <si>
    <t>2024.10.</t>
  </si>
  <si>
    <t>2024.11.</t>
  </si>
  <si>
    <t>2024.12.</t>
  </si>
  <si>
    <t>2025.10.</t>
  </si>
  <si>
    <r>
      <rPr>
        <rFont val="ＭＳ ゴシック"/>
        <b/>
        <color theme="1"/>
        <sz val="10.0"/>
      </rPr>
      <t>売上高</t>
    </r>
  </si>
  <si>
    <t xml:space="preserve">　国保連Ａ型</t>
  </si>
  <si>
    <t xml:space="preserve">　国保連Ｂ型</t>
  </si>
  <si>
    <t xml:space="preserve">　処遇改善手当</t>
  </si>
  <si>
    <t xml:space="preserve">　特開金</t>
  </si>
  <si>
    <t>月末売掛残高割合</t>
  </si>
  <si>
    <t>現金割合</t>
  </si>
  <si>
    <t xml:space="preserve">　生産活動</t>
  </si>
  <si>
    <r>
      <rPr>
        <rFont val="ＭＳ ゴシック"/>
        <color theme="1"/>
        <sz val="10.0"/>
      </rPr>
      <t>原価率</t>
    </r>
  </si>
  <si>
    <r>
      <rPr>
        <rFont val="ＭＳ ゴシック"/>
        <b/>
        <color theme="1"/>
        <sz val="10.0"/>
      </rPr>
      <t>合計</t>
    </r>
  </si>
  <si>
    <r>
      <rPr>
        <rFont val="ＭＳ ゴシック"/>
        <color theme="1"/>
        <sz val="10.0"/>
      </rPr>
      <t>売上原価</t>
    </r>
  </si>
  <si>
    <t>掛割合</t>
  </si>
  <si>
    <r>
      <rPr>
        <rFont val="ＭＳ ゴシック"/>
        <color theme="1"/>
        <sz val="10.0"/>
      </rPr>
      <t>合計</t>
    </r>
  </si>
  <si>
    <r>
      <rPr>
        <rFont val="ＭＳ ゴシック"/>
        <b/>
        <color theme="1"/>
        <sz val="10.0"/>
      </rPr>
      <t>粗利益</t>
    </r>
  </si>
  <si>
    <t>予測値</t>
  </si>
  <si>
    <t>＊＊＊＊</t>
  </si>
  <si>
    <t>人件費</t>
  </si>
  <si>
    <t>役員</t>
  </si>
  <si>
    <t>給与手当（社員）</t>
  </si>
  <si>
    <r>
      <rPr>
        <rFont val="Microsoft JhengHei"/>
        <color theme="1"/>
        <sz val="10.0"/>
      </rPr>
      <t>雑給</t>
    </r>
    <r>
      <rPr>
        <rFont val="ＭＳ Ｐゴシック"/>
        <color theme="1"/>
        <sz val="10.0"/>
      </rPr>
      <t>（利用者）</t>
    </r>
  </si>
  <si>
    <t>法定福利費</t>
  </si>
  <si>
    <t>福利厚生費</t>
  </si>
  <si>
    <t>合計</t>
  </si>
  <si>
    <t>販売費管理費</t>
  </si>
  <si>
    <t>地代家賃</t>
  </si>
  <si>
    <t>消耗品費</t>
  </si>
  <si>
    <t>保険料</t>
  </si>
  <si>
    <t>支払手数料</t>
  </si>
  <si>
    <t>管理諸費</t>
  </si>
  <si>
    <t>その他</t>
  </si>
  <si>
    <t>経費合計</t>
  </si>
  <si>
    <t>営業利益</t>
  </si>
  <si>
    <t>営業外収益</t>
  </si>
  <si>
    <t>営業外費用</t>
  </si>
  <si>
    <t>経常利益</t>
  </si>
  <si>
    <t>特別利益</t>
  </si>
  <si>
    <t>特別損失</t>
  </si>
  <si>
    <t>税引前当期利益</t>
  </si>
  <si>
    <t>期間累計</t>
  </si>
  <si>
    <t>ＦＬ</t>
  </si>
  <si>
    <r>
      <rPr>
        <rFont val="ＭＳ Ｐゴシック"/>
        <b/>
        <color theme="1"/>
        <sz val="10.0"/>
      </rPr>
      <t>【資金収支予測】</t>
    </r>
  </si>
  <si>
    <t>項目</t>
  </si>
  <si>
    <r>
      <rPr>
        <rFont val="Bookman Old Style"/>
        <color theme="1"/>
        <sz val="10.0"/>
      </rPr>
      <t>A.</t>
    </r>
    <r>
      <rPr>
        <rFont val="ＭＳ Ｐゴシック"/>
        <color theme="1"/>
        <sz val="10.0"/>
      </rPr>
      <t>前月繰越金</t>
    </r>
  </si>
  <si>
    <r>
      <rPr>
        <rFont val="ＭＳ Ｐゴシック"/>
        <color theme="1"/>
        <sz val="10.0"/>
      </rPr>
      <t>営業収入</t>
    </r>
  </si>
  <si>
    <r>
      <rPr>
        <rFont val="ＭＳ Ｐゴシック"/>
        <color theme="1"/>
        <sz val="10.0"/>
      </rPr>
      <t>現金売上</t>
    </r>
  </si>
  <si>
    <r>
      <rPr>
        <rFont val="ＭＳ Ｐゴシック"/>
        <color theme="1"/>
        <sz val="10.0"/>
      </rPr>
      <t>売掛金入金</t>
    </r>
  </si>
  <si>
    <r>
      <rPr>
        <rFont val="ＭＳ Ｐゴシック"/>
        <color theme="1"/>
        <sz val="10.0"/>
      </rPr>
      <t>営業外収益</t>
    </r>
  </si>
  <si>
    <r>
      <rPr>
        <rFont val="ＭＳ Ｐゴシック"/>
        <color theme="1"/>
        <sz val="10.0"/>
      </rPr>
      <t>①合計</t>
    </r>
  </si>
  <si>
    <r>
      <rPr>
        <rFont val="ＭＳ Ｐゴシック"/>
        <color theme="1"/>
        <sz val="10.0"/>
      </rPr>
      <t>営業支出</t>
    </r>
  </si>
  <si>
    <r>
      <rPr>
        <rFont val="ＭＳ Ｐゴシック"/>
        <color theme="1"/>
        <sz val="10.0"/>
      </rPr>
      <t>現金仕入</t>
    </r>
  </si>
  <si>
    <r>
      <rPr>
        <rFont val="ＭＳ Ｐゴシック"/>
        <color theme="1"/>
        <sz val="10.0"/>
      </rPr>
      <t>買掛金支払</t>
    </r>
  </si>
  <si>
    <t>未払金支払</t>
  </si>
  <si>
    <r>
      <rPr>
        <rFont val="ＭＳ Ｐゴシック"/>
        <color theme="1"/>
        <sz val="10.0"/>
      </rPr>
      <t>現金経費</t>
    </r>
  </si>
  <si>
    <r>
      <rPr>
        <rFont val="ＭＳ Ｐゴシック"/>
        <color theme="1"/>
        <sz val="10.0"/>
      </rPr>
      <t>支払利息</t>
    </r>
  </si>
  <si>
    <r>
      <rPr>
        <rFont val="ＭＳ Ｐゴシック"/>
        <color theme="1"/>
        <sz val="10.0"/>
      </rPr>
      <t>②合計</t>
    </r>
  </si>
  <si>
    <r>
      <rPr>
        <rFont val="Bookman Old Style"/>
        <color theme="1"/>
        <sz val="10.0"/>
      </rPr>
      <t>B.</t>
    </r>
    <r>
      <rPr>
        <rFont val="ＭＳ Ｐゴシック"/>
        <color theme="1"/>
        <sz val="10.0"/>
      </rPr>
      <t>営業収支</t>
    </r>
    <r>
      <rPr>
        <rFont val="Bookman Old Style"/>
        <color theme="1"/>
        <sz val="10.0"/>
      </rPr>
      <t>(</t>
    </r>
    <r>
      <rPr>
        <rFont val="ＭＳ Ｐゴシック"/>
        <color theme="1"/>
        <sz val="10.0"/>
      </rPr>
      <t>①</t>
    </r>
    <r>
      <rPr>
        <rFont val="Bookman Old Style"/>
        <color theme="1"/>
        <sz val="10.0"/>
      </rPr>
      <t>-</t>
    </r>
    <r>
      <rPr>
        <rFont val="ＭＳ Ｐゴシック"/>
        <color theme="1"/>
        <sz val="10.0"/>
      </rPr>
      <t>②</t>
    </r>
    <r>
      <rPr>
        <rFont val="Bookman Old Style"/>
        <color theme="1"/>
        <sz val="10.0"/>
      </rPr>
      <t>)</t>
    </r>
  </si>
  <si>
    <r>
      <rPr>
        <rFont val="ＭＳ Ｐゴシック"/>
        <color theme="1"/>
        <sz val="10.0"/>
      </rPr>
      <t>財務収入</t>
    </r>
  </si>
  <si>
    <r>
      <rPr>
        <rFont val="ＭＳ Ｐゴシック"/>
        <color theme="1"/>
        <sz val="10.0"/>
      </rPr>
      <t>短期借入</t>
    </r>
  </si>
  <si>
    <r>
      <rPr>
        <rFont val="ＭＳ Ｐゴシック"/>
        <color theme="1"/>
        <sz val="10.0"/>
      </rPr>
      <t>長期借入</t>
    </r>
  </si>
  <si>
    <t>貸付ノボリコタン</t>
  </si>
  <si>
    <t>未収入支援金</t>
  </si>
  <si>
    <r>
      <rPr>
        <rFont val="ＭＳ Ｐゴシック"/>
        <color theme="1"/>
        <sz val="10.0"/>
      </rPr>
      <t>③合計</t>
    </r>
  </si>
  <si>
    <r>
      <rPr>
        <rFont val="ＭＳ Ｐゴシック"/>
        <color theme="1"/>
        <sz val="10.0"/>
      </rPr>
      <t>財務支出</t>
    </r>
  </si>
  <si>
    <t>エンター未払分</t>
  </si>
  <si>
    <t>Ｓクリへ返済分</t>
  </si>
  <si>
    <t>交通費助成</t>
  </si>
  <si>
    <t>納税</t>
  </si>
  <si>
    <t>消費税</t>
  </si>
  <si>
    <r>
      <rPr>
        <rFont val="ＭＳ Ｐゴシック"/>
        <color theme="1"/>
        <sz val="10.0"/>
      </rPr>
      <t>長期借入金返済</t>
    </r>
  </si>
  <si>
    <r>
      <rPr>
        <rFont val="ＭＳ Ｐゴシック"/>
        <color theme="1"/>
        <sz val="10.0"/>
      </rPr>
      <t>その他</t>
    </r>
  </si>
  <si>
    <r>
      <rPr>
        <rFont val="ＭＳ Ｐゴシック"/>
        <color theme="1"/>
        <sz val="10.0"/>
      </rPr>
      <t>④合計</t>
    </r>
  </si>
  <si>
    <r>
      <rPr>
        <rFont val="Bookman Old Style"/>
        <color theme="1"/>
        <sz val="10.0"/>
      </rPr>
      <t>C.</t>
    </r>
    <r>
      <rPr>
        <rFont val="ＭＳ Ｐゴシック"/>
        <color theme="1"/>
        <sz val="10.0"/>
      </rPr>
      <t>財務収支</t>
    </r>
    <r>
      <rPr>
        <rFont val="Bookman Old Style"/>
        <color theme="1"/>
        <sz val="10.0"/>
      </rPr>
      <t>(</t>
    </r>
    <r>
      <rPr>
        <rFont val="ＭＳ Ｐゴシック"/>
        <color theme="1"/>
        <sz val="10.0"/>
      </rPr>
      <t>③</t>
    </r>
    <r>
      <rPr>
        <rFont val="Bookman Old Style"/>
        <color theme="1"/>
        <sz val="10.0"/>
      </rPr>
      <t>-</t>
    </r>
    <r>
      <rPr>
        <rFont val="ＭＳ Ｐゴシック"/>
        <color theme="1"/>
        <sz val="10.0"/>
      </rPr>
      <t>④</t>
    </r>
    <r>
      <rPr>
        <rFont val="Bookman Old Style"/>
        <color theme="1"/>
        <sz val="10.0"/>
      </rPr>
      <t>)</t>
    </r>
  </si>
  <si>
    <r>
      <rPr>
        <rFont val="Bookman Old Style"/>
        <color theme="1"/>
        <sz val="10.0"/>
      </rPr>
      <t>D.</t>
    </r>
    <r>
      <rPr>
        <rFont val="ＭＳ Ｐゴシック"/>
        <color theme="1"/>
        <sz val="10.0"/>
      </rPr>
      <t>月次資金収支</t>
    </r>
    <r>
      <rPr>
        <rFont val="Bookman Old Style"/>
        <color theme="1"/>
        <sz val="10.0"/>
      </rPr>
      <t>(B+C)</t>
    </r>
  </si>
  <si>
    <r>
      <rPr>
        <rFont val="Bookman Old Style"/>
        <color theme="1"/>
        <sz val="10.0"/>
      </rPr>
      <t>E.</t>
    </r>
    <r>
      <rPr>
        <rFont val="ＭＳ Ｐゴシック"/>
        <color theme="1"/>
        <sz val="10.0"/>
      </rPr>
      <t>翌月繰越金</t>
    </r>
    <r>
      <rPr>
        <rFont val="Bookman Old Style"/>
        <color theme="1"/>
        <sz val="10.0"/>
      </rPr>
      <t>(A+D)</t>
    </r>
  </si>
  <si>
    <t>実際</t>
  </si>
  <si>
    <t>差額</t>
  </si>
  <si>
    <r>
      <rPr>
        <rFont val="Arial"/>
        <b/>
        <i/>
        <color rgb="FFFF0000"/>
        <sz val="10.0"/>
      </rPr>
      <t>CF</t>
    </r>
    <r>
      <rPr>
        <rFont val="ＭＳ Ｐゴシック"/>
        <b/>
        <i/>
        <color rgb="FFFF0000"/>
        <sz val="10.0"/>
      </rPr>
      <t>検証</t>
    </r>
  </si>
  <si>
    <t>残期間に応じて都度集計</t>
  </si>
  <si>
    <r>
      <rPr>
        <rFont val="ＭＳ Ｐゴシック"/>
        <i/>
        <color rgb="FF0066CC"/>
        <sz val="10.0"/>
      </rPr>
      <t>期間</t>
    </r>
    <r>
      <rPr>
        <rFont val="Arial"/>
        <i/>
        <color rgb="FF0066CC"/>
        <sz val="10.0"/>
      </rPr>
      <t>CF</t>
    </r>
    <r>
      <rPr>
        <rFont val="ＭＳ Ｐゴシック"/>
        <i/>
        <color rgb="FF0066CC"/>
        <sz val="10.0"/>
      </rPr>
      <t>予測</t>
    </r>
  </si>
  <si>
    <t>a</t>
  </si>
  <si>
    <t>期間利益</t>
  </si>
  <si>
    <t>長期借入金</t>
  </si>
  <si>
    <t>残高</t>
  </si>
  <si>
    <t>残月</t>
  </si>
  <si>
    <t>月額</t>
  </si>
  <si>
    <t>毎月金額</t>
  </si>
  <si>
    <t>終了年月</t>
  </si>
  <si>
    <t>備考</t>
  </si>
  <si>
    <t>令和7年3月～</t>
  </si>
  <si>
    <t>単位</t>
  </si>
  <si>
    <t>処遇改善手当</t>
  </si>
  <si>
    <r>
      <rPr>
        <rFont val="Arial"/>
        <color rgb="FF000000"/>
        <sz val="10.0"/>
      </rPr>
      <t>A</t>
    </r>
    <r>
      <rPr>
        <rFont val="ＭＳ Ｐゴシック"/>
        <color rgb="FF000000"/>
        <sz val="10.0"/>
      </rPr>
      <t>型</t>
    </r>
  </si>
  <si>
    <t>基本</t>
  </si>
  <si>
    <r>
      <rPr>
        <rFont val="Arial"/>
        <color rgb="FF000000"/>
        <sz val="10.0"/>
      </rPr>
      <t>B</t>
    </r>
    <r>
      <rPr>
        <rFont val="ＭＳ Ｐゴシック"/>
        <color rgb="FF000000"/>
        <sz val="10.0"/>
      </rPr>
      <t>型</t>
    </r>
  </si>
  <si>
    <t>賃金向上</t>
  </si>
  <si>
    <t>食事提供</t>
  </si>
  <si>
    <t>専門職員</t>
  </si>
  <si>
    <t>地域単価</t>
  </si>
  <si>
    <t>一日一人あたり</t>
  </si>
  <si>
    <t>令和7年4月～</t>
  </si>
  <si>
    <r>
      <rPr>
        <rFont val="Arial"/>
        <color rgb="FF000000"/>
        <sz val="10.0"/>
      </rPr>
      <t>A</t>
    </r>
    <r>
      <rPr>
        <rFont val="ＭＳ Ｐゴシック"/>
        <color rgb="FF000000"/>
        <sz val="10.0"/>
      </rPr>
      <t>型</t>
    </r>
  </si>
  <si>
    <r>
      <rPr>
        <rFont val="Arial"/>
        <color rgb="FF000000"/>
        <sz val="10.0"/>
      </rPr>
      <t>B</t>
    </r>
    <r>
      <rPr>
        <rFont val="ＭＳ Ｐゴシック"/>
        <color rgb="FF000000"/>
        <sz val="10.0"/>
      </rPr>
      <t>型</t>
    </r>
  </si>
  <si>
    <t>就労移行加算</t>
  </si>
  <si>
    <t>令和8年4月～</t>
  </si>
  <si>
    <r>
      <rPr>
        <rFont val="Arial"/>
        <color rgb="FF000000"/>
        <sz val="10.0"/>
      </rPr>
      <t>A</t>
    </r>
    <r>
      <rPr>
        <rFont val="ＭＳ Ｐゴシック"/>
        <color rgb="FF000000"/>
        <sz val="10.0"/>
      </rPr>
      <t>型</t>
    </r>
  </si>
  <si>
    <r>
      <rPr>
        <rFont val="Arial"/>
        <color rgb="FF000000"/>
        <sz val="10.0"/>
      </rPr>
      <t>B</t>
    </r>
    <r>
      <rPr>
        <rFont val="ＭＳ Ｐゴシック"/>
        <color rgb="FF000000"/>
        <sz val="10.0"/>
      </rPr>
      <t>型</t>
    </r>
  </si>
  <si>
    <t>3名</t>
  </si>
  <si>
    <t>変動費率</t>
  </si>
  <si>
    <r>
      <rPr>
        <rFont val="Arial"/>
        <color rgb="FF000000"/>
        <sz val="11.0"/>
      </rPr>
      <t>4</t>
    </r>
    <r>
      <rPr>
        <rFont val="ＭＳ Ｐゴシック"/>
        <color rgb="FF000000"/>
        <sz val="11.0"/>
      </rPr>
      <t>月実績</t>
    </r>
  </si>
  <si>
    <r>
      <rPr>
        <rFont val="Arial"/>
        <color rgb="FF000000"/>
        <sz val="11.0"/>
      </rPr>
      <t>5月実績</t>
    </r>
  </si>
  <si>
    <r>
      <rPr>
        <rFont val="Arial"/>
        <color rgb="FF000000"/>
        <sz val="11.0"/>
      </rPr>
      <t>6月実績</t>
    </r>
  </si>
  <si>
    <r>
      <rPr>
        <rFont val="Arial"/>
        <color rgb="FF000000"/>
        <sz val="11.0"/>
      </rPr>
      <t>7月実績</t>
    </r>
  </si>
  <si>
    <r>
      <rPr>
        <rFont val="Arial"/>
        <color rgb="FF000000"/>
        <sz val="11.0"/>
      </rPr>
      <t>8月実績</t>
    </r>
  </si>
  <si>
    <r>
      <rPr>
        <rFont val="Arial"/>
        <color rgb="FF000000"/>
        <sz val="11.0"/>
      </rPr>
      <t>9月実績</t>
    </r>
  </si>
  <si>
    <r>
      <rPr>
        <rFont val="Arial"/>
        <color rgb="FF000000"/>
        <sz val="11.0"/>
      </rPr>
      <t>10月実績</t>
    </r>
  </si>
  <si>
    <t>11月実績</t>
  </si>
  <si>
    <t>12月実績</t>
  </si>
  <si>
    <t>1月実績</t>
  </si>
  <si>
    <t>2月実績</t>
  </si>
  <si>
    <t>3月実績</t>
  </si>
  <si>
    <t>累計</t>
  </si>
  <si>
    <t>売上</t>
  </si>
  <si>
    <t>売上原価</t>
  </si>
  <si>
    <t>売上総利益</t>
  </si>
  <si>
    <t>役員報酬</t>
  </si>
  <si>
    <t>給与手当</t>
  </si>
  <si>
    <t>雑給</t>
  </si>
  <si>
    <t>業務委託費</t>
  </si>
  <si>
    <t>労務委託費</t>
  </si>
  <si>
    <t>旅費交通費</t>
  </si>
  <si>
    <t>通信費</t>
  </si>
  <si>
    <t>研修採用費</t>
  </si>
  <si>
    <t>交際費</t>
  </si>
  <si>
    <t>会議費</t>
  </si>
  <si>
    <t>戦略費</t>
  </si>
  <si>
    <t>減価償却費</t>
  </si>
  <si>
    <t>賃借料</t>
  </si>
  <si>
    <t>リース料</t>
  </si>
  <si>
    <t>修繕費</t>
  </si>
  <si>
    <t>水道光熱費</t>
  </si>
  <si>
    <t>租税公課</t>
  </si>
  <si>
    <t>広告宣伝費</t>
  </si>
  <si>
    <t>教育費</t>
  </si>
  <si>
    <t>新聞図書費</t>
  </si>
  <si>
    <t>販売管理費合計</t>
  </si>
  <si>
    <t>支払利息</t>
  </si>
  <si>
    <t>雑損失</t>
  </si>
  <si>
    <t>受取利息 雑収入</t>
  </si>
  <si>
    <t>税引前当期純利益</t>
  </si>
  <si>
    <t>法人税</t>
  </si>
  <si>
    <t>税引後当期純利益</t>
  </si>
  <si>
    <t>月別　Ａ型</t>
  </si>
  <si>
    <t>特開金対象人数</t>
  </si>
  <si>
    <t>月別　Ｂ型</t>
  </si>
  <si>
    <t>A型</t>
  </si>
  <si>
    <t>開所日数</t>
  </si>
  <si>
    <t>出勤予測率</t>
  </si>
  <si>
    <t>在籍Ａ型利用者数</t>
  </si>
  <si>
    <t>一日当たり金額</t>
  </si>
  <si>
    <t>１か月あたり単位</t>
  </si>
  <si>
    <t>Ｂ型</t>
  </si>
  <si>
    <t>在籍Ｂ型利用者数</t>
  </si>
  <si>
    <t>一日当たり単位</t>
  </si>
  <si>
    <t>A型　処遇改善手当予測</t>
  </si>
  <si>
    <t>B型　処遇改善手当予測</t>
  </si>
  <si>
    <t>受取済　処遇改善手当</t>
  </si>
  <si>
    <t>決定したら手入力</t>
  </si>
  <si>
    <t>支給済　処遇改善手当</t>
  </si>
  <si>
    <t>処遇改善手当残高</t>
  </si>
  <si>
    <t>賞与予定</t>
  </si>
  <si>
    <t>4月</t>
  </si>
  <si>
    <t>5月</t>
  </si>
  <si>
    <t>6月</t>
  </si>
  <si>
    <t>7月</t>
  </si>
  <si>
    <t>8月</t>
  </si>
  <si>
    <t>9月</t>
  </si>
  <si>
    <t>10月</t>
  </si>
  <si>
    <t>11月</t>
  </si>
  <si>
    <t>12月</t>
  </si>
  <si>
    <t>1月</t>
  </si>
  <si>
    <t>2月</t>
  </si>
  <si>
    <t>3月</t>
  </si>
  <si>
    <t>昨年度の雇用人数</t>
  </si>
  <si>
    <r>
      <rPr>
        <rFont val="Arial"/>
        <color rgb="FF000000"/>
        <sz val="11.0"/>
      </rPr>
      <t>4</t>
    </r>
    <r>
      <rPr>
        <rFont val="ＭＳ ゴシック"/>
        <color rgb="FF000000"/>
        <sz val="11.0"/>
      </rPr>
      <t>月実績</t>
    </r>
  </si>
  <si>
    <r>
      <rPr>
        <rFont val="Arial"/>
        <color rgb="FF000000"/>
        <sz val="11.0"/>
      </rPr>
      <t>5月実績</t>
    </r>
  </si>
  <si>
    <r>
      <rPr>
        <rFont val="Arial"/>
        <color rgb="FF000000"/>
        <sz val="11.0"/>
      </rPr>
      <t>6月実績</t>
    </r>
  </si>
  <si>
    <r>
      <rPr>
        <rFont val="Arial"/>
        <color rgb="FF000000"/>
        <sz val="11.0"/>
      </rPr>
      <t>7月実績</t>
    </r>
  </si>
  <si>
    <r>
      <rPr>
        <rFont val="Arial"/>
        <color rgb="FF000000"/>
        <sz val="11.0"/>
      </rPr>
      <t>8月実績</t>
    </r>
  </si>
  <si>
    <r>
      <rPr>
        <rFont val="Arial"/>
        <color rgb="FF000000"/>
        <sz val="11.0"/>
      </rPr>
      <t>9月実績</t>
    </r>
  </si>
  <si>
    <r>
      <rPr>
        <rFont val="Arial"/>
        <color rgb="FF000000"/>
        <sz val="11.0"/>
      </rPr>
      <t>10</t>
    </r>
    <r>
      <rPr>
        <rFont val="MS Gothic"/>
        <color rgb="FF000000"/>
        <sz val="11.0"/>
      </rPr>
      <t>月実績</t>
    </r>
  </si>
  <si>
    <r>
      <rPr>
        <rFont val="Arial"/>
        <color rgb="FF000000"/>
        <sz val="11.0"/>
      </rPr>
      <t>3月</t>
    </r>
  </si>
  <si>
    <t>昼食代</t>
  </si>
  <si>
    <t>もりもりさん</t>
  </si>
  <si>
    <t>年間予算</t>
  </si>
  <si>
    <r>
      <rPr>
        <rFont val="Malgun Gothic"/>
        <color rgb="FF000000"/>
        <sz val="11.0"/>
      </rPr>
      <t>賞</t>
    </r>
    <r>
      <rPr>
        <rFont val="MS Gothic"/>
        <color rgb="FF000000"/>
        <sz val="11.0"/>
      </rPr>
      <t>与</t>
    </r>
  </si>
  <si>
    <t>４月実績</t>
  </si>
  <si>
    <t>5月実績</t>
  </si>
  <si>
    <t>６月実績</t>
  </si>
  <si>
    <t>７月実績</t>
  </si>
  <si>
    <t>８月実績</t>
  </si>
  <si>
    <t>９月実績</t>
  </si>
  <si>
    <t>１０月実績</t>
  </si>
  <si>
    <t>１１月実績</t>
  </si>
  <si>
    <t>１２月実績</t>
  </si>
  <si>
    <t>１月実績</t>
  </si>
  <si>
    <t>２月</t>
  </si>
  <si>
    <t>３月</t>
  </si>
  <si>
    <t>Ｂ型利用者報酬</t>
  </si>
  <si>
    <t>2名分</t>
  </si>
  <si>
    <r>
      <rPr>
        <rFont val="Malgun Gothic"/>
        <color rgb="FF000000"/>
        <sz val="11.0"/>
      </rPr>
      <t>賞</t>
    </r>
    <r>
      <rPr>
        <rFont val="MS Gothic"/>
        <color rgb="FF000000"/>
        <sz val="11.0"/>
      </rPr>
      <t>与</t>
    </r>
  </si>
  <si>
    <t>社員分昼食代</t>
  </si>
  <si>
    <t>Ｂ型平均工賃月額</t>
  </si>
  <si>
    <t>4月実績</t>
  </si>
  <si>
    <t>6月実績</t>
  </si>
  <si>
    <t>7月実績</t>
  </si>
  <si>
    <t>8月実績</t>
  </si>
  <si>
    <t>9月実績</t>
  </si>
  <si>
    <t>10月実績</t>
  </si>
  <si>
    <t>1名</t>
  </si>
  <si>
    <t>長田・池田・高畑</t>
  </si>
  <si>
    <r>
      <rPr>
        <rFont val="Arial"/>
        <color rgb="FF000000"/>
        <sz val="11.0"/>
      </rPr>
      <t>7</t>
    </r>
    <r>
      <rPr>
        <rFont val="ＭＳ Ｐゴシック"/>
        <color rgb="FF000000"/>
        <sz val="11.0"/>
      </rPr>
      <t>月</t>
    </r>
    <r>
      <rPr>
        <rFont val="ＭＳ Ｐゴシック"/>
        <color rgb="FF000000"/>
        <sz val="11.0"/>
      </rPr>
      <t>実績</t>
    </r>
  </si>
  <si>
    <r>
      <rPr>
        <rFont val="Arial"/>
        <color rgb="FF000000"/>
        <sz val="11.0"/>
      </rPr>
      <t>8月実績</t>
    </r>
  </si>
  <si>
    <r>
      <rPr>
        <rFont val="Arial"/>
        <color rgb="FF000000"/>
        <sz val="11.0"/>
      </rPr>
      <t>9月実績</t>
    </r>
  </si>
  <si>
    <r>
      <rPr>
        <rFont val="Arial"/>
        <color rgb="FF000000"/>
        <sz val="11.0"/>
      </rPr>
      <t>10月実績</t>
    </r>
  </si>
  <si>
    <r>
      <rPr>
        <rFont val="Arial"/>
        <color rgb="FF000000"/>
        <sz val="11.0"/>
      </rPr>
      <t>11月実績</t>
    </r>
  </si>
  <si>
    <r>
      <rPr>
        <rFont val="Arial"/>
        <color rgb="FF000000"/>
        <sz val="11.0"/>
      </rPr>
      <t>12月実績</t>
    </r>
  </si>
  <si>
    <r>
      <rPr>
        <rFont val="Arial"/>
        <color rgb="FF000000"/>
        <sz val="11.0"/>
      </rPr>
      <t>1</t>
    </r>
    <r>
      <rPr>
        <rFont val="ＭＳ ゴシック"/>
        <color rgb="FF000000"/>
        <sz val="11.0"/>
      </rPr>
      <t>月</t>
    </r>
    <r>
      <rPr>
        <rFont val="ＭＳ Ｐゴシック"/>
        <color rgb="FF000000"/>
        <sz val="11.0"/>
      </rPr>
      <t>実績</t>
    </r>
  </si>
  <si>
    <r>
      <rPr>
        <rFont val="Arial"/>
        <color rgb="FF000000"/>
        <sz val="11.0"/>
      </rPr>
      <t>2月実績</t>
    </r>
  </si>
  <si>
    <r>
      <rPr>
        <rFont val="Arial"/>
        <color rgb="FF000000"/>
        <sz val="11.0"/>
      </rPr>
      <t>3月実績</t>
    </r>
  </si>
  <si>
    <r>
      <rPr>
        <rFont val="Arial"/>
        <color rgb="FF000000"/>
        <sz val="11.0"/>
      </rPr>
      <t>4月</t>
    </r>
  </si>
  <si>
    <r>
      <rPr>
        <rFont val="Arial"/>
        <color rgb="FF000000"/>
        <sz val="11.0"/>
      </rPr>
      <t>5月</t>
    </r>
  </si>
  <si>
    <r>
      <rPr>
        <rFont val="Arial"/>
        <color rgb="FF000000"/>
        <sz val="11.0"/>
      </rPr>
      <t>6月</t>
    </r>
  </si>
  <si>
    <t>雑費</t>
  </si>
  <si>
    <t>処遇改善手当予測</t>
  </si>
  <si>
    <r>
      <rPr>
        <rFont val="Arial"/>
        <color rgb="FF000000"/>
        <sz val="11.0"/>
      </rPr>
      <t>7</t>
    </r>
    <r>
      <rPr>
        <rFont val="ＭＳ Ｐゴシック"/>
        <color rgb="FF000000"/>
        <sz val="11.0"/>
      </rPr>
      <t>月</t>
    </r>
    <r>
      <rPr>
        <rFont val="ＭＳ Ｐゴシック"/>
        <color rgb="FF000000"/>
        <sz val="11.0"/>
      </rPr>
      <t>実績</t>
    </r>
  </si>
  <si>
    <r>
      <rPr>
        <rFont val="Arial"/>
        <color rgb="FF000000"/>
        <sz val="11.0"/>
      </rPr>
      <t>8月実績</t>
    </r>
  </si>
  <si>
    <r>
      <rPr>
        <rFont val="Arial"/>
        <color rgb="FF000000"/>
        <sz val="11.0"/>
      </rPr>
      <t>9月実績</t>
    </r>
  </si>
  <si>
    <r>
      <rPr>
        <rFont val="Arial"/>
        <color rgb="FF000000"/>
        <sz val="11.0"/>
      </rPr>
      <t>10月実績</t>
    </r>
  </si>
  <si>
    <r>
      <rPr>
        <rFont val="Arial"/>
        <color rgb="FF000000"/>
        <sz val="11.0"/>
      </rPr>
      <t>11月実績</t>
    </r>
  </si>
  <si>
    <r>
      <rPr>
        <rFont val="Arial"/>
        <color rgb="FF000000"/>
        <sz val="11.0"/>
      </rPr>
      <t>12月実績</t>
    </r>
  </si>
  <si>
    <r>
      <rPr>
        <rFont val="Arial"/>
        <color rgb="FF000000"/>
        <sz val="11.0"/>
      </rPr>
      <t>1</t>
    </r>
    <r>
      <rPr>
        <rFont val="ＭＳ ゴシック"/>
        <color rgb="FF000000"/>
        <sz val="11.0"/>
      </rPr>
      <t>月</t>
    </r>
    <r>
      <rPr>
        <rFont val="ＭＳ Ｐゴシック"/>
        <color rgb="FF000000"/>
        <sz val="11.0"/>
      </rPr>
      <t>実績</t>
    </r>
  </si>
  <si>
    <r>
      <rPr>
        <rFont val="Arial"/>
        <color rgb="FF000000"/>
        <sz val="11.0"/>
      </rPr>
      <t>2月実績</t>
    </r>
  </si>
  <si>
    <r>
      <rPr>
        <rFont val="Arial"/>
        <color rgb="FF000000"/>
        <sz val="11.0"/>
      </rPr>
      <t>3月実績</t>
    </r>
  </si>
  <si>
    <r>
      <rPr>
        <rFont val="Arial"/>
        <color rgb="FF000000"/>
        <sz val="11.0"/>
      </rPr>
      <t>4月実績</t>
    </r>
  </si>
  <si>
    <r>
      <rPr>
        <rFont val="Arial"/>
        <color rgb="FF000000"/>
        <sz val="11.0"/>
      </rPr>
      <t>5月実績</t>
    </r>
  </si>
  <si>
    <r>
      <rPr>
        <rFont val="Arial"/>
        <color rgb="FF000000"/>
        <sz val="11.0"/>
      </rPr>
      <t>6月</t>
    </r>
  </si>
  <si>
    <t>開発費</t>
  </si>
  <si>
    <t>備品費</t>
  </si>
  <si>
    <t>管理諸費　エスクリエイト</t>
  </si>
  <si>
    <t>固定比率</t>
  </si>
  <si>
    <t>国税</t>
  </si>
  <si>
    <t>仕入</t>
  </si>
  <si>
    <t>差し引き税額</t>
  </si>
  <si>
    <t>売上内訳</t>
  </si>
  <si>
    <t>ｅｓエンター</t>
  </si>
  <si>
    <t>地方消費税</t>
  </si>
  <si>
    <r>
      <rPr>
        <rFont val="Arial"/>
        <color rgb="FF000000"/>
        <sz val="11.0"/>
      </rPr>
      <t>7</t>
    </r>
    <r>
      <rPr>
        <rFont val="ＭＳ Ｐゴシック"/>
        <color rgb="FF000000"/>
        <sz val="11.0"/>
      </rPr>
      <t>月実際</t>
    </r>
  </si>
  <si>
    <r>
      <rPr>
        <rFont val="Arial"/>
        <color rgb="FF000000"/>
        <sz val="11.0"/>
      </rPr>
      <t>8</t>
    </r>
    <r>
      <rPr>
        <rFont val="ＭＳ Ｐゴシック"/>
        <color rgb="FF000000"/>
        <sz val="11.0"/>
      </rPr>
      <t>月実際</t>
    </r>
  </si>
  <si>
    <r>
      <rPr>
        <rFont val="Arial"/>
        <color rgb="FF000000"/>
        <sz val="11.0"/>
      </rPr>
      <t>9</t>
    </r>
    <r>
      <rPr>
        <rFont val="ＭＳ Ｐゴシック"/>
        <color rgb="FF000000"/>
        <sz val="11.0"/>
      </rPr>
      <t>月実際</t>
    </r>
  </si>
  <si>
    <r>
      <rPr>
        <rFont val="Arial"/>
        <color rgb="FF000000"/>
        <sz val="11.0"/>
      </rPr>
      <t>10</t>
    </r>
    <r>
      <rPr>
        <rFont val="ＭＳ Ｐゴシック"/>
        <color rgb="FF000000"/>
        <sz val="11.0"/>
      </rPr>
      <t>月実際</t>
    </r>
  </si>
  <si>
    <r>
      <rPr>
        <rFont val="Arial"/>
        <color rgb="FF000000"/>
        <sz val="11.0"/>
      </rPr>
      <t>11</t>
    </r>
    <r>
      <rPr>
        <rFont val="ＭＳ Ｐゴシック"/>
        <color rgb="FF000000"/>
        <sz val="11.0"/>
      </rPr>
      <t>月実際</t>
    </r>
  </si>
  <si>
    <r>
      <rPr>
        <rFont val="Arial"/>
        <color rgb="FF000000"/>
        <sz val="11.0"/>
      </rPr>
      <t>12</t>
    </r>
    <r>
      <rPr>
        <rFont val="ＭＳ Ｐゴシック"/>
        <color rgb="FF000000"/>
        <sz val="11.0"/>
      </rPr>
      <t>月実際</t>
    </r>
  </si>
  <si>
    <r>
      <rPr>
        <rFont val="Arial"/>
        <color rgb="FF000000"/>
        <sz val="11.0"/>
      </rPr>
      <t>1</t>
    </r>
    <r>
      <rPr>
        <rFont val="ＭＳ Ｐゴシック"/>
        <color rgb="FF000000"/>
        <sz val="11.0"/>
      </rPr>
      <t>月実際</t>
    </r>
  </si>
  <si>
    <r>
      <rPr>
        <rFont val="Arial"/>
        <color rgb="FF000000"/>
        <sz val="11.0"/>
      </rPr>
      <t>2</t>
    </r>
    <r>
      <rPr>
        <rFont val="ＭＳ Ｐゴシック"/>
        <color rgb="FF000000"/>
        <sz val="11.0"/>
      </rPr>
      <t>月実際</t>
    </r>
  </si>
  <si>
    <r>
      <rPr>
        <rFont val="Arial"/>
        <color rgb="FF000000"/>
        <sz val="11.0"/>
      </rPr>
      <t>3月実際</t>
    </r>
  </si>
  <si>
    <r>
      <rPr>
        <rFont val="Arial"/>
        <color rgb="FF000000"/>
        <sz val="11.0"/>
      </rPr>
      <t>4月実際</t>
    </r>
  </si>
  <si>
    <r>
      <rPr>
        <rFont val="Arial"/>
        <color rgb="FF000000"/>
        <sz val="11.0"/>
      </rPr>
      <t>7</t>
    </r>
    <r>
      <rPr>
        <rFont val="ＭＳ Ｐゴシック"/>
        <color rgb="FF000000"/>
        <sz val="11.0"/>
      </rPr>
      <t>月実際</t>
    </r>
  </si>
  <si>
    <r>
      <rPr>
        <rFont val="Arial"/>
        <color rgb="FF000000"/>
        <sz val="11.0"/>
      </rPr>
      <t>8</t>
    </r>
    <r>
      <rPr>
        <rFont val="ＭＳ Ｐゴシック"/>
        <color rgb="FF000000"/>
        <sz val="11.0"/>
      </rPr>
      <t>月実際</t>
    </r>
  </si>
  <si>
    <r>
      <rPr>
        <rFont val="Arial"/>
        <color rgb="FF000000"/>
        <sz val="11.0"/>
      </rPr>
      <t>9</t>
    </r>
    <r>
      <rPr>
        <rFont val="ＭＳ Ｐゴシック"/>
        <color rgb="FF000000"/>
        <sz val="11.0"/>
      </rPr>
      <t>月実際</t>
    </r>
  </si>
  <si>
    <r>
      <rPr>
        <rFont val="Arial"/>
        <color rgb="FF000000"/>
        <sz val="11.0"/>
      </rPr>
      <t>10</t>
    </r>
    <r>
      <rPr>
        <rFont val="ＭＳ Ｐゴシック"/>
        <color rgb="FF000000"/>
        <sz val="11.0"/>
      </rPr>
      <t>月実際</t>
    </r>
  </si>
  <si>
    <r>
      <rPr>
        <rFont val="Arial"/>
        <color rgb="FF000000"/>
        <sz val="11.0"/>
      </rPr>
      <t>11</t>
    </r>
    <r>
      <rPr>
        <rFont val="ＭＳ Ｐゴシック"/>
        <color rgb="FF000000"/>
        <sz val="11.0"/>
      </rPr>
      <t>月実際</t>
    </r>
  </si>
  <si>
    <r>
      <rPr>
        <rFont val="Arial"/>
        <color rgb="FF000000"/>
        <sz val="11.0"/>
      </rPr>
      <t>12</t>
    </r>
    <r>
      <rPr>
        <rFont val="ＭＳ Ｐゴシック"/>
        <color rgb="FF000000"/>
        <sz val="11.0"/>
      </rPr>
      <t>月実際</t>
    </r>
  </si>
  <si>
    <r>
      <rPr>
        <rFont val="Arial"/>
        <color rgb="FF000000"/>
        <sz val="11.0"/>
      </rPr>
      <t>1</t>
    </r>
    <r>
      <rPr>
        <rFont val="ＭＳ Ｐゴシック"/>
        <color rgb="FF000000"/>
        <sz val="11.0"/>
      </rPr>
      <t>月実際</t>
    </r>
  </si>
  <si>
    <r>
      <rPr>
        <rFont val="Arial"/>
        <color rgb="FF000000"/>
        <sz val="11.0"/>
      </rPr>
      <t>2</t>
    </r>
    <r>
      <rPr>
        <rFont val="ＭＳ Ｐゴシック"/>
        <color rgb="FF000000"/>
        <sz val="11.0"/>
      </rPr>
      <t>月実際</t>
    </r>
  </si>
  <si>
    <r>
      <rPr>
        <rFont val="Arial"/>
        <color rgb="FF000000"/>
        <sz val="11.0"/>
      </rPr>
      <t>3月実際</t>
    </r>
  </si>
  <si>
    <r>
      <rPr>
        <rFont val="Arial"/>
        <color rgb="FF000000"/>
        <sz val="11.0"/>
      </rPr>
      <t>4月実際</t>
    </r>
  </si>
  <si>
    <t>税抜き</t>
  </si>
  <si>
    <t>事業復活支援金2019年12月の</t>
  </si>
  <si>
    <t>2021年12がつの</t>
  </si>
  <si>
    <t>税抜</t>
  </si>
  <si>
    <r>
      <rPr>
        <rFont val="Arial"/>
        <color rgb="FF000000"/>
        <sz val="11.0"/>
      </rPr>
      <t>7</t>
    </r>
    <r>
      <rPr>
        <rFont val="ＭＳ Ｐゴシック"/>
        <color rgb="FF000000"/>
        <sz val="11.0"/>
      </rPr>
      <t>月実際</t>
    </r>
  </si>
  <si>
    <r>
      <rPr>
        <rFont val="Arial"/>
        <color rgb="FF000000"/>
        <sz val="11.0"/>
      </rPr>
      <t>8</t>
    </r>
    <r>
      <rPr>
        <rFont val="ＭＳ Ｐゴシック"/>
        <color rgb="FF000000"/>
        <sz val="11.0"/>
      </rPr>
      <t>月実際</t>
    </r>
  </si>
  <si>
    <r>
      <rPr>
        <rFont val="Arial"/>
        <color rgb="FF000000"/>
        <sz val="11.0"/>
      </rPr>
      <t>9</t>
    </r>
    <r>
      <rPr>
        <rFont val="ＭＳ Ｐゴシック"/>
        <color rgb="FF000000"/>
        <sz val="11.0"/>
      </rPr>
      <t>月実際</t>
    </r>
  </si>
  <si>
    <r>
      <rPr>
        <rFont val="Arial"/>
        <color rgb="FF000000"/>
        <sz val="11.0"/>
      </rPr>
      <t>10</t>
    </r>
    <r>
      <rPr>
        <rFont val="ＭＳ Ｐゴシック"/>
        <color rgb="FF000000"/>
        <sz val="11.0"/>
      </rPr>
      <t>月実際</t>
    </r>
  </si>
  <si>
    <r>
      <rPr>
        <rFont val="Arial"/>
        <color rgb="FF000000"/>
        <sz val="11.0"/>
      </rPr>
      <t>11</t>
    </r>
    <r>
      <rPr>
        <rFont val="ＭＳ Ｐゴシック"/>
        <color rgb="FF000000"/>
        <sz val="11.0"/>
      </rPr>
      <t>月実際</t>
    </r>
  </si>
  <si>
    <r>
      <rPr>
        <rFont val="Arial"/>
        <color rgb="FF000000"/>
        <sz val="11.0"/>
      </rPr>
      <t>12</t>
    </r>
    <r>
      <rPr>
        <rFont val="ＭＳ Ｐゴシック"/>
        <color rgb="FF000000"/>
        <sz val="11.0"/>
      </rPr>
      <t>月実際</t>
    </r>
  </si>
  <si>
    <r>
      <rPr>
        <rFont val="Arial"/>
        <color rgb="FF000000"/>
        <sz val="11.0"/>
      </rPr>
      <t>1</t>
    </r>
    <r>
      <rPr>
        <rFont val="ＭＳ Ｐゴシック"/>
        <color rgb="FF000000"/>
        <sz val="11.0"/>
      </rPr>
      <t>月実際</t>
    </r>
  </si>
  <si>
    <r>
      <rPr>
        <rFont val="Arial"/>
        <color rgb="FF000000"/>
        <sz val="11.0"/>
      </rPr>
      <t>2</t>
    </r>
    <r>
      <rPr>
        <rFont val="ＭＳ Ｐゴシック"/>
        <color rgb="FF000000"/>
        <sz val="11.0"/>
      </rPr>
      <t>月実際</t>
    </r>
  </si>
  <si>
    <r>
      <rPr>
        <rFont val="Arial"/>
        <color rgb="FF000000"/>
        <sz val="11.0"/>
      </rPr>
      <t>3月実際</t>
    </r>
  </si>
  <si>
    <r>
      <rPr>
        <rFont val="Arial"/>
        <color rgb="FF000000"/>
        <sz val="11.0"/>
      </rPr>
      <t>4月実際</t>
    </r>
  </si>
  <si>
    <r>
      <rPr>
        <rFont val="Arial"/>
        <color rgb="FF000000"/>
        <sz val="11.0"/>
      </rPr>
      <t>5月実際</t>
    </r>
  </si>
  <si>
    <r>
      <rPr>
        <rFont val="Arial"/>
        <color rgb="FF000000"/>
        <sz val="11.0"/>
      </rPr>
      <t>6月実際</t>
    </r>
  </si>
  <si>
    <t>goカンパニー</t>
  </si>
  <si>
    <t>税込み</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</si>
</sst>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quot;ヶ&quot;&quot;月&quot;&quot;目&quot;"/>
    <numFmt numFmtId="165" formatCode="0&quot;ヶ&quot;&quot;月&quot;&quot;後&quot;"/>
    <numFmt numFmtId="166" formatCode="&quot;H&quot;0.00&quot;月&quot;"/>
    <numFmt numFmtId="167" formatCode="0.0%"/>
    <numFmt numFmtId="168" formatCode="yyyy&quot;年&quot;m&quot;月&quot;"/>
  </numFmts>
  <fonts count="52">
    <font>
      <sz val="10.0"/>
      <color rgb="FF000000"/>
      <name val="Calibri"/>
      <scheme val="minor"/>
    </font>
    <font>
      <sz val="10.0"/>
      <color theme="1"/>
      <name val="Arial"/>
    </font>
    <font>
      <i/>
      <sz val="10.0"/>
      <color theme="1"/>
      <name val="Arial"/>
    </font>
    <font>
      <i/>
      <sz val="10.0"/>
      <color theme="0"/>
      <name val="Arial"/>
    </font>
    <font>
      <sz val="10.0"/>
      <color theme="0"/>
      <name val="Arial"/>
    </font>
    <font>
      <b/>
      <sz val="10.0"/>
      <color rgb="FFFF0000"/>
      <name val="Arial"/>
    </font>
    <font>
      <b/>
      <u/>
      <sz val="16.0"/>
      <color theme="1"/>
      <name val="MS PGothic"/>
    </font>
    <font>
      <b/>
      <u/>
      <sz val="16.0"/>
      <color theme="1"/>
      <name val="Arial"/>
    </font>
    <font>
      <b/>
      <i/>
      <u/>
      <sz val="16.0"/>
      <color theme="1"/>
      <name val="Arial"/>
    </font>
    <font>
      <b/>
      <u/>
      <sz val="16.0"/>
      <color theme="1"/>
      <name val="MS PGothic"/>
    </font>
    <font>
      <b/>
      <u/>
      <sz val="16.0"/>
      <color theme="1"/>
      <name val="Arial"/>
    </font>
    <font>
      <b/>
      <i/>
      <u/>
      <sz val="16.0"/>
      <color theme="1"/>
      <name val="Arial"/>
    </font>
    <font>
      <b/>
      <u/>
      <sz val="11.0"/>
      <color theme="1"/>
      <name val="MS PGothic"/>
    </font>
    <font>
      <u/>
      <sz val="12.0"/>
      <color theme="1"/>
      <name val="MS PGothic"/>
    </font>
    <font>
      <i/>
      <u/>
      <sz val="12.0"/>
      <color theme="1"/>
      <name val="MS PGothic"/>
    </font>
    <font>
      <b/>
      <u/>
      <sz val="10.0"/>
      <color theme="1"/>
      <name val="Arial"/>
    </font>
    <font/>
    <font>
      <sz val="10.0"/>
      <color theme="0"/>
      <name val="MS PGothic"/>
    </font>
    <font>
      <b/>
      <sz val="10.0"/>
      <color theme="1"/>
      <name val="Arial"/>
    </font>
    <font>
      <sz val="11.0"/>
      <color rgb="FF000000"/>
      <name val="MS PGothic"/>
    </font>
    <font>
      <i/>
      <sz val="10.0"/>
      <color rgb="FF7F7F7F"/>
      <name val="Arial"/>
    </font>
    <font>
      <sz val="10.0"/>
      <color rgb="FF7F7F7F"/>
      <name val="Arial"/>
    </font>
    <font>
      <sz val="10.0"/>
      <color theme="1"/>
      <name val="MS PGothic"/>
    </font>
    <font>
      <b/>
      <i/>
      <sz val="10.0"/>
      <color rgb="FF7F7F7F"/>
      <name val="Arial"/>
    </font>
    <font>
      <b/>
      <sz val="10.0"/>
      <color rgb="FF7F7F7F"/>
      <name val="Arial"/>
    </font>
    <font>
      <b/>
      <sz val="10.0"/>
      <color theme="1"/>
      <name val="MS PGothic"/>
    </font>
    <font>
      <sz val="10.0"/>
      <color theme="1"/>
      <name val="Century"/>
    </font>
    <font>
      <i/>
      <sz val="10.0"/>
      <color rgb="FF7F7F7F"/>
      <name val="Century"/>
    </font>
    <font>
      <sz val="10.0"/>
      <color rgb="FF7F7F7F"/>
      <name val="Century"/>
    </font>
    <font>
      <b/>
      <i/>
      <sz val="10.0"/>
      <color theme="1"/>
      <name val="Arial"/>
    </font>
    <font>
      <i/>
      <sz val="10.0"/>
      <color rgb="FF0070C0"/>
      <name val="Arial"/>
    </font>
    <font>
      <b/>
      <sz val="10.0"/>
      <color theme="1"/>
      <name val="Bookman Old Style"/>
    </font>
    <font>
      <sz val="10.0"/>
      <color theme="0"/>
      <name val="ＭＳ ゴシック"/>
    </font>
    <font>
      <sz val="10.0"/>
      <color theme="1"/>
      <name val="Bookman Old Style"/>
    </font>
    <font>
      <i/>
      <sz val="10.0"/>
      <color rgb="FF7F7F7F"/>
      <name val="Bookman Old Style"/>
    </font>
    <font>
      <i/>
      <sz val="10.0"/>
      <color theme="1"/>
      <name val="Bookman Old Style"/>
    </font>
    <font>
      <sz val="10.0"/>
      <color rgb="FF0070C0"/>
      <name val="MS PGothic"/>
    </font>
    <font>
      <i/>
      <sz val="10.0"/>
      <color rgb="FF0070C0"/>
      <name val="Bookman Old Style"/>
    </font>
    <font>
      <sz val="10.0"/>
      <color rgb="FF0070C0"/>
      <name val="Bookman Old Style"/>
    </font>
    <font>
      <i/>
      <sz val="10.0"/>
      <color theme="1"/>
      <name val="MS PGothic"/>
    </font>
    <font>
      <sz val="10.0"/>
      <color rgb="FFFF0000"/>
      <name val="MS PGothic"/>
    </font>
    <font>
      <sz val="10.0"/>
      <color rgb="FFFF0000"/>
      <name val="Arial"/>
    </font>
    <font>
      <i/>
      <sz val="10.0"/>
      <color rgb="FFFF0000"/>
      <name val="Arial"/>
    </font>
    <font>
      <b/>
      <i/>
      <sz val="10.0"/>
      <color rgb="FFFF0000"/>
      <name val="Arial"/>
    </font>
    <font>
      <i/>
      <sz val="8.0"/>
      <color theme="9"/>
      <name val="MS PGothic"/>
    </font>
    <font>
      <sz val="11.0"/>
      <color theme="1"/>
      <name val="Calibri"/>
    </font>
    <font>
      <sz val="10.0"/>
      <color rgb="FF000000"/>
      <name val="Arial"/>
    </font>
    <font>
      <sz val="10.0"/>
      <color rgb="FF000000"/>
      <name val="MS PGothic"/>
    </font>
    <font>
      <color theme="1"/>
      <name val="Calibri"/>
      <scheme val="minor"/>
    </font>
    <font>
      <sz val="11.0"/>
      <color rgb="FF000000"/>
      <name val="Arial"/>
    </font>
    <font>
      <sz val="11.0"/>
      <color rgb="FF000000"/>
      <name val="ＭＳ ゴシック"/>
    </font>
    <font>
      <sz val="11.0"/>
      <color rgb="FF000000"/>
      <name val="Malgun Gothic"/>
    </font>
  </fonts>
  <fills count="18">
    <fill>
      <patternFill patternType="none"/>
    </fill>
    <fill>
      <patternFill patternType="lightGray"/>
    </fill>
    <fill>
      <patternFill patternType="solid">
        <fgColor rgb="FFDBE5F1"/>
        <bgColor rgb="FFDBE5F1"/>
      </patternFill>
    </fill>
    <fill>
      <patternFill patternType="solid">
        <fgColor rgb="FF7030A0"/>
        <bgColor rgb="FF7030A0"/>
      </patternFill>
    </fill>
    <fill>
      <patternFill patternType="solid">
        <fgColor rgb="FF953734"/>
        <bgColor rgb="FF953734"/>
      </patternFill>
    </fill>
    <fill>
      <patternFill patternType="solid">
        <fgColor theme="8"/>
        <bgColor theme="8"/>
      </patternFill>
    </fill>
    <fill>
      <patternFill patternType="solid">
        <fgColor rgb="FF92CDDC"/>
        <bgColor rgb="FF92CDDC"/>
      </patternFill>
    </fill>
    <fill>
      <patternFill patternType="solid">
        <fgColor rgb="FFCCC0D9"/>
        <bgColor rgb="FFCCC0D9"/>
      </patternFill>
    </fill>
    <fill>
      <patternFill patternType="solid">
        <fgColor rgb="FF95B3D7"/>
        <bgColor rgb="FF95B3D7"/>
      </patternFill>
    </fill>
    <fill>
      <patternFill patternType="solid">
        <fgColor rgb="FFE5DFEC"/>
        <bgColor rgb="FFE5DFEC"/>
      </patternFill>
    </fill>
    <fill>
      <patternFill patternType="solid">
        <fgColor rgb="FFFDE9D9"/>
        <bgColor rgb="FFFDE9D9"/>
      </patternFill>
    </fill>
    <fill>
      <patternFill patternType="solid">
        <fgColor rgb="FFE36C09"/>
        <bgColor rgb="FFE36C09"/>
      </patternFill>
    </fill>
    <fill>
      <patternFill patternType="solid">
        <fgColor rgb="FFFABF8F"/>
        <bgColor rgb="FFFABF8F"/>
      </patternFill>
    </fill>
    <fill>
      <patternFill patternType="solid">
        <fgColor rgb="FFEAF1DD"/>
        <bgColor rgb="FFEAF1DD"/>
      </patternFill>
    </fill>
    <fill>
      <patternFill patternType="solid">
        <fgColor rgb="FFBFBFBF"/>
        <bgColor rgb="FFBFBFBF"/>
      </patternFill>
    </fill>
    <fill>
      <patternFill patternType="solid">
        <fgColor rgb="FFFFFFFF"/>
        <bgColor rgb="FFFFFFFF"/>
      </patternFill>
    </fill>
    <fill>
      <patternFill patternType="solid">
        <fgColor rgb="FFF4CCCC"/>
        <bgColor rgb="FFF4CCCC"/>
      </patternFill>
    </fill>
    <fill>
      <patternFill patternType="solid">
        <fgColor rgb="FFFFFF00"/>
        <bgColor rgb="FFFFFF00"/>
      </patternFill>
    </fill>
  </fills>
  <borders count="175">
    <border/>
    <border>
      <left/>
      <right/>
      <top/>
      <bottom/>
    </border>
    <border>
      <left style="double">
        <color rgb="FF000000"/>
      </left>
      <right/>
      <top style="medium">
        <color rgb="FF000000"/>
      </top>
      <bottom style="hair">
        <color rgb="FF000000"/>
      </bottom>
    </border>
    <border>
      <left style="thin">
        <color rgb="FF000000"/>
      </left>
      <right style="thin">
        <color rgb="FF000000"/>
      </right>
      <top style="medium">
        <color rgb="FF000000"/>
      </top>
      <bottom style="hair">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right style="double">
        <color rgb="FF000000"/>
      </right>
      <top style="medium">
        <color rgb="FF000000"/>
      </top>
    </border>
    <border>
      <left style="medium">
        <color rgb="FF000000"/>
      </left>
      <bottom style="double">
        <color rgb="FF000000"/>
      </bottom>
    </border>
    <border>
      <right style="double">
        <color rgb="FF000000"/>
      </right>
      <bottom style="double">
        <color rgb="FF000000"/>
      </bottom>
    </border>
    <border>
      <left style="double">
        <color rgb="FF000000"/>
      </left>
      <right/>
      <top style="hair">
        <color rgb="FF000000"/>
      </top>
      <bottom style="double">
        <color rgb="FF000000"/>
      </bottom>
    </border>
    <border>
      <left style="thin">
        <color rgb="FF000000"/>
      </left>
      <right style="thin">
        <color rgb="FF000000"/>
      </right>
      <top style="hair">
        <color rgb="FF000000"/>
      </top>
      <bottom style="double">
        <color rgb="FF000000"/>
      </bottom>
    </border>
    <border>
      <left style="thin">
        <color rgb="FF000000"/>
      </left>
      <right/>
      <top style="hair">
        <color rgb="FF000000"/>
      </top>
      <bottom style="double">
        <color rgb="FF000000"/>
      </bottom>
    </border>
    <border>
      <left style="thin">
        <color rgb="FF000000"/>
      </left>
      <right style="double">
        <color rgb="FF000000"/>
      </right>
      <top style="hair">
        <color rgb="FF000000"/>
      </top>
      <bottom style="double">
        <color rgb="FF000000"/>
      </bottom>
    </border>
    <border>
      <left/>
      <right style="thin">
        <color rgb="FF000000"/>
      </right>
      <top style="hair">
        <color rgb="FF000000"/>
      </top>
      <bottom style="double">
        <color rgb="FF000000"/>
      </bottom>
    </border>
    <border>
      <left style="medium">
        <color rgb="FF000000"/>
      </left>
      <right/>
      <top style="double">
        <color rgb="FF000000"/>
      </top>
    </border>
    <border>
      <left style="thin">
        <color rgb="FF000000"/>
      </left>
      <right style="thin">
        <color rgb="FF000000"/>
      </right>
      <top style="thin">
        <color rgb="FF000000"/>
      </top>
      <bottom style="thin">
        <color rgb="FF000000"/>
      </bottom>
    </border>
    <border>
      <left style="double">
        <color rgb="FF000000"/>
      </left>
      <top style="double">
        <color rgb="FF000000"/>
      </top>
      <bottom style="hair">
        <color rgb="FF000000"/>
      </bottom>
    </border>
    <border>
      <left style="thin">
        <color rgb="FF000000"/>
      </left>
      <right style="thin">
        <color rgb="FF000000"/>
      </right>
      <top style="double">
        <color rgb="FF000000"/>
      </top>
      <bottom style="hair">
        <color rgb="FF000000"/>
      </bottom>
    </border>
    <border>
      <left style="thin">
        <color rgb="FF000000"/>
      </left>
      <right style="double">
        <color rgb="FF000000"/>
      </right>
      <top style="double">
        <color rgb="FF000000"/>
      </top>
      <bottom style="hair">
        <color rgb="FF000000"/>
      </bottom>
    </border>
    <border>
      <left style="double">
        <color rgb="FF000000"/>
      </left>
      <right style="thin">
        <color rgb="FF000000"/>
      </right>
      <top style="double">
        <color rgb="FF000000"/>
      </top>
      <bottom style="hair">
        <color rgb="FF000000"/>
      </bottom>
    </border>
    <border>
      <left style="thin">
        <color rgb="FF000000"/>
      </left>
      <right style="thin">
        <color rgb="FF000000"/>
      </right>
      <top style="double">
        <color rgb="FF000000"/>
      </top>
    </border>
    <border>
      <left style="medium">
        <color rgb="FF000000"/>
      </left>
      <right/>
    </border>
    <border>
      <left style="double">
        <color rgb="FF000000"/>
      </lef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double">
        <color rgb="FF000000"/>
      </right>
      <top style="hair">
        <color rgb="FF000000"/>
      </top>
      <bottom style="hair">
        <color rgb="FF000000"/>
      </bottom>
    </border>
    <border>
      <top style="hair">
        <color rgb="FF000000"/>
      </top>
      <bottom style="hair">
        <color rgb="FF000000"/>
      </bottom>
    </border>
    <border>
      <left style="thin">
        <color rgb="FF000000"/>
      </left>
      <right style="thin">
        <color rgb="FF000000"/>
      </right>
      <bottom style="hair">
        <color rgb="FF000000"/>
      </bottom>
    </border>
    <border>
      <left style="double">
        <color rgb="FF000000"/>
      </left>
      <top style="hair">
        <color rgb="FF000000"/>
      </top>
    </border>
    <border>
      <left style="thin">
        <color rgb="FF000000"/>
      </left>
      <right style="thin">
        <color rgb="FF000000"/>
      </right>
      <top style="hair">
        <color rgb="FF000000"/>
      </top>
    </border>
    <border>
      <left style="thin">
        <color rgb="FF000000"/>
      </left>
      <right style="double">
        <color rgb="FF000000"/>
      </right>
      <top style="hair">
        <color rgb="FF000000"/>
      </top>
    </border>
    <border>
      <top style="hair">
        <color rgb="FF000000"/>
      </top>
    </border>
    <border>
      <left style="double">
        <color rgb="FF000000"/>
      </lef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double">
        <color rgb="FF000000"/>
      </right>
      <top style="hair">
        <color rgb="FF000000"/>
      </top>
      <bottom style="thin">
        <color rgb="FF000000"/>
      </bottom>
    </border>
    <border>
      <top style="hair">
        <color rgb="FF000000"/>
      </top>
      <bottom style="thin">
        <color rgb="FF000000"/>
      </bottom>
    </border>
    <border>
      <left style="medium">
        <color rgb="FF000000"/>
      </left>
      <right/>
      <bottom style="thin">
        <color rgb="FF000000"/>
      </bottom>
    </border>
    <border>
      <left/>
      <right style="double">
        <color rgb="FF000000"/>
      </right>
      <top style="thin">
        <color rgb="FF000000"/>
      </top>
      <bottom style="thin">
        <color rgb="FF000000"/>
      </bottom>
    </border>
    <border>
      <left style="double">
        <color rgb="FF000000"/>
      </left>
      <right/>
      <top/>
      <bottom style="thin">
        <color rgb="FF000000"/>
      </bottom>
    </border>
    <border>
      <left style="thin">
        <color rgb="FF000000"/>
      </left>
      <right style="thin">
        <color rgb="FF000000"/>
      </right>
      <top/>
      <bottom style="thin">
        <color rgb="FF000000"/>
      </bottom>
    </border>
    <border>
      <left style="thin">
        <color rgb="FF000000"/>
      </left>
      <right style="double">
        <color rgb="FF000000"/>
      </right>
      <top/>
      <bottom style="thin">
        <color rgb="FF000000"/>
      </bottom>
    </border>
    <border>
      <left/>
      <right/>
      <top/>
      <bottom style="thin">
        <color rgb="FF000000"/>
      </bottom>
    </border>
    <border>
      <left style="thin">
        <color rgb="FF000000"/>
      </left>
      <right style="thin">
        <color rgb="FF000000"/>
      </right>
    </border>
    <border>
      <left style="medium">
        <color rgb="FF000000"/>
      </left>
      <right/>
      <top/>
    </border>
    <border>
      <left style="thin">
        <color rgb="FF000000"/>
      </left>
      <right style="double">
        <color rgb="FF000000"/>
      </right>
      <top style="thin">
        <color rgb="FF000000"/>
      </top>
      <bottom style="hair">
        <color rgb="FF000000"/>
      </bottom>
    </border>
    <border>
      <left style="double">
        <color rgb="FF000000"/>
      </left>
      <top style="thin">
        <color rgb="FF000000"/>
      </top>
      <bottom style="hair">
        <color rgb="FF000000"/>
      </bottom>
    </border>
    <border>
      <left style="thin">
        <color rgb="FF000000"/>
      </left>
      <right style="thin">
        <color rgb="FF000000"/>
      </right>
      <top style="thin">
        <color rgb="FF000000"/>
      </top>
      <bottom style="hair">
        <color rgb="FF000000"/>
      </bottom>
    </border>
    <border>
      <top style="thin">
        <color rgb="FF000000"/>
      </top>
      <bottom style="hair">
        <color rgb="FF000000"/>
      </bottom>
    </border>
    <border>
      <left style="thin">
        <color rgb="FF000000"/>
      </left>
      <right style="thin">
        <color rgb="FF000000"/>
      </right>
      <bottom style="thin">
        <color rgb="FF000000"/>
      </bottom>
    </border>
    <border>
      <left style="medium">
        <color rgb="FF000000"/>
      </left>
      <right/>
      <bottom/>
    </border>
    <border>
      <left/>
      <right style="double">
        <color rgb="FF000000"/>
      </right>
      <top style="thin">
        <color rgb="FF000000"/>
      </top>
      <bottom/>
    </border>
    <border>
      <left style="double">
        <color rgb="FF000000"/>
      </left>
      <right/>
      <top/>
      <bottom/>
    </border>
    <border>
      <left style="thin">
        <color rgb="FF000000"/>
      </left>
      <right style="thin">
        <color rgb="FF000000"/>
      </right>
      <top/>
      <bottom/>
    </border>
    <border>
      <left style="thin">
        <color rgb="FF000000"/>
      </left>
      <right style="double">
        <color rgb="FF000000"/>
      </right>
      <top/>
      <bottom/>
    </border>
    <border>
      <left style="medium">
        <color rgb="FF000000"/>
      </left>
      <top style="double">
        <color rgb="FF000000"/>
      </top>
    </border>
    <border>
      <right style="double">
        <color rgb="FF000000"/>
      </right>
      <top style="double">
        <color rgb="FF000000"/>
      </top>
    </border>
    <border>
      <left style="double">
        <color rgb="FF000000"/>
      </left>
      <right/>
      <top style="double">
        <color rgb="FF000000"/>
      </top>
      <bottom style="hair">
        <color rgb="FF000000"/>
      </bottom>
    </border>
    <border>
      <left/>
      <right/>
      <top style="double">
        <color rgb="FF000000"/>
      </top>
      <bottom style="hair">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hair">
        <color rgb="FF000000"/>
      </top>
      <bottom style="double">
        <color rgb="FF000000"/>
      </bottom>
    </border>
    <border>
      <left style="thin">
        <color rgb="FF000000"/>
      </left>
    </border>
    <border>
      <right style="thin">
        <color rgb="FF000000"/>
      </right>
    </border>
    <border>
      <top style="double">
        <color rgb="FF000000"/>
      </top>
      <bottom style="hair">
        <color rgb="FF000000"/>
      </bottom>
    </border>
    <border>
      <left style="thin">
        <color rgb="FF000000"/>
      </left>
      <bottom style="thin">
        <color rgb="FF000000"/>
      </bottom>
    </border>
    <border>
      <right style="thin">
        <color rgb="FF000000"/>
      </right>
      <bottom style="thin">
        <color rgb="FF000000"/>
      </bottom>
    </border>
    <border>
      <right style="double">
        <color rgb="FF000000"/>
      </right>
      <top style="hair">
        <color rgb="FF000000"/>
      </top>
      <bottom style="hair">
        <color rgb="FF000000"/>
      </bottom>
    </border>
    <border>
      <right style="double">
        <color rgb="FF000000"/>
      </right>
      <top style="hair">
        <color rgb="FF000000"/>
      </top>
      <bottom style="thin">
        <color rgb="FF000000"/>
      </bottom>
    </border>
    <border>
      <left style="thin">
        <color rgb="FF000000"/>
      </left>
      <right/>
      <top/>
      <bottom/>
    </border>
    <border>
      <left/>
      <right style="thin">
        <color rgb="FF000000"/>
      </right>
      <top/>
      <bottom/>
    </border>
    <border>
      <left/>
      <right style="double">
        <color rgb="FF000000"/>
      </right>
      <top/>
      <bottom/>
    </border>
    <border>
      <left style="medium">
        <color rgb="FF000000"/>
      </left>
      <top style="thin">
        <color rgb="FF000000"/>
      </top>
      <bottom/>
    </border>
    <border>
      <right style="double">
        <color rgb="FF000000"/>
      </right>
      <top style="thin">
        <color rgb="FF000000"/>
      </top>
      <bottom/>
    </border>
    <border>
      <left style="double">
        <color rgb="FF000000"/>
      </left>
      <right/>
      <top style="thin">
        <color rgb="FF000000"/>
      </top>
      <bottom/>
    </border>
    <border>
      <left style="thin">
        <color rgb="FF000000"/>
      </left>
      <right style="thin">
        <color rgb="FF000000"/>
      </right>
      <top style="thin">
        <color rgb="FF000000"/>
      </top>
      <bottom/>
    </border>
    <border>
      <left/>
      <right/>
      <top style="thin">
        <color rgb="FF000000"/>
      </top>
      <bottom/>
    </border>
    <border>
      <left style="medium">
        <color rgb="FF000000"/>
      </left>
      <top style="double">
        <color rgb="FF000000"/>
      </top>
      <bottom style="double">
        <color rgb="FF000000"/>
      </bottom>
    </border>
    <border>
      <right style="double">
        <color rgb="FF000000"/>
      </right>
      <top style="double">
        <color rgb="FF000000"/>
      </top>
      <bottom style="double">
        <color rgb="FF000000"/>
      </bottom>
    </border>
    <border>
      <left style="double">
        <color rgb="FF000000"/>
      </left>
      <right/>
      <top style="double">
        <color rgb="FF000000"/>
      </top>
      <bottom style="double">
        <color rgb="FF000000"/>
      </bottom>
    </border>
    <border>
      <left style="thin">
        <color rgb="FF000000"/>
      </left>
      <right style="thin">
        <color rgb="FF000000"/>
      </right>
      <top style="double">
        <color rgb="FF000000"/>
      </top>
      <bottom style="double">
        <color rgb="FF000000"/>
      </bottom>
    </border>
    <border>
      <left/>
      <right style="double">
        <color rgb="FF000000"/>
      </right>
      <top style="double">
        <color rgb="FF000000"/>
      </top>
      <bottom style="double">
        <color rgb="FF000000"/>
      </bottom>
    </border>
    <border>
      <left/>
      <right/>
      <top style="double">
        <color rgb="FF000000"/>
      </top>
      <bottom style="double">
        <color rgb="FF000000"/>
      </bottom>
    </border>
    <border>
      <left style="medium">
        <color rgb="FF000000"/>
      </left>
    </border>
    <border>
      <right style="double">
        <color rgb="FF000000"/>
      </right>
    </border>
    <border>
      <left style="double">
        <color rgb="FF000000"/>
      </left>
    </border>
    <border>
      <left style="medium">
        <color rgb="FF000000"/>
      </left>
      <right style="hair">
        <color rgb="FF000000"/>
      </right>
    </border>
    <border>
      <left style="hair">
        <color rgb="FF000000"/>
      </left>
      <right style="double">
        <color rgb="FF000000"/>
      </right>
      <top style="hair">
        <color rgb="FF000000"/>
      </top>
    </border>
    <border>
      <right style="double">
        <color rgb="FF000000"/>
      </right>
      <top style="hair">
        <color rgb="FF000000"/>
      </top>
    </border>
    <border>
      <left style="hair">
        <color rgb="FF000000"/>
      </left>
      <right style="double">
        <color rgb="FF000000"/>
      </right>
      <bottom style="thin">
        <color rgb="FF000000"/>
      </bottom>
    </border>
    <border>
      <left style="double">
        <color rgb="FF000000"/>
      </left>
      <bottom style="thin">
        <color rgb="FF000000"/>
      </bottom>
    </border>
    <border>
      <left/>
      <right style="double">
        <color rgb="FF000000"/>
      </right>
      <top/>
      <bottom style="thin">
        <color rgb="FF000000"/>
      </bottom>
    </border>
    <border>
      <bottom style="thin">
        <color rgb="FF000000"/>
      </bottom>
    </border>
    <border>
      <left style="medium">
        <color rgb="FF000000"/>
      </left>
      <top style="thin">
        <color rgb="FF000000"/>
      </top>
    </border>
    <border>
      <right style="double">
        <color rgb="FF000000"/>
      </right>
      <top style="thin">
        <color rgb="FF000000"/>
      </top>
    </border>
    <border>
      <left style="double">
        <color rgb="FF000000"/>
      </left>
      <top style="thin">
        <color rgb="FF000000"/>
      </top>
    </border>
    <border>
      <left style="thin">
        <color rgb="FF000000"/>
      </left>
      <right style="thin">
        <color rgb="FF000000"/>
      </right>
      <top style="thin">
        <color rgb="FF000000"/>
      </top>
    </border>
    <border>
      <top style="thin">
        <color rgb="FF000000"/>
      </top>
    </border>
    <border>
      <left style="medium">
        <color rgb="FF000000"/>
      </left>
      <bottom style="thin">
        <color rgb="FF000000"/>
      </bottom>
    </border>
    <border>
      <right style="double">
        <color rgb="FF000000"/>
      </right>
      <bottom style="thin">
        <color rgb="FF000000"/>
      </bottom>
    </border>
    <border>
      <left style="medium">
        <color rgb="FF000000"/>
      </left>
      <top style="thin">
        <color rgb="FF000000"/>
      </top>
      <bottom style="double">
        <color rgb="FF000000"/>
      </bottom>
    </border>
    <border>
      <right style="double">
        <color rgb="FF000000"/>
      </right>
      <top style="thin">
        <color rgb="FF000000"/>
      </top>
      <bottom style="double">
        <color rgb="FF000000"/>
      </bottom>
    </border>
    <border>
      <left style="double">
        <color rgb="FF000000"/>
      </left>
      <top style="thin">
        <color rgb="FF000000"/>
      </top>
      <bottom style="double">
        <color rgb="FF000000"/>
      </bottom>
    </border>
    <border>
      <left style="thin">
        <color rgb="FF000000"/>
      </left>
      <right style="thin">
        <color rgb="FF000000"/>
      </right>
      <top style="thin">
        <color rgb="FF000000"/>
      </top>
      <bottom style="double">
        <color rgb="FF000000"/>
      </bottom>
    </border>
    <border>
      <top style="thin">
        <color rgb="FF000000"/>
      </top>
      <bottom style="double">
        <color rgb="FF000000"/>
      </bottom>
    </border>
    <border>
      <left style="medium">
        <color rgb="FF000000"/>
      </left>
      <top/>
      <bottom style="medium">
        <color rgb="FF000000"/>
      </bottom>
    </border>
    <border>
      <right style="double">
        <color rgb="FF000000"/>
      </right>
      <top/>
      <bottom style="medium">
        <color rgb="FF000000"/>
      </bottom>
    </border>
    <border>
      <left style="double">
        <color rgb="FF000000"/>
      </left>
      <right/>
      <top/>
      <bottom style="medium">
        <color rgb="FF000000"/>
      </bottom>
    </border>
    <border>
      <left style="thin">
        <color rgb="FF000000"/>
      </left>
      <right style="thin">
        <color rgb="FF000000"/>
      </right>
      <top/>
      <bottom style="medium">
        <color rgb="FF000000"/>
      </bottom>
    </border>
    <border>
      <left/>
      <right style="double">
        <color rgb="FF000000"/>
      </right>
      <top/>
      <bottom style="medium">
        <color rgb="FF000000"/>
      </bottom>
    </border>
    <border>
      <left/>
      <right/>
      <top/>
      <bottom style="medium">
        <color rgb="FF000000"/>
      </bottom>
    </border>
    <border>
      <left style="thin">
        <color rgb="FF000000"/>
      </left>
      <right style="double">
        <color rgb="FF000000"/>
      </right>
      <top/>
      <bottom style="medium">
        <color rgb="FF000000"/>
      </bottom>
    </border>
    <border>
      <left/>
      <right style="thin">
        <color rgb="FF000000"/>
      </right>
      <top/>
      <bottom style="medium">
        <color rgb="FF000000"/>
      </bottom>
    </border>
    <border>
      <top style="medium">
        <color rgb="FF000000"/>
      </top>
    </border>
    <border>
      <left style="double">
        <color rgb="FF000000"/>
      </left>
      <top style="double">
        <color rgb="FF000000"/>
      </top>
    </border>
    <border>
      <left style="double">
        <color rgb="FF000000"/>
      </left>
      <right/>
      <top style="double">
        <color rgb="FF000000"/>
      </top>
      <bottom/>
    </border>
    <border>
      <left style="thin">
        <color rgb="FF000000"/>
      </left>
      <right style="thin">
        <color rgb="FF000000"/>
      </right>
      <top style="double">
        <color rgb="FF000000"/>
      </top>
      <bottom/>
    </border>
    <border>
      <left/>
      <right style="double">
        <color rgb="FF000000"/>
      </right>
      <top style="double">
        <color rgb="FF000000"/>
      </top>
      <bottom/>
    </border>
    <border>
      <left/>
      <right/>
      <top style="double">
        <color rgb="FF000000"/>
      </top>
      <bottom/>
    </border>
    <border>
      <left style="thin">
        <color rgb="FF000000"/>
      </left>
      <right/>
      <top style="double">
        <color rgb="FF000000"/>
      </top>
      <bottom/>
    </border>
    <border>
      <left style="double">
        <color rgb="FF000000"/>
      </left>
      <bottom style="double">
        <color rgb="FF000000"/>
      </bottom>
    </border>
    <border>
      <left style="double">
        <color rgb="FF000000"/>
      </left>
      <right/>
      <top/>
      <bottom style="double">
        <color rgb="FF000000"/>
      </bottom>
    </border>
    <border>
      <left style="thin">
        <color rgb="FF000000"/>
      </left>
      <right style="thin">
        <color rgb="FF000000"/>
      </right>
      <top/>
      <bottom style="double">
        <color rgb="FF000000"/>
      </bottom>
    </border>
    <border>
      <left/>
      <right style="double">
        <color rgb="FF000000"/>
      </right>
      <top/>
      <bottom style="double">
        <color rgb="FF000000"/>
      </bottom>
    </border>
    <border>
      <left/>
      <right/>
      <top/>
      <bottom style="double">
        <color rgb="FF000000"/>
      </bottom>
    </border>
    <border>
      <left style="thin">
        <color rgb="FF000000"/>
      </left>
      <right/>
      <top/>
      <bottom style="double">
        <color rgb="FF000000"/>
      </bottom>
    </border>
    <border>
      <left style="thin">
        <color rgb="FF000000"/>
      </left>
      <right style="double">
        <color rgb="FF000000"/>
      </right>
      <top style="medium">
        <color rgb="FF000000"/>
      </top>
      <bottom style="hair">
        <color rgb="FF000000"/>
      </bottom>
    </border>
    <border>
      <left/>
      <right/>
      <top style="medium">
        <color rgb="FF000000"/>
      </top>
      <bottom style="hair">
        <color rgb="FF000000"/>
      </bottom>
    </border>
    <border>
      <left/>
      <right style="thin">
        <color rgb="FF000000"/>
      </right>
      <top style="medium">
        <color rgb="FF000000"/>
      </top>
      <bottom style="hair">
        <color rgb="FF000000"/>
      </bottom>
    </border>
    <border>
      <left style="medium">
        <color rgb="FF000000"/>
      </left>
      <top style="medium">
        <color rgb="FF000000"/>
      </top>
      <bottom style="double">
        <color rgb="FF000000"/>
      </bottom>
    </border>
    <border>
      <right style="double">
        <color rgb="FF000000"/>
      </right>
      <top style="medium">
        <color rgb="FF000000"/>
      </top>
      <bottom style="double">
        <color rgb="FF000000"/>
      </bottom>
    </border>
    <border>
      <left style="double">
        <color rgb="FF000000"/>
      </left>
      <right style="thin">
        <color rgb="FF000000"/>
      </right>
      <top style="medium">
        <color rgb="FF000000"/>
      </top>
      <bottom style="double">
        <color rgb="FF000000"/>
      </bottom>
    </border>
    <border>
      <left style="thin">
        <color rgb="FF000000"/>
      </left>
      <right style="thin">
        <color rgb="FF000000"/>
      </right>
      <top style="medium">
        <color rgb="FF000000"/>
      </top>
      <bottom style="double">
        <color rgb="FF000000"/>
      </bottom>
    </border>
    <border>
      <left style="thin">
        <color rgb="FF000000"/>
      </left>
      <top style="medium">
        <color rgb="FF000000"/>
      </top>
      <bottom style="double">
        <color rgb="FF000000"/>
      </bottom>
    </border>
    <border>
      <left style="thin">
        <color rgb="FF000000"/>
      </left>
      <right style="double">
        <color rgb="FF000000"/>
      </right>
      <top style="medium">
        <color rgb="FF000000"/>
      </top>
      <bottom style="double">
        <color rgb="FF000000"/>
      </bottom>
    </border>
    <border>
      <top style="medium">
        <color rgb="FF000000"/>
      </top>
      <bottom style="double">
        <color rgb="FF000000"/>
      </bottom>
    </border>
    <border>
      <left style="thin">
        <color rgb="FF000000"/>
      </left>
      <top style="double">
        <color rgb="FF000000"/>
      </top>
      <bottom style="hair">
        <color rgb="FF000000"/>
      </bottom>
    </border>
    <border>
      <right style="thin">
        <color rgb="FF000000"/>
      </right>
      <top style="double">
        <color rgb="FF000000"/>
      </top>
      <bottom style="hair">
        <color rgb="FF000000"/>
      </bottom>
    </border>
    <border>
      <left style="double">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double">
        <color rgb="FF000000"/>
      </left>
      <right style="thin">
        <color rgb="FF000000"/>
      </right>
      <top style="hair">
        <color rgb="FF000000"/>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double">
        <color rgb="FF000000"/>
      </right>
      <top style="thin">
        <color rgb="FF000000"/>
      </top>
      <bottom style="thin">
        <color rgb="FF000000"/>
      </bottom>
    </border>
    <border>
      <left style="double">
        <color rgb="FF000000"/>
      </left>
      <right style="thin">
        <color rgb="FF000000"/>
      </right>
      <bottom style="thin">
        <color rgb="FF000000"/>
      </bottom>
    </border>
    <border>
      <left style="thin">
        <color rgb="FF000000"/>
      </left>
      <right style="double">
        <color rgb="FF000000"/>
      </right>
      <bottom style="thin">
        <color rgb="FF000000"/>
      </bottom>
    </border>
    <border>
      <left style="thin">
        <color rgb="FF000000"/>
      </left>
      <right style="double">
        <color rgb="FF000000"/>
      </right>
      <bottom style="hair">
        <color rgb="FF000000"/>
      </bottom>
    </border>
    <border>
      <left style="double">
        <color rgb="FF000000"/>
      </left>
      <right style="thin">
        <color rgb="FF000000"/>
      </right>
      <bottom style="hair">
        <color rgb="FF000000"/>
      </bottom>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top style="hair">
        <color rgb="FF000000"/>
      </top>
      <bottom style="hair">
        <color rgb="FF000000"/>
      </bottom>
    </border>
    <border>
      <left/>
      <right/>
      <top style="hair">
        <color rgb="FF000000"/>
      </top>
      <bottom style="hair">
        <color rgb="FF000000"/>
      </bottom>
    </border>
    <border>
      <left style="double">
        <color rgb="FF000000"/>
      </left>
      <right style="thin">
        <color rgb="FF000000"/>
      </right>
    </border>
    <border>
      <left style="thin">
        <color rgb="FF000000"/>
      </left>
      <right style="double">
        <color rgb="FF000000"/>
      </right>
    </border>
    <border>
      <left style="double">
        <color rgb="FF000000"/>
      </left>
      <right style="thin">
        <color rgb="FF000000"/>
      </right>
      <top style="double">
        <color rgb="FF000000"/>
      </top>
      <bottom style="double">
        <color rgb="FF000000"/>
      </bottom>
    </border>
    <border>
      <left style="thin">
        <color rgb="FF000000"/>
      </left>
      <right/>
      <top style="double">
        <color rgb="FF000000"/>
      </top>
      <bottom style="double">
        <color rgb="FF000000"/>
      </bottom>
    </border>
    <border>
      <left style="thin">
        <color rgb="FF000000"/>
      </left>
      <right style="double">
        <color rgb="FF000000"/>
      </right>
      <top style="double">
        <color rgb="FF000000"/>
      </top>
      <bottom style="double">
        <color rgb="FF000000"/>
      </bottom>
    </border>
    <border>
      <left/>
      <right style="thin">
        <color rgb="FF000000"/>
      </right>
      <top style="double">
        <color rgb="FF000000"/>
      </top>
      <bottom style="double">
        <color rgb="FF000000"/>
      </bottom>
    </border>
    <border>
      <left/>
      <right style="thin">
        <color rgb="FF000000"/>
      </right>
      <top style="hair">
        <color rgb="FF000000"/>
      </top>
      <bottom style="hair">
        <color rgb="FF000000"/>
      </bottom>
    </border>
    <border>
      <left style="double">
        <color rgb="FF000000"/>
      </left>
      <right style="thin">
        <color rgb="FF000000"/>
      </right>
      <top style="hair">
        <color rgb="FF000000"/>
      </top>
    </border>
    <border>
      <left style="thin">
        <color rgb="FF000000"/>
      </left>
      <top style="hair">
        <color rgb="FF000000"/>
      </top>
    </border>
    <border>
      <right style="thin">
        <color rgb="FF000000"/>
      </right>
      <top style="hair">
        <color rgb="FF000000"/>
      </top>
    </border>
    <border>
      <left style="double">
        <color rgb="FF000000"/>
      </left>
      <right style="thin">
        <color rgb="FF000000"/>
      </right>
      <top style="thin">
        <color rgb="FF000000"/>
      </top>
      <bottom style="hair">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double">
        <color rgb="FF000000"/>
      </left>
      <right style="thin">
        <color rgb="FF000000"/>
      </right>
      <top/>
      <bottom style="double">
        <color rgb="FF000000"/>
      </bottom>
    </border>
    <border>
      <left style="thin">
        <color rgb="FF000000"/>
      </left>
      <right style="double">
        <color rgb="FF000000"/>
      </right>
      <top/>
      <bottom style="double">
        <color rgb="FF000000"/>
      </bottom>
    </border>
    <border>
      <left/>
      <right style="thin">
        <color rgb="FF000000"/>
      </right>
      <top/>
      <bottom style="double">
        <color rgb="FF000000"/>
      </bottom>
    </border>
    <border>
      <left style="medium">
        <color rgb="FF000000"/>
      </left>
      <top style="double">
        <color rgb="FF000000"/>
      </top>
      <bottom style="medium">
        <color rgb="FF000000"/>
      </bottom>
    </border>
    <border>
      <right style="double">
        <color rgb="FF000000"/>
      </right>
      <top style="double">
        <color rgb="FF000000"/>
      </top>
      <bottom style="medium">
        <color rgb="FF000000"/>
      </bottom>
    </border>
    <border>
      <left style="double">
        <color rgb="FF000000"/>
      </left>
      <right style="thin">
        <color rgb="FF000000"/>
      </right>
      <top/>
      <bottom style="medium">
        <color rgb="FF000000"/>
      </bottom>
    </border>
    <border>
      <left style="thin">
        <color rgb="FF000000"/>
      </left>
      <right/>
      <top/>
      <bottom style="medium">
        <color rgb="FF000000"/>
      </bottom>
    </border>
    <border>
      <top style="thin">
        <color rgb="FF000000"/>
      </top>
      <bottom style="thin">
        <color rgb="FF000000"/>
      </bottom>
    </border>
    <border>
      <left style="thin">
        <color rgb="FF000000"/>
      </left>
      <top/>
      <bottom/>
    </border>
    <border>
      <right/>
      <top/>
      <bottom/>
    </border>
  </borders>
  <cellStyleXfs count="1">
    <xf borderId="0" fillId="0" fontId="0" numFmtId="0" applyAlignment="1" applyFont="1"/>
  </cellStyleXfs>
  <cellXfs count="520">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vertical="center"/>
    </xf>
    <xf borderId="2" fillId="3" fontId="3" numFmtId="164" xfId="0" applyAlignment="1" applyBorder="1" applyFill="1" applyFont="1" applyNumberFormat="1">
      <alignment vertical="center"/>
    </xf>
    <xf borderId="3" fillId="3" fontId="3" numFmtId="164" xfId="0" applyAlignment="1" applyBorder="1" applyFont="1" applyNumberFormat="1">
      <alignment vertical="center"/>
    </xf>
    <xf borderId="3" fillId="3" fontId="4" numFmtId="164" xfId="0" applyAlignment="1" applyBorder="1" applyFont="1" applyNumberFormat="1">
      <alignment vertical="center"/>
    </xf>
    <xf borderId="1" fillId="2" fontId="2" numFmtId="164" xfId="0" applyAlignment="1" applyBorder="1" applyFont="1" applyNumberFormat="1">
      <alignment vertical="center"/>
    </xf>
    <xf borderId="1" fillId="2" fontId="1" numFmtId="164" xfId="0" applyAlignment="1" applyBorder="1" applyFont="1" applyNumberFormat="1">
      <alignment vertical="center"/>
    </xf>
    <xf borderId="4" fillId="2" fontId="5" numFmtId="0" xfId="0" applyAlignment="1" applyBorder="1" applyFont="1">
      <alignment horizontal="center" vertical="center"/>
    </xf>
    <xf borderId="0" fillId="0" fontId="6" numFmtId="0" xfId="0" applyAlignment="1" applyFont="1">
      <alignment vertical="center"/>
    </xf>
    <xf borderId="0" fillId="0" fontId="7" numFmtId="0" xfId="0" applyAlignment="1" applyFont="1">
      <alignment vertical="center"/>
    </xf>
    <xf borderId="0" fillId="0" fontId="8" numFmtId="0" xfId="0" applyAlignment="1" applyFont="1">
      <alignment vertical="center"/>
    </xf>
    <xf borderId="1" fillId="4" fontId="9" numFmtId="0" xfId="0" applyAlignment="1" applyBorder="1" applyFill="1" applyFont="1">
      <alignment vertical="center"/>
    </xf>
    <xf borderId="1" fillId="4" fontId="10" numFmtId="0" xfId="0" applyAlignment="1" applyBorder="1" applyFont="1">
      <alignment vertical="center"/>
    </xf>
    <xf borderId="1" fillId="4" fontId="11" numFmtId="0" xfId="0" applyAlignment="1" applyBorder="1" applyFont="1">
      <alignment vertical="center"/>
    </xf>
    <xf borderId="0" fillId="0" fontId="12" numFmtId="0" xfId="0" applyAlignment="1" applyFont="1">
      <alignment vertical="center"/>
    </xf>
    <xf borderId="0" fillId="0" fontId="13" numFmtId="0" xfId="0" applyAlignment="1" applyFont="1">
      <alignment vertical="center"/>
    </xf>
    <xf borderId="0" fillId="0" fontId="14" numFmtId="0" xfId="0" applyAlignment="1" applyFont="1">
      <alignment vertical="center"/>
    </xf>
    <xf borderId="0" fillId="0" fontId="15" numFmtId="0" xfId="0" applyAlignment="1" applyFont="1">
      <alignment vertical="center"/>
    </xf>
    <xf borderId="0" fillId="0" fontId="1" numFmtId="0" xfId="0" applyAlignment="1" applyFont="1">
      <alignment vertical="center"/>
    </xf>
    <xf borderId="0" fillId="0" fontId="2" numFmtId="0" xfId="0" applyAlignment="1" applyFont="1">
      <alignment vertical="center"/>
    </xf>
    <xf borderId="5" fillId="3" fontId="4" numFmtId="0" xfId="0" applyAlignment="1" applyBorder="1" applyFont="1">
      <alignment horizontal="center" vertical="center"/>
    </xf>
    <xf borderId="6" fillId="0" fontId="16" numFmtId="0" xfId="0" applyBorder="1" applyFont="1"/>
    <xf borderId="2" fillId="3" fontId="3" numFmtId="164" xfId="0" applyAlignment="1" applyBorder="1" applyFont="1" applyNumberFormat="1">
      <alignment horizontal="center" vertical="center"/>
    </xf>
    <xf borderId="3" fillId="3" fontId="3" numFmtId="165" xfId="0" applyAlignment="1" applyBorder="1" applyFont="1" applyNumberFormat="1">
      <alignment horizontal="center" vertical="center"/>
    </xf>
    <xf borderId="3" fillId="3" fontId="4" numFmtId="165" xfId="0" applyAlignment="1" applyBorder="1" applyFont="1" applyNumberFormat="1">
      <alignment horizontal="center" vertical="center"/>
    </xf>
    <xf borderId="2" fillId="3" fontId="3" numFmtId="165" xfId="0" applyAlignment="1" applyBorder="1" applyFont="1" applyNumberFormat="1">
      <alignment horizontal="center" vertical="center"/>
    </xf>
    <xf borderId="3" fillId="3" fontId="17" numFmtId="165" xfId="0" applyAlignment="1" applyBorder="1" applyFont="1" applyNumberFormat="1">
      <alignment horizontal="center" vertical="center"/>
    </xf>
    <xf borderId="3" fillId="3" fontId="17" numFmtId="165" xfId="0" applyAlignment="1" applyBorder="1" applyFont="1" applyNumberFormat="1">
      <alignment horizontal="right" vertical="center"/>
    </xf>
    <xf borderId="3" fillId="5" fontId="17" numFmtId="165" xfId="0" applyAlignment="1" applyBorder="1" applyFill="1" applyFont="1" applyNumberFormat="1">
      <alignment horizontal="center" vertical="center"/>
    </xf>
    <xf borderId="7" fillId="0" fontId="16" numFmtId="0" xfId="0" applyBorder="1" applyFont="1"/>
    <xf borderId="8" fillId="0" fontId="16" numFmtId="0" xfId="0" applyBorder="1" applyFont="1"/>
    <xf borderId="9" fillId="3" fontId="3" numFmtId="166" xfId="0" applyAlignment="1" applyBorder="1" applyFont="1" applyNumberFormat="1">
      <alignment vertical="center"/>
    </xf>
    <xf borderId="10" fillId="3" fontId="3" numFmtId="166" xfId="0" applyAlignment="1" applyBorder="1" applyFont="1" applyNumberFormat="1">
      <alignment vertical="center"/>
    </xf>
    <xf borderId="10" fillId="3" fontId="4" numFmtId="166" xfId="0" applyAlignment="1" applyBorder="1" applyFont="1" applyNumberFormat="1">
      <alignment vertical="center"/>
    </xf>
    <xf borderId="11" fillId="3" fontId="3" numFmtId="166" xfId="0" applyAlignment="1" applyBorder="1" applyFont="1" applyNumberFormat="1">
      <alignment vertical="center"/>
    </xf>
    <xf borderId="12" fillId="3" fontId="4" numFmtId="166" xfId="0" applyAlignment="1" applyBorder="1" applyFont="1" applyNumberFormat="1">
      <alignment vertical="center"/>
    </xf>
    <xf borderId="13" fillId="3" fontId="4" numFmtId="166" xfId="0" applyAlignment="1" applyBorder="1" applyFont="1" applyNumberFormat="1">
      <alignment vertical="center"/>
    </xf>
    <xf borderId="10" fillId="3" fontId="4" numFmtId="0" xfId="0" applyAlignment="1" applyBorder="1" applyFont="1">
      <alignment vertical="center"/>
    </xf>
    <xf borderId="10" fillId="3" fontId="4" numFmtId="0" xfId="0" applyAlignment="1" applyBorder="1" applyFont="1">
      <alignment horizontal="right" vertical="center"/>
    </xf>
    <xf borderId="10" fillId="5" fontId="4" numFmtId="0" xfId="0" applyAlignment="1" applyBorder="1" applyFont="1">
      <alignment vertical="center"/>
    </xf>
    <xf borderId="10" fillId="6" fontId="4" numFmtId="0" xfId="0" applyAlignment="1" applyBorder="1" applyFill="1" applyFont="1">
      <alignment vertical="center"/>
    </xf>
    <xf borderId="14" fillId="7" fontId="18" numFmtId="0" xfId="0" applyAlignment="1" applyBorder="1" applyFill="1" applyFont="1">
      <alignment horizontal="center" textRotation="255" vertical="center"/>
    </xf>
    <xf borderId="15" fillId="0" fontId="19" numFmtId="0" xfId="0" applyBorder="1" applyFont="1"/>
    <xf borderId="16" fillId="0" fontId="20" numFmtId="38" xfId="0" applyAlignment="1" applyBorder="1" applyFont="1" applyNumberFormat="1">
      <alignment vertical="center"/>
    </xf>
    <xf borderId="17" fillId="0" fontId="20" numFmtId="38" xfId="0" applyAlignment="1" applyBorder="1" applyFont="1" applyNumberFormat="1">
      <alignment vertical="center"/>
    </xf>
    <xf borderId="17" fillId="0" fontId="1" numFmtId="38" xfId="0" applyAlignment="1" applyBorder="1" applyFont="1" applyNumberFormat="1">
      <alignment vertical="center"/>
    </xf>
    <xf borderId="17" fillId="0" fontId="21" numFmtId="38" xfId="0" applyAlignment="1" applyBorder="1" applyFont="1" applyNumberFormat="1">
      <alignment vertical="center"/>
    </xf>
    <xf borderId="18" fillId="0" fontId="20" numFmtId="38" xfId="0" applyAlignment="1" applyBorder="1" applyFont="1" applyNumberFormat="1">
      <alignment vertical="center"/>
    </xf>
    <xf borderId="19" fillId="0" fontId="20" numFmtId="38" xfId="0" applyAlignment="1" applyBorder="1" applyFont="1" applyNumberFormat="1">
      <alignment vertical="center"/>
    </xf>
    <xf borderId="20" fillId="0" fontId="1" numFmtId="38" xfId="0" applyAlignment="1" applyBorder="1" applyFont="1" applyNumberFormat="1">
      <alignment vertical="center"/>
    </xf>
    <xf borderId="21" fillId="0" fontId="16" numFmtId="0" xfId="0" applyBorder="1" applyFont="1"/>
    <xf borderId="22" fillId="0" fontId="20" numFmtId="38" xfId="0" applyAlignment="1" applyBorder="1" applyFont="1" applyNumberFormat="1">
      <alignment vertical="center"/>
    </xf>
    <xf borderId="23" fillId="0" fontId="20" numFmtId="38" xfId="0" applyAlignment="1" applyBorder="1" applyFont="1" applyNumberFormat="1">
      <alignment vertical="center"/>
    </xf>
    <xf borderId="23" fillId="0" fontId="1" numFmtId="38" xfId="0" applyAlignment="1" applyBorder="1" applyFont="1" applyNumberFormat="1">
      <alignment vertical="center"/>
    </xf>
    <xf borderId="23" fillId="0" fontId="21" numFmtId="38" xfId="0" applyAlignment="1" applyBorder="1" applyFont="1" applyNumberFormat="1">
      <alignment vertical="center"/>
    </xf>
    <xf borderId="24" fillId="0" fontId="20" numFmtId="38" xfId="0" applyAlignment="1" applyBorder="1" applyFont="1" applyNumberFormat="1">
      <alignment vertical="center"/>
    </xf>
    <xf borderId="25" fillId="0" fontId="20" numFmtId="38" xfId="0" applyAlignment="1" applyBorder="1" applyFont="1" applyNumberFormat="1">
      <alignment vertical="center"/>
    </xf>
    <xf borderId="26" fillId="0" fontId="1" numFmtId="38" xfId="0" applyAlignment="1" applyBorder="1" applyFont="1" applyNumberFormat="1">
      <alignment vertical="center"/>
    </xf>
    <xf borderId="23" fillId="0" fontId="1" numFmtId="38" xfId="0" applyAlignment="1" applyBorder="1" applyFont="1" applyNumberFormat="1">
      <alignment readingOrder="0" vertical="center"/>
    </xf>
    <xf borderId="27" fillId="0" fontId="20" numFmtId="38" xfId="0" applyAlignment="1" applyBorder="1" applyFont="1" applyNumberFormat="1">
      <alignment vertical="center"/>
    </xf>
    <xf borderId="28" fillId="0" fontId="20" numFmtId="38" xfId="0" applyAlignment="1" applyBorder="1" applyFont="1" applyNumberFormat="1">
      <alignment vertical="center"/>
    </xf>
    <xf borderId="28" fillId="0" fontId="1" numFmtId="38" xfId="0" applyAlignment="1" applyBorder="1" applyFont="1" applyNumberFormat="1">
      <alignment vertical="center"/>
    </xf>
    <xf borderId="28" fillId="0" fontId="21" numFmtId="38" xfId="0" applyAlignment="1" applyBorder="1" applyFont="1" applyNumberFormat="1">
      <alignment vertical="center"/>
    </xf>
    <xf borderId="29" fillId="0" fontId="20" numFmtId="38" xfId="0" applyAlignment="1" applyBorder="1" applyFont="1" applyNumberFormat="1">
      <alignment vertical="center"/>
    </xf>
    <xf borderId="30" fillId="0" fontId="20" numFmtId="38" xfId="0" applyAlignment="1" applyBorder="1" applyFont="1" applyNumberFormat="1">
      <alignment vertical="center"/>
    </xf>
    <xf borderId="1" fillId="2" fontId="22" numFmtId="0" xfId="0" applyAlignment="1" applyBorder="1" applyFont="1">
      <alignment horizontal="center" vertical="center"/>
    </xf>
    <xf borderId="1" fillId="2" fontId="22" numFmtId="0" xfId="0" applyAlignment="1" applyBorder="1" applyFont="1">
      <alignment vertical="center"/>
    </xf>
    <xf borderId="31" fillId="0" fontId="20" numFmtId="38" xfId="0" applyAlignment="1" applyBorder="1" applyFont="1" applyNumberFormat="1">
      <alignment vertical="center"/>
    </xf>
    <xf borderId="32" fillId="0" fontId="20" numFmtId="38" xfId="0" applyAlignment="1" applyBorder="1" applyFont="1" applyNumberFormat="1">
      <alignment vertical="center"/>
    </xf>
    <xf borderId="32" fillId="0" fontId="1" numFmtId="38" xfId="0" applyAlignment="1" applyBorder="1" applyFont="1" applyNumberFormat="1">
      <alignment vertical="center"/>
    </xf>
    <xf borderId="32" fillId="0" fontId="21" numFmtId="38" xfId="0" applyAlignment="1" applyBorder="1" applyFont="1" applyNumberFormat="1">
      <alignment vertical="center"/>
    </xf>
    <xf borderId="33" fillId="0" fontId="20" numFmtId="38" xfId="0" applyAlignment="1" applyBorder="1" applyFont="1" applyNumberFormat="1">
      <alignment vertical="center"/>
    </xf>
    <xf borderId="34" fillId="0" fontId="20" numFmtId="38" xfId="0" applyAlignment="1" applyBorder="1" applyFont="1" applyNumberFormat="1">
      <alignment vertical="center"/>
    </xf>
    <xf borderId="15" fillId="8" fontId="1" numFmtId="0" xfId="0" applyAlignment="1" applyBorder="1" applyFill="1" applyFont="1">
      <alignment horizontal="center" vertical="center"/>
    </xf>
    <xf borderId="0" fillId="0" fontId="1" numFmtId="167" xfId="0" applyAlignment="1" applyFont="1" applyNumberFormat="1">
      <alignment vertical="center"/>
    </xf>
    <xf borderId="35" fillId="0" fontId="16" numFmtId="0" xfId="0" applyBorder="1" applyFont="1"/>
    <xf borderId="36" fillId="7" fontId="18" numFmtId="0" xfId="0" applyAlignment="1" applyBorder="1" applyFont="1">
      <alignment vertical="center"/>
    </xf>
    <xf borderId="37" fillId="7" fontId="23" numFmtId="38" xfId="0" applyAlignment="1" applyBorder="1" applyFont="1" applyNumberFormat="1">
      <alignment vertical="center"/>
    </xf>
    <xf borderId="38" fillId="7" fontId="23" numFmtId="38" xfId="0" applyAlignment="1" applyBorder="1" applyFont="1" applyNumberFormat="1">
      <alignment vertical="center"/>
    </xf>
    <xf borderId="38" fillId="7" fontId="18" numFmtId="38" xfId="0" applyAlignment="1" applyBorder="1" applyFont="1" applyNumberFormat="1">
      <alignment vertical="center"/>
    </xf>
    <xf borderId="38" fillId="7" fontId="24" numFmtId="38" xfId="0" applyAlignment="1" applyBorder="1" applyFont="1" applyNumberFormat="1">
      <alignment vertical="center"/>
    </xf>
    <xf borderId="39" fillId="7" fontId="23" numFmtId="38" xfId="0" applyAlignment="1" applyBorder="1" applyFont="1" applyNumberFormat="1">
      <alignment vertical="center"/>
    </xf>
    <xf borderId="40" fillId="7" fontId="23" numFmtId="38" xfId="0" applyAlignment="1" applyBorder="1" applyFont="1" applyNumberFormat="1">
      <alignment vertical="center"/>
    </xf>
    <xf borderId="41" fillId="0" fontId="1" numFmtId="167" xfId="0" applyAlignment="1" applyBorder="1" applyFont="1" applyNumberFormat="1">
      <alignment vertical="center"/>
    </xf>
    <xf borderId="42" fillId="9" fontId="1" numFmtId="0" xfId="0" applyAlignment="1" applyBorder="1" applyFill="1" applyFont="1">
      <alignment horizontal="center" textRotation="255" vertical="center"/>
    </xf>
    <xf borderId="43" fillId="0" fontId="1" numFmtId="0" xfId="0" applyAlignment="1" applyBorder="1" applyFont="1">
      <alignment vertical="center"/>
    </xf>
    <xf borderId="44" fillId="0" fontId="20" numFmtId="38" xfId="0" applyAlignment="1" applyBorder="1" applyFont="1" applyNumberFormat="1">
      <alignment vertical="center"/>
    </xf>
    <xf borderId="45" fillId="0" fontId="20" numFmtId="38" xfId="0" applyAlignment="1" applyBorder="1" applyFont="1" applyNumberFormat="1">
      <alignment vertical="center"/>
    </xf>
    <xf borderId="45" fillId="0" fontId="1" numFmtId="38" xfId="0" applyAlignment="1" applyBorder="1" applyFont="1" applyNumberFormat="1">
      <alignment vertical="center"/>
    </xf>
    <xf borderId="45" fillId="0" fontId="21" numFmtId="38" xfId="0" applyAlignment="1" applyBorder="1" applyFont="1" applyNumberFormat="1">
      <alignment vertical="center"/>
    </xf>
    <xf borderId="43" fillId="0" fontId="20" numFmtId="38" xfId="0" applyAlignment="1" applyBorder="1" applyFont="1" applyNumberFormat="1">
      <alignment vertical="center"/>
    </xf>
    <xf borderId="46" fillId="0" fontId="20" numFmtId="38" xfId="0" applyAlignment="1" applyBorder="1" applyFont="1" applyNumberFormat="1">
      <alignment vertical="center"/>
    </xf>
    <xf borderId="24" fillId="0" fontId="1" numFmtId="0" xfId="0" applyAlignment="1" applyBorder="1" applyFont="1">
      <alignment vertical="center"/>
    </xf>
    <xf borderId="47" fillId="0" fontId="1" numFmtId="167" xfId="0" applyAlignment="1" applyBorder="1" applyFont="1" applyNumberFormat="1">
      <alignment vertical="center"/>
    </xf>
    <xf borderId="33" fillId="0" fontId="1" numFmtId="0" xfId="0" applyAlignment="1" applyBorder="1" applyFont="1">
      <alignment vertical="center"/>
    </xf>
    <xf borderId="48" fillId="0" fontId="16" numFmtId="0" xfId="0" applyBorder="1" applyFont="1"/>
    <xf borderId="49" fillId="9" fontId="1" numFmtId="0" xfId="0" applyAlignment="1" applyBorder="1" applyFont="1">
      <alignment vertical="center"/>
    </xf>
    <xf borderId="50" fillId="9" fontId="20" numFmtId="38" xfId="0" applyAlignment="1" applyBorder="1" applyFont="1" applyNumberFormat="1">
      <alignment vertical="center"/>
    </xf>
    <xf borderId="51" fillId="9" fontId="20" numFmtId="38" xfId="0" applyAlignment="1" applyBorder="1" applyFont="1" applyNumberFormat="1">
      <alignment vertical="center"/>
    </xf>
    <xf borderId="51" fillId="9" fontId="1" numFmtId="38" xfId="0" applyAlignment="1" applyBorder="1" applyFont="1" applyNumberFormat="1">
      <alignment vertical="center"/>
    </xf>
    <xf borderId="51" fillId="9" fontId="21" numFmtId="38" xfId="0" applyAlignment="1" applyBorder="1" applyFont="1" applyNumberFormat="1">
      <alignment vertical="center"/>
    </xf>
    <xf borderId="52" fillId="9" fontId="20" numFmtId="38" xfId="0" applyAlignment="1" applyBorder="1" applyFont="1" applyNumberFormat="1">
      <alignment vertical="center"/>
    </xf>
    <xf borderId="1" fillId="9" fontId="20" numFmtId="38" xfId="0" applyAlignment="1" applyBorder="1" applyFont="1" applyNumberFormat="1">
      <alignment vertical="center"/>
    </xf>
    <xf borderId="53" fillId="7" fontId="18" numFmtId="0" xfId="0" applyAlignment="1" applyBorder="1" applyFont="1">
      <alignment horizontal="center" vertical="center"/>
    </xf>
    <xf borderId="54" fillId="0" fontId="16" numFmtId="0" xfId="0" applyBorder="1" applyFont="1"/>
    <xf borderId="55" fillId="7" fontId="23" numFmtId="38" xfId="0" applyAlignment="1" applyBorder="1" applyFont="1" applyNumberFormat="1">
      <alignment vertical="center"/>
    </xf>
    <xf borderId="17" fillId="7" fontId="23" numFmtId="38" xfId="0" applyAlignment="1" applyBorder="1" applyFont="1" applyNumberFormat="1">
      <alignment vertical="center"/>
    </xf>
    <xf borderId="17" fillId="7" fontId="18" numFmtId="38" xfId="0" applyAlignment="1" applyBorder="1" applyFont="1" applyNumberFormat="1">
      <alignment vertical="center"/>
    </xf>
    <xf borderId="17" fillId="7" fontId="24" numFmtId="38" xfId="0" applyAlignment="1" applyBorder="1" applyFont="1" applyNumberFormat="1">
      <alignment vertical="center"/>
    </xf>
    <xf borderId="18" fillId="7" fontId="23" numFmtId="38" xfId="0" applyAlignment="1" applyBorder="1" applyFont="1" applyNumberFormat="1">
      <alignment vertical="center"/>
    </xf>
    <xf borderId="56" fillId="7" fontId="23" numFmtId="38" xfId="0" applyAlignment="1" applyBorder="1" applyFont="1" applyNumberFormat="1">
      <alignment vertical="center"/>
    </xf>
    <xf borderId="57" fillId="8" fontId="22" numFmtId="0" xfId="0" applyAlignment="1" applyBorder="1" applyFont="1">
      <alignment horizontal="center" vertical="center"/>
    </xf>
    <xf borderId="58" fillId="0" fontId="16" numFmtId="0" xfId="0" applyBorder="1" applyFont="1"/>
    <xf borderId="1" fillId="2" fontId="1" numFmtId="0" xfId="0" applyAlignment="1" applyBorder="1" applyFont="1">
      <alignment horizontal="center" vertical="center"/>
    </xf>
    <xf borderId="9" fillId="7" fontId="23" numFmtId="167" xfId="0" applyAlignment="1" applyBorder="1" applyFont="1" applyNumberFormat="1">
      <alignment vertical="center"/>
    </xf>
    <xf borderId="10" fillId="7" fontId="23" numFmtId="167" xfId="0" applyAlignment="1" applyBorder="1" applyFont="1" applyNumberFormat="1">
      <alignment vertical="center"/>
    </xf>
    <xf borderId="10" fillId="7" fontId="18" numFmtId="167" xfId="0" applyAlignment="1" applyBorder="1" applyFont="1" applyNumberFormat="1">
      <alignment vertical="center"/>
    </xf>
    <xf borderId="10" fillId="7" fontId="24" numFmtId="167" xfId="0" applyAlignment="1" applyBorder="1" applyFont="1" applyNumberFormat="1">
      <alignment vertical="center"/>
    </xf>
    <xf borderId="12" fillId="7" fontId="23" numFmtId="167" xfId="0" applyAlignment="1" applyBorder="1" applyFont="1" applyNumberFormat="1">
      <alignment vertical="center"/>
    </xf>
    <xf borderId="59" fillId="7" fontId="23" numFmtId="167" xfId="0" applyAlignment="1" applyBorder="1" applyFont="1" applyNumberFormat="1">
      <alignment vertical="center"/>
    </xf>
    <xf borderId="60" fillId="0" fontId="1" numFmtId="38" xfId="0" applyAlignment="1" applyBorder="1" applyFont="1" applyNumberFormat="1">
      <alignment vertical="center"/>
    </xf>
    <xf borderId="61" fillId="0" fontId="22" numFmtId="0" xfId="0" applyAlignment="1" applyBorder="1" applyFont="1">
      <alignment horizontal="center" vertical="center"/>
    </xf>
    <xf borderId="0" fillId="0" fontId="22" numFmtId="0" xfId="0" applyAlignment="1" applyFont="1">
      <alignment horizontal="center" vertical="center"/>
    </xf>
    <xf borderId="14" fillId="9" fontId="22" numFmtId="0" xfId="0" applyAlignment="1" applyBorder="1" applyFont="1">
      <alignment horizontal="center" textRotation="255" vertical="center"/>
    </xf>
    <xf borderId="18" fillId="0" fontId="22" numFmtId="0" xfId="0" applyAlignment="1" applyBorder="1" applyFont="1">
      <alignment vertical="center"/>
    </xf>
    <xf borderId="62" fillId="0" fontId="20" numFmtId="38" xfId="0" applyAlignment="1" applyBorder="1" applyFont="1" applyNumberFormat="1">
      <alignment vertical="center"/>
    </xf>
    <xf borderId="24" fillId="0" fontId="22" numFmtId="0" xfId="0" applyAlignment="1" applyBorder="1" applyFont="1">
      <alignment vertical="center"/>
    </xf>
    <xf borderId="60" fillId="0" fontId="22" numFmtId="38" xfId="0" applyAlignment="1" applyBorder="1" applyFont="1" applyNumberFormat="1">
      <alignment horizontal="center" vertical="center"/>
    </xf>
    <xf borderId="61" fillId="0" fontId="1" numFmtId="167" xfId="0" applyAlignment="1" applyBorder="1" applyFont="1" applyNumberFormat="1">
      <alignment vertical="center"/>
    </xf>
    <xf borderId="63" fillId="0" fontId="1" numFmtId="38" xfId="0" applyAlignment="1" applyBorder="1" applyFont="1" applyNumberFormat="1">
      <alignment vertical="center"/>
    </xf>
    <xf borderId="64" fillId="0" fontId="22" numFmtId="0" xfId="0" applyAlignment="1" applyBorder="1" applyFont="1">
      <alignment horizontal="center" vertical="center"/>
    </xf>
    <xf borderId="33" fillId="0" fontId="22" numFmtId="0" xfId="0" applyAlignment="1" applyBorder="1" applyFont="1">
      <alignment vertical="center"/>
    </xf>
    <xf borderId="36" fillId="9" fontId="22" numFmtId="0" xfId="0" applyAlignment="1" applyBorder="1" applyFont="1">
      <alignment vertical="center"/>
    </xf>
    <xf borderId="37" fillId="9" fontId="20" numFmtId="38" xfId="0" applyAlignment="1" applyBorder="1" applyFont="1" applyNumberFormat="1">
      <alignment vertical="center"/>
    </xf>
    <xf borderId="38" fillId="9" fontId="20" numFmtId="38" xfId="0" applyAlignment="1" applyBorder="1" applyFont="1" applyNumberFormat="1">
      <alignment vertical="center"/>
    </xf>
    <xf borderId="38" fillId="9" fontId="1" numFmtId="38" xfId="0" applyAlignment="1" applyBorder="1" applyFont="1" applyNumberFormat="1">
      <alignment vertical="center"/>
    </xf>
    <xf borderId="38" fillId="9" fontId="21" numFmtId="38" xfId="0" applyAlignment="1" applyBorder="1" applyFont="1" applyNumberFormat="1">
      <alignment vertical="center"/>
    </xf>
    <xf borderId="39" fillId="9" fontId="20" numFmtId="38" xfId="0" applyAlignment="1" applyBorder="1" applyFont="1" applyNumberFormat="1">
      <alignment vertical="center"/>
    </xf>
    <xf borderId="40" fillId="9" fontId="20" numFmtId="38" xfId="0" applyAlignment="1" applyBorder="1" applyFont="1" applyNumberFormat="1">
      <alignment vertical="center"/>
    </xf>
    <xf borderId="42" fillId="9" fontId="22" numFmtId="0" xfId="0" applyAlignment="1" applyBorder="1" applyFont="1">
      <alignment horizontal="center" textRotation="255" vertical="center"/>
    </xf>
    <xf borderId="43" fillId="0" fontId="22" numFmtId="0" xfId="0" applyAlignment="1" applyBorder="1" applyFont="1">
      <alignment vertical="center"/>
    </xf>
    <xf borderId="65" fillId="0" fontId="20" numFmtId="38" xfId="0" applyAlignment="1" applyBorder="1" applyFont="1" applyNumberFormat="1">
      <alignment vertical="center"/>
    </xf>
    <xf borderId="60" fillId="0" fontId="22" numFmtId="38" xfId="0" applyAlignment="1" applyBorder="1" applyFont="1" applyNumberFormat="1">
      <alignment horizontal="right" vertical="center"/>
    </xf>
    <xf borderId="61" fillId="0" fontId="22" numFmtId="167" xfId="0" applyAlignment="1" applyBorder="1" applyFont="1" applyNumberFormat="1">
      <alignment horizontal="center" vertical="center"/>
    </xf>
    <xf borderId="63" fillId="0" fontId="22" numFmtId="38" xfId="0" applyAlignment="1" applyBorder="1" applyFont="1" applyNumberFormat="1">
      <alignment horizontal="right" vertical="center"/>
    </xf>
    <xf borderId="64" fillId="0" fontId="22" numFmtId="167" xfId="0" applyAlignment="1" applyBorder="1" applyFont="1" applyNumberFormat="1">
      <alignment horizontal="center" vertical="center"/>
    </xf>
    <xf borderId="66" fillId="0" fontId="20" numFmtId="38" xfId="0" applyAlignment="1" applyBorder="1" applyFont="1" applyNumberFormat="1">
      <alignment vertical="center"/>
    </xf>
    <xf borderId="32" fillId="0" fontId="1" numFmtId="38" xfId="0" applyAlignment="1" applyBorder="1" applyFont="1" applyNumberFormat="1">
      <alignment readingOrder="0" vertical="center"/>
    </xf>
    <xf borderId="67" fillId="2" fontId="22" numFmtId="38" xfId="0" applyAlignment="1" applyBorder="1" applyFont="1" applyNumberFormat="1">
      <alignment horizontal="right" vertical="center"/>
    </xf>
    <xf borderId="68" fillId="2" fontId="22" numFmtId="167" xfId="0" applyAlignment="1" applyBorder="1" applyFont="1" applyNumberFormat="1">
      <alignment horizontal="center" vertical="center"/>
    </xf>
    <xf borderId="49" fillId="9" fontId="22" numFmtId="0" xfId="0" applyAlignment="1" applyBorder="1" applyFont="1">
      <alignment vertical="center"/>
    </xf>
    <xf borderId="69" fillId="9" fontId="20" numFmtId="38" xfId="0" applyAlignment="1" applyBorder="1" applyFont="1" applyNumberFormat="1">
      <alignment vertical="center"/>
    </xf>
    <xf borderId="70" fillId="9" fontId="22" numFmtId="0" xfId="0" applyAlignment="1" applyBorder="1" applyFont="1">
      <alignment horizontal="center" vertical="center"/>
    </xf>
    <xf borderId="71" fillId="0" fontId="16" numFmtId="0" xfId="0" applyBorder="1" applyFont="1"/>
    <xf borderId="72" fillId="9" fontId="20" numFmtId="38" xfId="0" applyAlignment="1" applyBorder="1" applyFont="1" applyNumberFormat="1">
      <alignment vertical="center"/>
    </xf>
    <xf borderId="73" fillId="9" fontId="20" numFmtId="38" xfId="0" applyAlignment="1" applyBorder="1" applyFont="1" applyNumberFormat="1">
      <alignment vertical="center"/>
    </xf>
    <xf borderId="73" fillId="9" fontId="1" numFmtId="38" xfId="0" applyAlignment="1" applyBorder="1" applyFont="1" applyNumberFormat="1">
      <alignment vertical="center"/>
    </xf>
    <xf borderId="73" fillId="9" fontId="21" numFmtId="38" xfId="0" applyAlignment="1" applyBorder="1" applyFont="1" applyNumberFormat="1">
      <alignment vertical="center"/>
    </xf>
    <xf borderId="49" fillId="9" fontId="20" numFmtId="38" xfId="0" applyAlignment="1" applyBorder="1" applyFont="1" applyNumberFormat="1">
      <alignment vertical="center"/>
    </xf>
    <xf borderId="74" fillId="9" fontId="20" numFmtId="38" xfId="0" applyAlignment="1" applyBorder="1" applyFont="1" applyNumberFormat="1">
      <alignment vertical="center"/>
    </xf>
    <xf borderId="75" fillId="9" fontId="25" numFmtId="0" xfId="0" applyAlignment="1" applyBorder="1" applyFont="1">
      <alignment horizontal="center" vertical="center"/>
    </xf>
    <xf borderId="76" fillId="0" fontId="16" numFmtId="0" xfId="0" applyBorder="1" applyFont="1"/>
    <xf borderId="77" fillId="9" fontId="23" numFmtId="38" xfId="0" applyAlignment="1" applyBorder="1" applyFont="1" applyNumberFormat="1">
      <alignment vertical="center"/>
    </xf>
    <xf borderId="78" fillId="9" fontId="23" numFmtId="38" xfId="0" applyAlignment="1" applyBorder="1" applyFont="1" applyNumberFormat="1">
      <alignment vertical="center"/>
    </xf>
    <xf borderId="78" fillId="9" fontId="18" numFmtId="38" xfId="0" applyAlignment="1" applyBorder="1" applyFont="1" applyNumberFormat="1">
      <alignment vertical="center"/>
    </xf>
    <xf borderId="78" fillId="9" fontId="24" numFmtId="38" xfId="0" applyAlignment="1" applyBorder="1" applyFont="1" applyNumberFormat="1">
      <alignment vertical="center"/>
    </xf>
    <xf borderId="79" fillId="9" fontId="23" numFmtId="38" xfId="0" applyAlignment="1" applyBorder="1" applyFont="1" applyNumberFormat="1">
      <alignment vertical="center"/>
    </xf>
    <xf borderId="80" fillId="9" fontId="23" numFmtId="38" xfId="0" applyAlignment="1" applyBorder="1" applyFont="1" applyNumberFormat="1">
      <alignment vertical="center"/>
    </xf>
    <xf borderId="81" fillId="0" fontId="22" numFmtId="0" xfId="0" applyAlignment="1" applyBorder="1" applyFont="1">
      <alignment horizontal="center" vertical="center"/>
    </xf>
    <xf borderId="82" fillId="0" fontId="16" numFmtId="0" xfId="0" applyBorder="1" applyFont="1"/>
    <xf borderId="83" fillId="0" fontId="20" numFmtId="38" xfId="0" applyAlignment="1" applyBorder="1" applyFont="1" applyNumberFormat="1">
      <alignment vertical="center"/>
    </xf>
    <xf borderId="41" fillId="0" fontId="20" numFmtId="38" xfId="0" applyAlignment="1" applyBorder="1" applyFont="1" applyNumberFormat="1">
      <alignment vertical="center"/>
    </xf>
    <xf borderId="41" fillId="0" fontId="1" numFmtId="38" xfId="0" applyAlignment="1" applyBorder="1" applyFont="1" applyNumberFormat="1">
      <alignment vertical="center"/>
    </xf>
    <xf borderId="41" fillId="0" fontId="21" numFmtId="38" xfId="0" applyAlignment="1" applyBorder="1" applyFont="1" applyNumberFormat="1">
      <alignment vertical="center"/>
    </xf>
    <xf borderId="82" fillId="0" fontId="20" numFmtId="38" xfId="0" applyAlignment="1" applyBorder="1" applyFont="1" applyNumberFormat="1">
      <alignment vertical="center"/>
    </xf>
    <xf borderId="0" fillId="0" fontId="20" numFmtId="38" xfId="0" applyAlignment="1" applyFont="1" applyNumberFormat="1">
      <alignment vertical="center"/>
    </xf>
    <xf borderId="84" fillId="0" fontId="22" numFmtId="0" xfId="0" applyAlignment="1" applyBorder="1" applyFont="1">
      <alignment horizontal="center" vertical="center"/>
    </xf>
    <xf borderId="85" fillId="0" fontId="26" numFmtId="0" xfId="0" applyAlignment="1" applyBorder="1" applyFont="1">
      <alignment horizontal="left" vertical="center"/>
    </xf>
    <xf borderId="27" fillId="0" fontId="27" numFmtId="38" xfId="0" applyAlignment="1" applyBorder="1" applyFont="1" applyNumberFormat="1">
      <alignment vertical="center"/>
    </xf>
    <xf borderId="28" fillId="0" fontId="27" numFmtId="38" xfId="0" applyAlignment="1" applyBorder="1" applyFont="1" applyNumberFormat="1">
      <alignment vertical="center"/>
    </xf>
    <xf borderId="28" fillId="0" fontId="26" numFmtId="38" xfId="0" applyAlignment="1" applyBorder="1" applyFont="1" applyNumberFormat="1">
      <alignment vertical="center"/>
    </xf>
    <xf borderId="28" fillId="0" fontId="28" numFmtId="38" xfId="0" applyAlignment="1" applyBorder="1" applyFont="1" applyNumberFormat="1">
      <alignment vertical="center"/>
    </xf>
    <xf borderId="86" fillId="0" fontId="27" numFmtId="38" xfId="0" applyAlignment="1" applyBorder="1" applyFont="1" applyNumberFormat="1">
      <alignment vertical="center"/>
    </xf>
    <xf borderId="30" fillId="0" fontId="27" numFmtId="38" xfId="0" applyAlignment="1" applyBorder="1" applyFont="1" applyNumberFormat="1">
      <alignment vertical="center"/>
    </xf>
    <xf borderId="87" fillId="0" fontId="26" numFmtId="0" xfId="0" applyAlignment="1" applyBorder="1" applyFont="1">
      <alignment horizontal="left" vertical="center"/>
    </xf>
    <xf borderId="88" fillId="0" fontId="27" numFmtId="38" xfId="0" applyAlignment="1" applyBorder="1" applyFont="1" applyNumberFormat="1">
      <alignment vertical="center"/>
    </xf>
    <xf borderId="47" fillId="0" fontId="27" numFmtId="38" xfId="0" applyAlignment="1" applyBorder="1" applyFont="1" applyNumberFormat="1">
      <alignment vertical="center"/>
    </xf>
    <xf borderId="47" fillId="0" fontId="26" numFmtId="38" xfId="0" applyAlignment="1" applyBorder="1" applyFont="1" applyNumberFormat="1">
      <alignment vertical="center"/>
    </xf>
    <xf borderId="47" fillId="0" fontId="28" numFmtId="38" xfId="0" applyAlignment="1" applyBorder="1" applyFont="1" applyNumberFormat="1">
      <alignment vertical="center"/>
    </xf>
    <xf borderId="89" fillId="10" fontId="27" numFmtId="38" xfId="0" applyAlignment="1" applyBorder="1" applyFill="1" applyFont="1" applyNumberFormat="1">
      <alignment vertical="center"/>
    </xf>
    <xf borderId="90" fillId="0" fontId="27" numFmtId="38" xfId="0" applyAlignment="1" applyBorder="1" applyFont="1" applyNumberFormat="1">
      <alignment vertical="center"/>
    </xf>
    <xf borderId="91" fillId="0" fontId="22" numFmtId="0" xfId="0" applyAlignment="1" applyBorder="1" applyFont="1">
      <alignment horizontal="center" vertical="center"/>
    </xf>
    <xf borderId="92" fillId="0" fontId="16" numFmtId="0" xfId="0" applyBorder="1" applyFont="1"/>
    <xf borderId="93" fillId="0" fontId="20" numFmtId="38" xfId="0" applyAlignment="1" applyBorder="1" applyFont="1" applyNumberFormat="1">
      <alignment vertical="center"/>
    </xf>
    <xf borderId="94" fillId="0" fontId="20" numFmtId="38" xfId="0" applyAlignment="1" applyBorder="1" applyFont="1" applyNumberFormat="1">
      <alignment vertical="center"/>
    </xf>
    <xf borderId="94" fillId="0" fontId="1" numFmtId="38" xfId="0" applyAlignment="1" applyBorder="1" applyFont="1" applyNumberFormat="1">
      <alignment vertical="center"/>
    </xf>
    <xf borderId="94" fillId="0" fontId="21" numFmtId="38" xfId="0" applyAlignment="1" applyBorder="1" applyFont="1" applyNumberFormat="1">
      <alignment vertical="center"/>
    </xf>
    <xf borderId="92" fillId="0" fontId="20" numFmtId="38" xfId="0" applyAlignment="1" applyBorder="1" applyFont="1" applyNumberFormat="1">
      <alignment vertical="center"/>
    </xf>
    <xf borderId="95" fillId="0" fontId="20" numFmtId="38" xfId="0" applyAlignment="1" applyBorder="1" applyFont="1" applyNumberFormat="1">
      <alignment vertical="center"/>
    </xf>
    <xf borderId="96" fillId="0" fontId="22" numFmtId="0" xfId="0" applyAlignment="1" applyBorder="1" applyFont="1">
      <alignment horizontal="center" vertical="center"/>
    </xf>
    <xf borderId="97" fillId="0" fontId="16" numFmtId="0" xfId="0" applyBorder="1" applyFont="1"/>
    <xf borderId="88" fillId="0" fontId="20" numFmtId="38" xfId="0" applyAlignment="1" applyBorder="1" applyFont="1" applyNumberFormat="1">
      <alignment vertical="center"/>
    </xf>
    <xf borderId="47" fillId="0" fontId="20" numFmtId="38" xfId="0" applyAlignment="1" applyBorder="1" applyFont="1" applyNumberFormat="1">
      <alignment vertical="center"/>
    </xf>
    <xf borderId="47" fillId="0" fontId="1" numFmtId="38" xfId="0" applyAlignment="1" applyBorder="1" applyFont="1" applyNumberFormat="1">
      <alignment vertical="center"/>
    </xf>
    <xf borderId="47" fillId="0" fontId="21" numFmtId="38" xfId="0" applyAlignment="1" applyBorder="1" applyFont="1" applyNumberFormat="1">
      <alignment vertical="center"/>
    </xf>
    <xf borderId="97" fillId="0" fontId="20" numFmtId="38" xfId="0" applyAlignment="1" applyBorder="1" applyFont="1" applyNumberFormat="1">
      <alignment vertical="center"/>
    </xf>
    <xf borderId="90" fillId="0" fontId="20" numFmtId="38" xfId="0" applyAlignment="1" applyBorder="1" applyFont="1" applyNumberFormat="1">
      <alignment vertical="center"/>
    </xf>
    <xf borderId="98" fillId="0" fontId="22" numFmtId="0" xfId="0" applyAlignment="1" applyBorder="1" applyFont="1">
      <alignment horizontal="center" vertical="center"/>
    </xf>
    <xf borderId="99" fillId="0" fontId="16" numFmtId="0" xfId="0" applyBorder="1" applyFont="1"/>
    <xf borderId="100" fillId="0" fontId="20" numFmtId="38" xfId="0" applyAlignment="1" applyBorder="1" applyFont="1" applyNumberFormat="1">
      <alignment vertical="center"/>
    </xf>
    <xf borderId="101" fillId="0" fontId="20" numFmtId="38" xfId="0" applyAlignment="1" applyBorder="1" applyFont="1" applyNumberFormat="1">
      <alignment vertical="center"/>
    </xf>
    <xf borderId="101" fillId="0" fontId="1" numFmtId="38" xfId="0" applyAlignment="1" applyBorder="1" applyFont="1" applyNumberFormat="1">
      <alignment vertical="center"/>
    </xf>
    <xf borderId="101" fillId="0" fontId="21" numFmtId="38" xfId="0" applyAlignment="1" applyBorder="1" applyFont="1" applyNumberFormat="1">
      <alignment vertical="center"/>
    </xf>
    <xf borderId="99" fillId="0" fontId="20" numFmtId="38" xfId="0" applyAlignment="1" applyBorder="1" applyFont="1" applyNumberFormat="1">
      <alignment vertical="center"/>
    </xf>
    <xf borderId="102" fillId="0" fontId="20" numFmtId="38" xfId="0" applyAlignment="1" applyBorder="1" applyFont="1" applyNumberFormat="1">
      <alignment vertical="center"/>
    </xf>
    <xf borderId="78" fillId="9" fontId="29" numFmtId="38" xfId="0" applyAlignment="1" applyBorder="1" applyFont="1" applyNumberFormat="1">
      <alignment vertical="center"/>
    </xf>
    <xf borderId="103" fillId="9" fontId="25" numFmtId="0" xfId="0" applyAlignment="1" applyBorder="1" applyFont="1">
      <alignment horizontal="center" vertical="center"/>
    </xf>
    <xf borderId="104" fillId="0" fontId="16" numFmtId="0" xfId="0" applyBorder="1" applyFont="1"/>
    <xf borderId="105" fillId="9" fontId="23" numFmtId="38" xfId="0" applyAlignment="1" applyBorder="1" applyFont="1" applyNumberFormat="1">
      <alignment vertical="center"/>
    </xf>
    <xf borderId="106" fillId="9" fontId="23" numFmtId="38" xfId="0" applyAlignment="1" applyBorder="1" applyFont="1" applyNumberFormat="1">
      <alignment vertical="center"/>
    </xf>
    <xf borderId="106" fillId="9" fontId="18" numFmtId="38" xfId="0" applyAlignment="1" applyBorder="1" applyFont="1" applyNumberFormat="1">
      <alignment vertical="center"/>
    </xf>
    <xf borderId="106" fillId="9" fontId="24" numFmtId="38" xfId="0" applyAlignment="1" applyBorder="1" applyFont="1" applyNumberFormat="1">
      <alignment vertical="center"/>
    </xf>
    <xf borderId="107" fillId="9" fontId="23" numFmtId="38" xfId="0" applyAlignment="1" applyBorder="1" applyFont="1" applyNumberFormat="1">
      <alignment vertical="center"/>
    </xf>
    <xf borderId="108" fillId="9" fontId="23" numFmtId="38" xfId="0" applyAlignment="1" applyBorder="1" applyFont="1" applyNumberFormat="1">
      <alignment vertical="center"/>
    </xf>
    <xf borderId="106" fillId="9" fontId="29" numFmtId="38" xfId="0" applyAlignment="1" applyBorder="1" applyFont="1" applyNumberFormat="1">
      <alignment vertical="center"/>
    </xf>
    <xf borderId="109" fillId="9" fontId="18" numFmtId="38" xfId="0" applyAlignment="1" applyBorder="1" applyFont="1" applyNumberFormat="1">
      <alignment vertical="center"/>
    </xf>
    <xf borderId="110" fillId="9" fontId="18" numFmtId="38" xfId="0" applyAlignment="1" applyBorder="1" applyFont="1" applyNumberFormat="1">
      <alignment vertical="center"/>
    </xf>
    <xf borderId="111" fillId="0" fontId="22" numFmtId="0" xfId="0" applyAlignment="1" applyBorder="1" applyFont="1">
      <alignment horizontal="center" vertical="center"/>
    </xf>
    <xf borderId="111" fillId="0" fontId="20" numFmtId="38" xfId="0" applyAlignment="1" applyBorder="1" applyFont="1" applyNumberFormat="1">
      <alignment vertical="center"/>
    </xf>
    <xf borderId="111" fillId="0" fontId="2" numFmtId="38" xfId="0" applyAlignment="1" applyBorder="1" applyFont="1" applyNumberFormat="1">
      <alignment vertical="center"/>
    </xf>
    <xf borderId="111" fillId="0" fontId="1" numFmtId="38" xfId="0" applyAlignment="1" applyBorder="1" applyFont="1" applyNumberFormat="1">
      <alignment vertical="center"/>
    </xf>
    <xf borderId="111" fillId="0" fontId="21" numFmtId="38" xfId="0" applyAlignment="1" applyBorder="1" applyFont="1" applyNumberFormat="1">
      <alignment vertical="center"/>
    </xf>
    <xf borderId="112" fillId="9" fontId="22" numFmtId="0" xfId="0" applyAlignment="1" applyBorder="1" applyFont="1">
      <alignment horizontal="center" vertical="center"/>
    </xf>
    <xf borderId="113" fillId="9" fontId="20" numFmtId="38" xfId="0" applyAlignment="1" applyBorder="1" applyFont="1" applyNumberFormat="1">
      <alignment vertical="center"/>
    </xf>
    <xf borderId="114" fillId="9" fontId="20" numFmtId="38" xfId="0" applyAlignment="1" applyBorder="1" applyFont="1" applyNumberFormat="1">
      <alignment vertical="center"/>
    </xf>
    <xf borderId="114" fillId="9" fontId="2" numFmtId="38" xfId="0" applyAlignment="1" applyBorder="1" applyFont="1" applyNumberFormat="1">
      <alignment vertical="center"/>
    </xf>
    <xf borderId="114" fillId="9" fontId="1" numFmtId="38" xfId="0" applyAlignment="1" applyBorder="1" applyFont="1" applyNumberFormat="1">
      <alignment vertical="center"/>
    </xf>
    <xf borderId="114" fillId="9" fontId="21" numFmtId="38" xfId="0" applyAlignment="1" applyBorder="1" applyFont="1" applyNumberFormat="1">
      <alignment vertical="center"/>
    </xf>
    <xf borderId="115" fillId="9" fontId="20" numFmtId="38" xfId="0" applyAlignment="1" applyBorder="1" applyFont="1" applyNumberFormat="1">
      <alignment vertical="center"/>
    </xf>
    <xf borderId="116" fillId="9" fontId="20" numFmtId="38" xfId="0" applyAlignment="1" applyBorder="1" applyFont="1" applyNumberFormat="1">
      <alignment vertical="center"/>
    </xf>
    <xf borderId="117" fillId="9" fontId="1" numFmtId="38" xfId="0" applyAlignment="1" applyBorder="1" applyFont="1" applyNumberFormat="1">
      <alignment vertical="center"/>
    </xf>
    <xf borderId="118" fillId="0" fontId="16" numFmtId="0" xfId="0" applyBorder="1" applyFont="1"/>
    <xf borderId="119" fillId="9" fontId="20" numFmtId="167" xfId="0" applyAlignment="1" applyBorder="1" applyFont="1" applyNumberFormat="1">
      <alignment vertical="center"/>
    </xf>
    <xf borderId="120" fillId="9" fontId="20" numFmtId="167" xfId="0" applyAlignment="1" applyBorder="1" applyFont="1" applyNumberFormat="1">
      <alignment vertical="center"/>
    </xf>
    <xf borderId="120" fillId="9" fontId="2" numFmtId="167" xfId="0" applyAlignment="1" applyBorder="1" applyFont="1" applyNumberFormat="1">
      <alignment vertical="center"/>
    </xf>
    <xf borderId="120" fillId="9" fontId="1" numFmtId="167" xfId="0" applyAlignment="1" applyBorder="1" applyFont="1" applyNumberFormat="1">
      <alignment vertical="center"/>
    </xf>
    <xf borderId="120" fillId="9" fontId="21" numFmtId="167" xfId="0" applyAlignment="1" applyBorder="1" applyFont="1" applyNumberFormat="1">
      <alignment vertical="center"/>
    </xf>
    <xf borderId="121" fillId="9" fontId="20" numFmtId="167" xfId="0" applyAlignment="1" applyBorder="1" applyFont="1" applyNumberFormat="1">
      <alignment vertical="center"/>
    </xf>
    <xf borderId="122" fillId="9" fontId="20" numFmtId="167" xfId="0" applyAlignment="1" applyBorder="1" applyFont="1" applyNumberFormat="1">
      <alignment vertical="center"/>
    </xf>
    <xf borderId="123" fillId="9" fontId="1" numFmtId="167" xfId="0" applyAlignment="1" applyBorder="1" applyFont="1" applyNumberFormat="1">
      <alignment vertical="center"/>
    </xf>
    <xf borderId="0" fillId="0" fontId="20" numFmtId="0" xfId="0" applyAlignment="1" applyFont="1">
      <alignment vertical="center"/>
    </xf>
    <xf borderId="0" fillId="0" fontId="30" numFmtId="0" xfId="0" applyAlignment="1" applyFont="1">
      <alignment vertical="center"/>
    </xf>
    <xf borderId="0" fillId="0" fontId="31" numFmtId="38" xfId="0" applyAlignment="1" applyFont="1" applyNumberFormat="1">
      <alignment vertical="center"/>
    </xf>
    <xf borderId="5" fillId="11" fontId="32" numFmtId="0" xfId="0" applyAlignment="1" applyBorder="1" applyFill="1" applyFont="1">
      <alignment horizontal="center" vertical="center"/>
    </xf>
    <xf borderId="2" fillId="11" fontId="3" numFmtId="165" xfId="0" applyAlignment="1" applyBorder="1" applyFont="1" applyNumberFormat="1">
      <alignment horizontal="center" vertical="center"/>
    </xf>
    <xf borderId="3" fillId="11" fontId="3" numFmtId="165" xfId="0" applyAlignment="1" applyBorder="1" applyFont="1" applyNumberFormat="1">
      <alignment horizontal="center" vertical="center"/>
    </xf>
    <xf borderId="3" fillId="11" fontId="4" numFmtId="165" xfId="0" applyAlignment="1" applyBorder="1" applyFont="1" applyNumberFormat="1">
      <alignment horizontal="center" vertical="center"/>
    </xf>
    <xf borderId="124" fillId="11" fontId="3" numFmtId="165" xfId="0" applyAlignment="1" applyBorder="1" applyFont="1" applyNumberFormat="1">
      <alignment horizontal="center" vertical="center"/>
    </xf>
    <xf borderId="125" fillId="11" fontId="3" numFmtId="165" xfId="0" applyAlignment="1" applyBorder="1" applyFont="1" applyNumberFormat="1">
      <alignment horizontal="center" vertical="center"/>
    </xf>
    <xf borderId="124" fillId="11" fontId="4" numFmtId="165" xfId="0" applyAlignment="1" applyBorder="1" applyFont="1" applyNumberFormat="1">
      <alignment horizontal="center" vertical="center"/>
    </xf>
    <xf borderId="126" fillId="11" fontId="4" numFmtId="164" xfId="0" applyAlignment="1" applyBorder="1" applyFont="1" applyNumberFormat="1">
      <alignment vertical="center"/>
    </xf>
    <xf borderId="3" fillId="11" fontId="4" numFmtId="164" xfId="0" applyAlignment="1" applyBorder="1" applyFont="1" applyNumberFormat="1">
      <alignment vertical="center"/>
    </xf>
    <xf borderId="9" fillId="11" fontId="3" numFmtId="166" xfId="0" applyAlignment="1" applyBorder="1" applyFont="1" applyNumberFormat="1">
      <alignment horizontal="center" vertical="center"/>
    </xf>
    <xf borderId="10" fillId="11" fontId="3" numFmtId="166" xfId="0" applyAlignment="1" applyBorder="1" applyFont="1" applyNumberFormat="1">
      <alignment horizontal="center" vertical="center"/>
    </xf>
    <xf borderId="10" fillId="11" fontId="4" numFmtId="166" xfId="0" applyAlignment="1" applyBorder="1" applyFont="1" applyNumberFormat="1">
      <alignment horizontal="center" vertical="center"/>
    </xf>
    <xf borderId="12" fillId="11" fontId="3" numFmtId="166" xfId="0" applyAlignment="1" applyBorder="1" applyFont="1" applyNumberFormat="1">
      <alignment horizontal="center" vertical="center"/>
    </xf>
    <xf borderId="59" fillId="11" fontId="3" numFmtId="166" xfId="0" applyAlignment="1" applyBorder="1" applyFont="1" applyNumberFormat="1">
      <alignment horizontal="center" vertical="center"/>
    </xf>
    <xf borderId="12" fillId="11" fontId="4" numFmtId="166" xfId="0" applyAlignment="1" applyBorder="1" applyFont="1" applyNumberFormat="1">
      <alignment horizontal="center" vertical="center"/>
    </xf>
    <xf borderId="13" fillId="11" fontId="4" numFmtId="166" xfId="0" applyAlignment="1" applyBorder="1" applyFont="1" applyNumberFormat="1">
      <alignment horizontal="center" vertical="center"/>
    </xf>
    <xf borderId="10" fillId="11" fontId="4" numFmtId="166" xfId="0" applyAlignment="1" applyBorder="1" applyFont="1" applyNumberFormat="1">
      <alignment vertical="center"/>
    </xf>
    <xf borderId="127" fillId="0" fontId="33" numFmtId="38" xfId="0" applyAlignment="1" applyBorder="1" applyFont="1" applyNumberFormat="1">
      <alignment horizontal="center" vertical="center"/>
    </xf>
    <xf borderId="128" fillId="0" fontId="16" numFmtId="0" xfId="0" applyBorder="1" applyFont="1"/>
    <xf borderId="129" fillId="0" fontId="34" numFmtId="38" xfId="0" applyAlignment="1" applyBorder="1" applyFont="1" applyNumberFormat="1">
      <alignment vertical="center"/>
    </xf>
    <xf borderId="130" fillId="0" fontId="34" numFmtId="38" xfId="0" applyAlignment="1" applyBorder="1" applyFont="1" applyNumberFormat="1">
      <alignment vertical="center"/>
    </xf>
    <xf borderId="131" fillId="0" fontId="33" numFmtId="38" xfId="0" applyAlignment="1" applyBorder="1" applyFont="1" applyNumberFormat="1">
      <alignment vertical="center"/>
    </xf>
    <xf borderId="132" fillId="0" fontId="34" numFmtId="38" xfId="0" applyAlignment="1" applyBorder="1" applyFont="1" applyNumberFormat="1">
      <alignment vertical="center"/>
    </xf>
    <xf borderId="133" fillId="0" fontId="34" numFmtId="38" xfId="0" applyAlignment="1" applyBorder="1" applyFont="1" applyNumberFormat="1">
      <alignment vertical="center"/>
    </xf>
    <xf borderId="130" fillId="0" fontId="33" numFmtId="38" xfId="0" applyAlignment="1" applyBorder="1" applyFont="1" applyNumberFormat="1">
      <alignment vertical="center"/>
    </xf>
    <xf borderId="1" fillId="2" fontId="1" numFmtId="38" xfId="0" applyAlignment="1" applyBorder="1" applyFont="1" applyNumberFormat="1">
      <alignment vertical="center"/>
    </xf>
    <xf borderId="53" fillId="0" fontId="33" numFmtId="38" xfId="0" applyAlignment="1" applyBorder="1" applyFont="1" applyNumberFormat="1">
      <alignment horizontal="center" textRotation="255" vertical="center"/>
    </xf>
    <xf borderId="18" fillId="0" fontId="33" numFmtId="38" xfId="0" applyAlignment="1" applyBorder="1" applyFont="1" applyNumberFormat="1">
      <alignment vertical="center"/>
    </xf>
    <xf borderId="19" fillId="0" fontId="34" numFmtId="38" xfId="0" applyAlignment="1" applyBorder="1" applyFont="1" applyNumberFormat="1">
      <alignment vertical="center"/>
    </xf>
    <xf borderId="17" fillId="0" fontId="34" numFmtId="38" xfId="0" applyAlignment="1" applyBorder="1" applyFont="1" applyNumberFormat="1">
      <alignment vertical="center"/>
    </xf>
    <xf borderId="134" fillId="0" fontId="33" numFmtId="38" xfId="0" applyAlignment="1" applyBorder="1" applyFont="1" applyNumberFormat="1">
      <alignment vertical="center"/>
    </xf>
    <xf borderId="18" fillId="0" fontId="34" numFmtId="38" xfId="0" applyAlignment="1" applyBorder="1" applyFont="1" applyNumberFormat="1">
      <alignment vertical="center"/>
    </xf>
    <xf borderId="62" fillId="0" fontId="34" numFmtId="38" xfId="0" applyAlignment="1" applyBorder="1" applyFont="1" applyNumberFormat="1">
      <alignment vertical="center"/>
    </xf>
    <xf borderId="17" fillId="0" fontId="33" numFmtId="38" xfId="0" applyAlignment="1" applyBorder="1" applyFont="1" applyNumberFormat="1">
      <alignment vertical="center"/>
    </xf>
    <xf borderId="135" fillId="0" fontId="33" numFmtId="38" xfId="0" applyAlignment="1" applyBorder="1" applyFont="1" applyNumberFormat="1">
      <alignment vertical="center"/>
    </xf>
    <xf borderId="17" fillId="0" fontId="33" numFmtId="38" xfId="0" applyAlignment="1" applyBorder="1" applyFont="1" applyNumberFormat="1">
      <alignment readingOrder="0" vertical="center"/>
    </xf>
    <xf borderId="81" fillId="0" fontId="16" numFmtId="0" xfId="0" applyBorder="1" applyFont="1"/>
    <xf borderId="24" fillId="0" fontId="33" numFmtId="38" xfId="0" applyAlignment="1" applyBorder="1" applyFont="1" applyNumberFormat="1">
      <alignment vertical="center"/>
    </xf>
    <xf borderId="136" fillId="0" fontId="34" numFmtId="38" xfId="0" applyAlignment="1" applyBorder="1" applyFont="1" applyNumberFormat="1">
      <alignment vertical="center"/>
    </xf>
    <xf borderId="23" fillId="0" fontId="34" numFmtId="38" xfId="0" applyAlignment="1" applyBorder="1" applyFont="1" applyNumberFormat="1">
      <alignment vertical="center"/>
    </xf>
    <xf borderId="137" fillId="0" fontId="33" numFmtId="38" xfId="0" applyAlignment="1" applyBorder="1" applyFont="1" applyNumberFormat="1">
      <alignment vertical="center"/>
    </xf>
    <xf borderId="24" fillId="0" fontId="34" numFmtId="38" xfId="0" applyAlignment="1" applyBorder="1" applyFont="1" applyNumberFormat="1">
      <alignment vertical="center"/>
    </xf>
    <xf borderId="25" fillId="0" fontId="34" numFmtId="38" xfId="0" applyAlignment="1" applyBorder="1" applyFont="1" applyNumberFormat="1">
      <alignment vertical="center"/>
    </xf>
    <xf borderId="23" fillId="0" fontId="33" numFmtId="38" xfId="0" applyAlignment="1" applyBorder="1" applyFont="1" applyNumberFormat="1">
      <alignment vertical="center"/>
    </xf>
    <xf borderId="138" fillId="0" fontId="33" numFmtId="38" xfId="0" applyAlignment="1" applyBorder="1" applyFont="1" applyNumberFormat="1">
      <alignment vertical="center"/>
    </xf>
    <xf borderId="23" fillId="0" fontId="33" numFmtId="38" xfId="0" applyAlignment="1" applyBorder="1" applyFont="1" applyNumberFormat="1">
      <alignment readingOrder="0" vertical="center"/>
    </xf>
    <xf borderId="33" fillId="0" fontId="33" numFmtId="38" xfId="0" applyAlignment="1" applyBorder="1" applyFont="1" applyNumberFormat="1">
      <alignment vertical="center"/>
    </xf>
    <xf borderId="139" fillId="0" fontId="34" numFmtId="38" xfId="0" applyAlignment="1" applyBorder="1" applyFont="1" applyNumberFormat="1">
      <alignment vertical="center"/>
    </xf>
    <xf borderId="32" fillId="0" fontId="34" numFmtId="38" xfId="0" applyAlignment="1" applyBorder="1" applyFont="1" applyNumberFormat="1">
      <alignment vertical="center"/>
    </xf>
    <xf borderId="140" fillId="0" fontId="33" numFmtId="38" xfId="0" applyAlignment="1" applyBorder="1" applyFont="1" applyNumberFormat="1">
      <alignment vertical="center"/>
    </xf>
    <xf borderId="33" fillId="0" fontId="34" numFmtId="38" xfId="0" applyAlignment="1" applyBorder="1" applyFont="1" applyNumberFormat="1">
      <alignment vertical="center"/>
    </xf>
    <xf borderId="34" fillId="0" fontId="34" numFmtId="38" xfId="0" applyAlignment="1" applyBorder="1" applyFont="1" applyNumberFormat="1">
      <alignment vertical="center"/>
    </xf>
    <xf borderId="32" fillId="0" fontId="33" numFmtId="38" xfId="0" applyAlignment="1" applyBorder="1" applyFont="1" applyNumberFormat="1">
      <alignment vertical="center"/>
    </xf>
    <xf borderId="141" fillId="0" fontId="33" numFmtId="38" xfId="0" applyAlignment="1" applyBorder="1" applyFont="1" applyNumberFormat="1">
      <alignment vertical="center"/>
    </xf>
    <xf borderId="32" fillId="0" fontId="33" numFmtId="38" xfId="0" applyAlignment="1" applyBorder="1" applyFont="1" applyNumberFormat="1">
      <alignment readingOrder="0" vertical="center"/>
    </xf>
    <xf borderId="96" fillId="0" fontId="16" numFmtId="0" xfId="0" applyBorder="1" applyFont="1"/>
    <xf borderId="142" fillId="0" fontId="33" numFmtId="38" xfId="0" applyAlignment="1" applyBorder="1" applyFont="1" applyNumberFormat="1">
      <alignment horizontal="right" vertical="center"/>
    </xf>
    <xf borderId="143" fillId="0" fontId="34" numFmtId="38" xfId="0" applyAlignment="1" applyBorder="1" applyFont="1" applyNumberFormat="1">
      <alignment vertical="center"/>
    </xf>
    <xf borderId="47" fillId="0" fontId="34" numFmtId="38" xfId="0" applyAlignment="1" applyBorder="1" applyFont="1" applyNumberFormat="1">
      <alignment vertical="center"/>
    </xf>
    <xf borderId="63" fillId="0" fontId="33" numFmtId="38" xfId="0" applyAlignment="1" applyBorder="1" applyFont="1" applyNumberFormat="1">
      <alignment vertical="center"/>
    </xf>
    <xf borderId="15" fillId="0" fontId="34" numFmtId="38" xfId="0" applyAlignment="1" applyBorder="1" applyFont="1" applyNumberFormat="1">
      <alignment vertical="center"/>
    </xf>
    <xf borderId="144" fillId="0" fontId="34" numFmtId="38" xfId="0" applyAlignment="1" applyBorder="1" applyFont="1" applyNumberFormat="1">
      <alignment vertical="center"/>
    </xf>
    <xf borderId="90" fillId="0" fontId="34" numFmtId="38" xfId="0" applyAlignment="1" applyBorder="1" applyFont="1" applyNumberFormat="1">
      <alignment vertical="center"/>
    </xf>
    <xf borderId="47" fillId="0" fontId="33" numFmtId="38" xfId="0" applyAlignment="1" applyBorder="1" applyFont="1" applyNumberFormat="1">
      <alignment vertical="center"/>
    </xf>
    <xf borderId="144" fillId="0" fontId="33" numFmtId="38" xfId="0" applyAlignment="1" applyBorder="1" applyFont="1" applyNumberFormat="1">
      <alignment vertical="center"/>
    </xf>
    <xf borderId="64" fillId="0" fontId="33" numFmtId="38" xfId="0" applyAlignment="1" applyBorder="1" applyFont="1" applyNumberFormat="1">
      <alignment vertical="center"/>
    </xf>
    <xf borderId="91" fillId="0" fontId="33" numFmtId="38" xfId="0" applyAlignment="1" applyBorder="1" applyFont="1" applyNumberFormat="1">
      <alignment horizontal="center" textRotation="255" vertical="center"/>
    </xf>
    <xf borderId="145" fillId="0" fontId="33" numFmtId="38" xfId="0" applyAlignment="1" applyBorder="1" applyFont="1" applyNumberFormat="1">
      <alignment vertical="center"/>
    </xf>
    <xf borderId="146" fillId="0" fontId="34" numFmtId="38" xfId="0" applyAlignment="1" applyBorder="1" applyFont="1" applyNumberFormat="1">
      <alignment vertical="center"/>
    </xf>
    <xf borderId="26" fillId="0" fontId="34" numFmtId="38" xfId="0" applyAlignment="1" applyBorder="1" applyFont="1" applyNumberFormat="1">
      <alignment vertical="center"/>
    </xf>
    <xf borderId="147" fillId="0" fontId="33" numFmtId="38" xfId="0" applyAlignment="1" applyBorder="1" applyFont="1" applyNumberFormat="1">
      <alignment vertical="center"/>
    </xf>
    <xf borderId="145" fillId="0" fontId="34" numFmtId="38" xfId="0" applyAlignment="1" applyBorder="1" applyFont="1" applyNumberFormat="1">
      <alignment vertical="center"/>
    </xf>
    <xf borderId="148" fillId="0" fontId="34" numFmtId="38" xfId="0" applyAlignment="1" applyBorder="1" applyFont="1" applyNumberFormat="1">
      <alignment vertical="center"/>
    </xf>
    <xf borderId="26" fillId="0" fontId="33" numFmtId="38" xfId="0" applyAlignment="1" applyBorder="1" applyFont="1" applyNumberFormat="1">
      <alignment vertical="center"/>
    </xf>
    <xf borderId="149" fillId="0" fontId="33" numFmtId="38" xfId="0" applyAlignment="1" applyBorder="1" applyFont="1" applyNumberFormat="1">
      <alignment vertical="center"/>
    </xf>
    <xf borderId="24" fillId="0" fontId="22" numFmtId="38" xfId="0" applyAlignment="1" applyBorder="1" applyFont="1" applyNumberFormat="1">
      <alignment vertical="center"/>
    </xf>
    <xf borderId="1" fillId="2" fontId="1" numFmtId="0" xfId="0" applyAlignment="1" applyBorder="1" applyFont="1">
      <alignment horizontal="right" vertical="center"/>
    </xf>
    <xf borderId="4" fillId="0" fontId="1" numFmtId="0" xfId="0" applyAlignment="1" applyBorder="1" applyFont="1">
      <alignment vertical="center"/>
    </xf>
    <xf borderId="24" fillId="12" fontId="33" numFmtId="38" xfId="0" applyAlignment="1" applyBorder="1" applyFill="1" applyFont="1" applyNumberFormat="1">
      <alignment vertical="center"/>
    </xf>
    <xf borderId="136" fillId="12" fontId="34" numFmtId="38" xfId="0" applyAlignment="1" applyBorder="1" applyFont="1" applyNumberFormat="1">
      <alignment vertical="center"/>
    </xf>
    <xf borderId="23" fillId="12" fontId="34" numFmtId="38" xfId="0" applyAlignment="1" applyBorder="1" applyFont="1" applyNumberFormat="1">
      <alignment vertical="center"/>
    </xf>
    <xf borderId="150" fillId="12" fontId="33" numFmtId="38" xfId="0" applyAlignment="1" applyBorder="1" applyFont="1" applyNumberFormat="1">
      <alignment vertical="center"/>
    </xf>
    <xf borderId="24" fillId="12" fontId="34" numFmtId="38" xfId="0" applyAlignment="1" applyBorder="1" applyFont="1" applyNumberFormat="1">
      <alignment vertical="center"/>
    </xf>
    <xf borderId="151" fillId="12" fontId="34" numFmtId="38" xfId="0" applyAlignment="1" applyBorder="1" applyFont="1" applyNumberFormat="1">
      <alignment vertical="center"/>
    </xf>
    <xf borderId="23" fillId="12" fontId="33" numFmtId="38" xfId="0" applyAlignment="1" applyBorder="1" applyFont="1" applyNumberFormat="1">
      <alignment vertical="center"/>
    </xf>
    <xf borderId="23" fillId="12" fontId="33" numFmtId="38" xfId="0" applyAlignment="1" applyBorder="1" applyFont="1" applyNumberFormat="1">
      <alignment readingOrder="0" vertical="center"/>
    </xf>
    <xf borderId="92" fillId="0" fontId="33" numFmtId="38" xfId="0" applyAlignment="1" applyBorder="1" applyFont="1" applyNumberFormat="1">
      <alignment horizontal="right" vertical="center"/>
    </xf>
    <xf borderId="152" fillId="0" fontId="34" numFmtId="38" xfId="0" applyAlignment="1" applyBorder="1" applyFont="1" applyNumberFormat="1">
      <alignment vertical="center"/>
    </xf>
    <xf borderId="41" fillId="0" fontId="34" numFmtId="38" xfId="0" applyAlignment="1" applyBorder="1" applyFont="1" applyNumberFormat="1">
      <alignment vertical="center"/>
    </xf>
    <xf borderId="60" fillId="0" fontId="33" numFmtId="38" xfId="0" applyAlignment="1" applyBorder="1" applyFont="1" applyNumberFormat="1">
      <alignment vertical="center"/>
    </xf>
    <xf borderId="153" fillId="0" fontId="34" numFmtId="38" xfId="0" applyAlignment="1" applyBorder="1" applyFont="1" applyNumberFormat="1">
      <alignment vertical="center"/>
    </xf>
    <xf borderId="0" fillId="0" fontId="34" numFmtId="38" xfId="0" applyAlignment="1" applyFont="1" applyNumberFormat="1">
      <alignment vertical="center"/>
    </xf>
    <xf borderId="41" fillId="0" fontId="33" numFmtId="38" xfId="0" applyAlignment="1" applyBorder="1" applyFont="1" applyNumberFormat="1">
      <alignment vertical="center"/>
    </xf>
    <xf borderId="153" fillId="0" fontId="33" numFmtId="38" xfId="0" applyAlignment="1" applyBorder="1" applyFont="1" applyNumberFormat="1">
      <alignment vertical="center"/>
    </xf>
    <xf borderId="61" fillId="0" fontId="33" numFmtId="38" xfId="0" applyAlignment="1" applyBorder="1" applyFont="1" applyNumberFormat="1">
      <alignment vertical="center"/>
    </xf>
    <xf borderId="75" fillId="10" fontId="33" numFmtId="38" xfId="0" applyAlignment="1" applyBorder="1" applyFont="1" applyNumberFormat="1">
      <alignment horizontal="center" vertical="center"/>
    </xf>
    <xf borderId="154" fillId="10" fontId="34" numFmtId="38" xfId="0" applyAlignment="1" applyBorder="1" applyFont="1" applyNumberFormat="1">
      <alignment vertical="center"/>
    </xf>
    <xf borderId="78" fillId="10" fontId="34" numFmtId="38" xfId="0" applyAlignment="1" applyBorder="1" applyFont="1" applyNumberFormat="1">
      <alignment vertical="center"/>
    </xf>
    <xf borderId="155" fillId="10" fontId="33" numFmtId="38" xfId="0" applyAlignment="1" applyBorder="1" applyFont="1" applyNumberFormat="1">
      <alignment vertical="center"/>
    </xf>
    <xf borderId="156" fillId="10" fontId="34" numFmtId="38" xfId="0" applyAlignment="1" applyBorder="1" applyFont="1" applyNumberFormat="1">
      <alignment vertical="center"/>
    </xf>
    <xf borderId="80" fillId="10" fontId="34" numFmtId="38" xfId="0" applyAlignment="1" applyBorder="1" applyFont="1" applyNumberFormat="1">
      <alignment vertical="center"/>
    </xf>
    <xf borderId="78" fillId="10" fontId="33" numFmtId="38" xfId="0" applyAlignment="1" applyBorder="1" applyFont="1" applyNumberFormat="1">
      <alignment vertical="center"/>
    </xf>
    <xf borderId="156" fillId="10" fontId="33" numFmtId="38" xfId="0" applyAlignment="1" applyBorder="1" applyFont="1" applyNumberFormat="1">
      <alignment vertical="center"/>
    </xf>
    <xf borderId="157" fillId="10" fontId="33" numFmtId="38" xfId="0" applyAlignment="1" applyBorder="1" applyFont="1" applyNumberFormat="1">
      <alignment vertical="center"/>
    </xf>
    <xf borderId="23" fillId="12" fontId="35" numFmtId="38" xfId="0" applyAlignment="1" applyBorder="1" applyFont="1" applyNumberFormat="1">
      <alignment vertical="center"/>
    </xf>
    <xf borderId="158" fillId="12" fontId="33" numFmtId="38" xfId="0" applyAlignment="1" applyBorder="1" applyFont="1" applyNumberFormat="1">
      <alignment vertical="center"/>
    </xf>
    <xf borderId="29" fillId="0" fontId="36" numFmtId="38" xfId="0" applyAlignment="1" applyBorder="1" applyFont="1" applyNumberFormat="1">
      <alignment vertical="center"/>
    </xf>
    <xf borderId="159" fillId="0" fontId="37" numFmtId="38" xfId="0" applyAlignment="1" applyBorder="1" applyFont="1" applyNumberFormat="1">
      <alignment vertical="center"/>
    </xf>
    <xf borderId="28" fillId="0" fontId="34" numFmtId="38" xfId="0" applyAlignment="1" applyBorder="1" applyFont="1" applyNumberFormat="1">
      <alignment vertical="center"/>
    </xf>
    <xf borderId="160" fillId="0" fontId="38" numFmtId="38" xfId="0" applyAlignment="1" applyBorder="1" applyFont="1" applyNumberFormat="1">
      <alignment vertical="center"/>
    </xf>
    <xf borderId="29" fillId="0" fontId="34" numFmtId="38" xfId="0" applyAlignment="1" applyBorder="1" applyFont="1" applyNumberFormat="1">
      <alignment vertical="center"/>
    </xf>
    <xf borderId="30" fillId="0" fontId="34" numFmtId="38" xfId="0" applyAlignment="1" applyBorder="1" applyFont="1" applyNumberFormat="1">
      <alignment vertical="center"/>
    </xf>
    <xf borderId="28" fillId="0" fontId="38" numFmtId="38" xfId="0" applyAlignment="1" applyBorder="1" applyFont="1" applyNumberFormat="1">
      <alignment vertical="center"/>
    </xf>
    <xf borderId="29" fillId="0" fontId="38" numFmtId="38" xfId="0" applyAlignment="1" applyBorder="1" applyFont="1" applyNumberFormat="1">
      <alignment vertical="center"/>
    </xf>
    <xf borderId="161" fillId="0" fontId="38" numFmtId="38" xfId="0" applyAlignment="1" applyBorder="1" applyFont="1" applyNumberFormat="1">
      <alignment vertical="center"/>
    </xf>
    <xf borderId="29" fillId="0" fontId="22" numFmtId="38" xfId="0" applyAlignment="1" applyBorder="1" applyFont="1" applyNumberFormat="1">
      <alignment vertical="center"/>
    </xf>
    <xf borderId="159" fillId="0" fontId="34" numFmtId="38" xfId="0" applyAlignment="1" applyBorder="1" applyFont="1" applyNumberFormat="1">
      <alignment vertical="center"/>
    </xf>
    <xf borderId="160" fillId="0" fontId="35" numFmtId="38" xfId="0" applyAlignment="1" applyBorder="1" applyFont="1" applyNumberFormat="1">
      <alignment vertical="center"/>
    </xf>
    <xf borderId="28" fillId="0" fontId="33" numFmtId="38" xfId="0" applyAlignment="1" applyBorder="1" applyFont="1" applyNumberFormat="1">
      <alignment vertical="center"/>
    </xf>
    <xf borderId="29" fillId="0" fontId="33" numFmtId="38" xfId="0" applyAlignment="1" applyBorder="1" applyFont="1" applyNumberFormat="1">
      <alignment vertical="center"/>
    </xf>
    <xf borderId="161" fillId="0" fontId="33" numFmtId="38" xfId="0" applyAlignment="1" applyBorder="1" applyFont="1" applyNumberFormat="1">
      <alignment vertical="center"/>
    </xf>
    <xf borderId="33" fillId="0" fontId="22" numFmtId="38" xfId="0" applyAlignment="1" applyBorder="1" applyFont="1" applyNumberFormat="1">
      <alignment vertical="center"/>
    </xf>
    <xf borderId="43" fillId="0" fontId="22" numFmtId="38" xfId="0" applyAlignment="1" applyBorder="1" applyFont="1" applyNumberFormat="1">
      <alignment shrinkToFit="1" vertical="center" wrapText="0"/>
    </xf>
    <xf borderId="162" fillId="0" fontId="34" numFmtId="38" xfId="0" applyAlignment="1" applyBorder="1" applyFont="1" applyNumberFormat="1">
      <alignment vertical="center"/>
    </xf>
    <xf borderId="45" fillId="0" fontId="34" numFmtId="38" xfId="0" applyAlignment="1" applyBorder="1" applyFont="1" applyNumberFormat="1">
      <alignment vertical="center"/>
    </xf>
    <xf borderId="163" fillId="0" fontId="33" numFmtId="38" xfId="0" applyAlignment="1" applyBorder="1" applyFont="1" applyNumberFormat="1">
      <alignment vertical="center"/>
    </xf>
    <xf borderId="43" fillId="0" fontId="34" numFmtId="38" xfId="0" applyAlignment="1" applyBorder="1" applyFont="1" applyNumberFormat="1">
      <alignment vertical="center"/>
    </xf>
    <xf borderId="46" fillId="0" fontId="34" numFmtId="38" xfId="0" applyAlignment="1" applyBorder="1" applyFont="1" applyNumberFormat="1">
      <alignment vertical="center"/>
    </xf>
    <xf borderId="45" fillId="0" fontId="33" numFmtId="38" xfId="0" applyAlignment="1" applyBorder="1" applyFont="1" applyNumberFormat="1">
      <alignment vertical="center"/>
    </xf>
    <xf borderId="43" fillId="0" fontId="33" numFmtId="38" xfId="0" applyAlignment="1" applyBorder="1" applyFont="1" applyNumberFormat="1">
      <alignment vertical="center"/>
    </xf>
    <xf borderId="164" fillId="0" fontId="33" numFmtId="38" xfId="0" applyAlignment="1" applyBorder="1" applyFont="1" applyNumberFormat="1">
      <alignment vertical="center"/>
    </xf>
    <xf borderId="24" fillId="0" fontId="22" numFmtId="38" xfId="0" applyAlignment="1" applyBorder="1" applyFont="1" applyNumberFormat="1">
      <alignment shrinkToFit="1" vertical="center" wrapText="0"/>
    </xf>
    <xf borderId="137" fillId="0" fontId="34" numFmtId="38" xfId="0" applyAlignment="1" applyBorder="1" applyFont="1" applyNumberFormat="1">
      <alignment vertical="center"/>
    </xf>
    <xf borderId="24" fillId="0" fontId="39" numFmtId="38" xfId="0" applyAlignment="1" applyBorder="1" applyFont="1" applyNumberFormat="1">
      <alignment shrinkToFit="1" vertical="center" wrapText="0"/>
    </xf>
    <xf borderId="137" fillId="0" fontId="35" numFmtId="38" xfId="0" applyAlignment="1" applyBorder="1" applyFont="1" applyNumberFormat="1">
      <alignment vertical="center"/>
    </xf>
    <xf borderId="24" fillId="0" fontId="36" numFmtId="38" xfId="0" applyAlignment="1" applyBorder="1" applyFont="1" applyNumberFormat="1">
      <alignment shrinkToFit="1" vertical="center" wrapText="0"/>
    </xf>
    <xf borderId="136" fillId="0" fontId="37" numFmtId="38" xfId="0" applyAlignment="1" applyBorder="1" applyFont="1" applyNumberFormat="1">
      <alignment vertical="center"/>
    </xf>
    <xf borderId="137" fillId="0" fontId="38" numFmtId="38" xfId="0" applyAlignment="1" applyBorder="1" applyFont="1" applyNumberFormat="1">
      <alignment vertical="center"/>
    </xf>
    <xf borderId="23" fillId="0" fontId="38" numFmtId="38" xfId="0" applyAlignment="1" applyBorder="1" applyFont="1" applyNumberFormat="1">
      <alignment vertical="center"/>
    </xf>
    <xf borderId="24" fillId="0" fontId="38" numFmtId="38" xfId="0" applyAlignment="1" applyBorder="1" applyFont="1" applyNumberFormat="1">
      <alignment vertical="center"/>
    </xf>
    <xf borderId="138" fillId="0" fontId="38" numFmtId="38" xfId="0" applyAlignment="1" applyBorder="1" applyFont="1" applyNumberFormat="1">
      <alignment vertical="center"/>
    </xf>
    <xf borderId="24" fillId="0" fontId="33" numFmtId="38" xfId="0" applyAlignment="1" applyBorder="1" applyFont="1" applyNumberFormat="1">
      <alignment shrinkToFit="1" vertical="center" wrapText="0"/>
    </xf>
    <xf borderId="33" fillId="0" fontId="33" numFmtId="38" xfId="0" applyAlignment="1" applyBorder="1" applyFont="1" applyNumberFormat="1">
      <alignment shrinkToFit="1" vertical="center" wrapText="0"/>
    </xf>
    <xf borderId="165" fillId="10" fontId="34" numFmtId="38" xfId="0" applyAlignment="1" applyBorder="1" applyFont="1" applyNumberFormat="1">
      <alignment vertical="center"/>
    </xf>
    <xf borderId="120" fillId="10" fontId="34" numFmtId="38" xfId="0" applyAlignment="1" applyBorder="1" applyFont="1" applyNumberFormat="1">
      <alignment vertical="center"/>
    </xf>
    <xf borderId="123" fillId="10" fontId="33" numFmtId="38" xfId="0" applyAlignment="1" applyBorder="1" applyFont="1" applyNumberFormat="1">
      <alignment vertical="center"/>
    </xf>
    <xf borderId="166" fillId="10" fontId="34" numFmtId="38" xfId="0" applyAlignment="1" applyBorder="1" applyFont="1" applyNumberFormat="1">
      <alignment vertical="center"/>
    </xf>
    <xf borderId="122" fillId="10" fontId="34" numFmtId="38" xfId="0" applyAlignment="1" applyBorder="1" applyFont="1" applyNumberFormat="1">
      <alignment vertical="center"/>
    </xf>
    <xf borderId="120" fillId="10" fontId="33" numFmtId="38" xfId="0" applyAlignment="1" applyBorder="1" applyFont="1" applyNumberFormat="1">
      <alignment vertical="center"/>
    </xf>
    <xf borderId="166" fillId="10" fontId="33" numFmtId="38" xfId="0" applyAlignment="1" applyBorder="1" applyFont="1" applyNumberFormat="1">
      <alignment vertical="center"/>
    </xf>
    <xf borderId="167" fillId="10" fontId="33" numFmtId="38" xfId="0" applyAlignment="1" applyBorder="1" applyFont="1" applyNumberFormat="1">
      <alignment vertical="center"/>
    </xf>
    <xf borderId="168" fillId="10" fontId="33" numFmtId="38" xfId="0" applyAlignment="1" applyBorder="1" applyFont="1" applyNumberFormat="1">
      <alignment horizontal="center" vertical="center"/>
    </xf>
    <xf borderId="169" fillId="0" fontId="16" numFmtId="0" xfId="0" applyBorder="1" applyFont="1"/>
    <xf borderId="170" fillId="10" fontId="34" numFmtId="38" xfId="0" applyAlignment="1" applyBorder="1" applyFont="1" applyNumberFormat="1">
      <alignment vertical="center"/>
    </xf>
    <xf borderId="106" fillId="10" fontId="34" numFmtId="38" xfId="0" applyAlignment="1" applyBorder="1" applyFont="1" applyNumberFormat="1">
      <alignment vertical="center"/>
    </xf>
    <xf borderId="171" fillId="10" fontId="33" numFmtId="38" xfId="0" applyAlignment="1" applyBorder="1" applyFont="1" applyNumberFormat="1">
      <alignment vertical="center"/>
    </xf>
    <xf borderId="109" fillId="10" fontId="34" numFmtId="38" xfId="0" applyAlignment="1" applyBorder="1" applyFont="1" applyNumberFormat="1">
      <alignment vertical="center"/>
    </xf>
    <xf borderId="108" fillId="10" fontId="34" numFmtId="38" xfId="0" applyAlignment="1" applyBorder="1" applyFont="1" applyNumberFormat="1">
      <alignment vertical="center"/>
    </xf>
    <xf borderId="106" fillId="10" fontId="33" numFmtId="38" xfId="0" applyAlignment="1" applyBorder="1" applyFont="1" applyNumberFormat="1">
      <alignment vertical="center"/>
    </xf>
    <xf borderId="109" fillId="10" fontId="33" numFmtId="38" xfId="0" applyAlignment="1" applyBorder="1" applyFont="1" applyNumberFormat="1">
      <alignment vertical="center"/>
    </xf>
    <xf borderId="110" fillId="10" fontId="33" numFmtId="38" xfId="0" applyAlignment="1" applyBorder="1" applyFont="1" applyNumberFormat="1">
      <alignment vertical="center"/>
    </xf>
    <xf borderId="1" fillId="2" fontId="2" numFmtId="38" xfId="0" applyAlignment="1" applyBorder="1" applyFont="1" applyNumberFormat="1">
      <alignment vertical="center"/>
    </xf>
    <xf borderId="1" fillId="2" fontId="1" numFmtId="3" xfId="0" applyAlignment="1" applyBorder="1" applyFont="1" applyNumberFormat="1">
      <alignment vertical="center"/>
    </xf>
    <xf borderId="1" fillId="2" fontId="1" numFmtId="38" xfId="0" applyAlignment="1" applyBorder="1" applyFont="1" applyNumberFormat="1">
      <alignment readingOrder="0" vertical="center"/>
    </xf>
    <xf borderId="1" fillId="2" fontId="40" numFmtId="0" xfId="0" applyAlignment="1" applyBorder="1" applyFont="1">
      <alignment horizontal="right" vertical="center"/>
    </xf>
    <xf borderId="1" fillId="2" fontId="41" numFmtId="0" xfId="0" applyAlignment="1" applyBorder="1" applyFont="1">
      <alignment vertical="center"/>
    </xf>
    <xf borderId="1" fillId="2" fontId="42" numFmtId="0" xfId="0" applyAlignment="1" applyBorder="1" applyFont="1">
      <alignment vertical="center"/>
    </xf>
    <xf borderId="1" fillId="2" fontId="42" numFmtId="38" xfId="0" applyAlignment="1" applyBorder="1" applyFont="1" applyNumberFormat="1">
      <alignment vertical="center"/>
    </xf>
    <xf borderId="113" fillId="13" fontId="2" numFmtId="0" xfId="0" applyAlignment="1" applyBorder="1" applyFill="1" applyFont="1">
      <alignment vertical="center"/>
    </xf>
    <xf borderId="116" fillId="13" fontId="43" numFmtId="0" xfId="0" applyAlignment="1" applyBorder="1" applyFont="1">
      <alignment horizontal="right" vertical="center"/>
    </xf>
    <xf borderId="116" fillId="13" fontId="44" numFmtId="0" xfId="0" applyAlignment="1" applyBorder="1" applyFont="1">
      <alignment vertical="center"/>
    </xf>
    <xf borderId="115" fillId="13" fontId="2" numFmtId="0" xfId="0" applyAlignment="1" applyBorder="1" applyFont="1">
      <alignment vertical="center"/>
    </xf>
    <xf borderId="50" fillId="13" fontId="2" numFmtId="0" xfId="0" applyAlignment="1" applyBorder="1" applyFont="1">
      <alignment vertical="center"/>
    </xf>
    <xf borderId="1" fillId="13" fontId="30" numFmtId="0" xfId="0" applyAlignment="1" applyBorder="1" applyFont="1">
      <alignment horizontal="right" vertical="center"/>
    </xf>
    <xf borderId="0" fillId="0" fontId="30" numFmtId="38" xfId="0" applyAlignment="1" applyFont="1" applyNumberFormat="1">
      <alignment vertical="center"/>
    </xf>
    <xf borderId="69" fillId="13" fontId="30" numFmtId="0" xfId="0" applyAlignment="1" applyBorder="1" applyFont="1">
      <alignment vertical="center"/>
    </xf>
    <xf borderId="1" fillId="2" fontId="22" numFmtId="0" xfId="0" applyAlignment="1" applyBorder="1" applyFont="1">
      <alignment horizontal="right" vertical="center"/>
    </xf>
    <xf borderId="1" fillId="13" fontId="39" numFmtId="0" xfId="0" applyAlignment="1" applyBorder="1" applyFont="1">
      <alignment horizontal="right" vertical="center"/>
    </xf>
    <xf borderId="0" fillId="0" fontId="2" numFmtId="38" xfId="0" applyAlignment="1" applyFont="1" applyNumberFormat="1">
      <alignment vertical="center"/>
    </xf>
    <xf borderId="69" fillId="13" fontId="2" numFmtId="0" xfId="0" applyAlignment="1" applyBorder="1" applyFont="1">
      <alignment vertical="center"/>
    </xf>
    <xf borderId="40" fillId="2" fontId="22" numFmtId="0" xfId="0" applyAlignment="1" applyBorder="1" applyFont="1">
      <alignment vertical="center"/>
    </xf>
    <xf borderId="40" fillId="2" fontId="22" numFmtId="0" xfId="0" applyAlignment="1" applyBorder="1" applyFont="1">
      <alignment horizontal="center" vertical="center"/>
    </xf>
    <xf borderId="15" fillId="0" fontId="45" numFmtId="0" xfId="0" applyAlignment="1" applyBorder="1" applyFont="1">
      <alignment vertical="center"/>
    </xf>
    <xf borderId="15" fillId="0" fontId="46" numFmtId="38" xfId="0" applyAlignment="1" applyBorder="1" applyFont="1" applyNumberFormat="1">
      <alignment vertical="center"/>
    </xf>
    <xf borderId="0" fillId="0" fontId="1" numFmtId="38" xfId="0" applyAlignment="1" applyFont="1" applyNumberFormat="1">
      <alignment vertical="center"/>
    </xf>
    <xf borderId="15" fillId="0" fontId="45" numFmtId="168" xfId="0" applyAlignment="1" applyBorder="1" applyFont="1" applyNumberFormat="1">
      <alignment vertical="center"/>
    </xf>
    <xf borderId="0" fillId="0" fontId="47" numFmtId="0" xfId="0" applyFont="1"/>
    <xf borderId="0" fillId="0" fontId="46" numFmtId="0" xfId="0" applyFont="1"/>
    <xf borderId="0" fillId="0" fontId="48" numFmtId="0" xfId="0" applyFont="1"/>
    <xf borderId="0" fillId="0" fontId="46" numFmtId="38" xfId="0" applyFont="1" applyNumberFormat="1"/>
    <xf borderId="0" fillId="0" fontId="46" numFmtId="10" xfId="0" applyFont="1" applyNumberFormat="1"/>
    <xf borderId="1" fillId="10" fontId="46" numFmtId="0" xfId="0" applyBorder="1" applyFont="1"/>
    <xf borderId="0" fillId="0" fontId="47" numFmtId="0" xfId="0" applyAlignment="1" applyFont="1">
      <alignment readingOrder="0"/>
    </xf>
    <xf borderId="15" fillId="0" fontId="49" numFmtId="0" xfId="0" applyBorder="1" applyFont="1"/>
    <xf borderId="172" fillId="0" fontId="49" numFmtId="0" xfId="0" applyBorder="1" applyFont="1"/>
    <xf borderId="57" fillId="0" fontId="49" numFmtId="0" xfId="0" applyAlignment="1" applyBorder="1" applyFont="1">
      <alignment horizontal="center"/>
    </xf>
    <xf borderId="57" fillId="0" fontId="19" numFmtId="0" xfId="0" applyAlignment="1" applyBorder="1" applyFont="1">
      <alignment horizontal="center" readingOrder="0"/>
    </xf>
    <xf borderId="57" fillId="0" fontId="49" numFmtId="0" xfId="0" applyAlignment="1" applyBorder="1" applyFont="1">
      <alignment horizontal="center" readingOrder="0"/>
    </xf>
    <xf borderId="0" fillId="0" fontId="49" numFmtId="0" xfId="0" applyFont="1"/>
    <xf borderId="15" fillId="14" fontId="49" numFmtId="0" xfId="0" applyBorder="1" applyFill="1" applyFont="1"/>
    <xf borderId="40" fillId="14" fontId="49" numFmtId="0" xfId="0" applyBorder="1" applyFont="1"/>
    <xf borderId="15" fillId="14" fontId="46" numFmtId="38" xfId="0" applyAlignment="1" applyBorder="1" applyFont="1" applyNumberFormat="1">
      <alignment vertical="center"/>
    </xf>
    <xf borderId="15" fillId="14" fontId="49" numFmtId="1" xfId="0" applyAlignment="1" applyBorder="1" applyFont="1" applyNumberFormat="1">
      <alignment horizontal="right"/>
    </xf>
    <xf borderId="0" fillId="0" fontId="49" numFmtId="0" xfId="0" applyAlignment="1" applyFont="1">
      <alignment horizontal="right"/>
    </xf>
    <xf borderId="15" fillId="0" fontId="49" numFmtId="38" xfId="0" applyBorder="1" applyFont="1" applyNumberFormat="1"/>
    <xf borderId="15" fillId="0" fontId="49" numFmtId="38" xfId="0" applyAlignment="1" applyBorder="1" applyFont="1" applyNumberFormat="1">
      <alignment horizontal="right"/>
    </xf>
    <xf borderId="0" fillId="0" fontId="49" numFmtId="9" xfId="0" applyAlignment="1" applyFont="1" applyNumberFormat="1">
      <alignment horizontal="right"/>
    </xf>
    <xf borderId="15" fillId="0" fontId="49" numFmtId="10" xfId="0" applyAlignment="1" applyBorder="1" applyFont="1" applyNumberFormat="1">
      <alignment horizontal="right"/>
    </xf>
    <xf borderId="15" fillId="0" fontId="49" numFmtId="3" xfId="0" applyAlignment="1" applyBorder="1" applyFont="1" applyNumberFormat="1">
      <alignment horizontal="right"/>
    </xf>
    <xf borderId="15" fillId="10" fontId="49" numFmtId="0" xfId="0" applyBorder="1" applyFont="1"/>
    <xf borderId="15" fillId="10" fontId="49" numFmtId="10" xfId="0" applyAlignment="1" applyBorder="1" applyFont="1" applyNumberFormat="1">
      <alignment horizontal="right"/>
    </xf>
    <xf borderId="15" fillId="10" fontId="49" numFmtId="3" xfId="0" applyAlignment="1" applyBorder="1" applyFont="1" applyNumberFormat="1">
      <alignment horizontal="right"/>
    </xf>
    <xf borderId="15" fillId="0" fontId="50" numFmtId="0" xfId="0" applyBorder="1" applyFont="1"/>
    <xf borderId="15" fillId="15" fontId="49" numFmtId="0" xfId="0" applyBorder="1" applyFill="1" applyFont="1"/>
    <xf borderId="15" fillId="15" fontId="49" numFmtId="10" xfId="0" applyAlignment="1" applyBorder="1" applyFont="1" applyNumberFormat="1">
      <alignment horizontal="right"/>
    </xf>
    <xf borderId="15" fillId="0" fontId="51" numFmtId="0" xfId="0" applyBorder="1" applyFont="1"/>
    <xf borderId="15" fillId="16" fontId="49" numFmtId="3" xfId="0" applyAlignment="1" applyBorder="1" applyFill="1" applyFont="1" applyNumberFormat="1">
      <alignment horizontal="right"/>
    </xf>
    <xf borderId="15" fillId="0" fontId="49" numFmtId="0" xfId="0" applyAlignment="1" applyBorder="1" applyFont="1">
      <alignment horizontal="right"/>
    </xf>
    <xf borderId="94" fillId="0" fontId="49" numFmtId="0" xfId="0" applyBorder="1" applyFont="1"/>
    <xf borderId="15" fillId="15" fontId="49" numFmtId="38" xfId="0" applyBorder="1" applyFont="1" applyNumberFormat="1"/>
    <xf borderId="94" fillId="0" fontId="49" numFmtId="38" xfId="0" applyAlignment="1" applyBorder="1" applyFont="1" applyNumberFormat="1">
      <alignment horizontal="right"/>
    </xf>
    <xf borderId="173" fillId="15" fontId="19" numFmtId="9" xfId="0" applyAlignment="1" applyBorder="1" applyFont="1" applyNumberFormat="1">
      <alignment horizontal="center"/>
    </xf>
    <xf borderId="174" fillId="0" fontId="16" numFmtId="0" xfId="0" applyBorder="1" applyFont="1"/>
    <xf borderId="15" fillId="10" fontId="49" numFmtId="9" xfId="0" applyBorder="1" applyFont="1" applyNumberFormat="1"/>
    <xf borderId="41" fillId="0" fontId="49" numFmtId="0" xfId="0" applyBorder="1" applyFont="1"/>
    <xf borderId="0" fillId="0" fontId="49" numFmtId="3" xfId="0" applyAlignment="1" applyFont="1" applyNumberFormat="1">
      <alignment horizontal="right"/>
    </xf>
    <xf borderId="15" fillId="0" fontId="47" numFmtId="0" xfId="0" applyBorder="1" applyFont="1"/>
    <xf borderId="15" fillId="0" fontId="46" numFmtId="38" xfId="0" applyBorder="1" applyFont="1" applyNumberFormat="1"/>
    <xf borderId="15" fillId="0" fontId="46" numFmtId="0" xfId="0" applyBorder="1" applyFont="1"/>
    <xf borderId="15" fillId="0" fontId="46" numFmtId="9" xfId="0" applyBorder="1" applyFont="1" applyNumberFormat="1"/>
    <xf borderId="15" fillId="17" fontId="47" numFmtId="0" xfId="0" applyBorder="1" applyFill="1" applyFont="1"/>
    <xf borderId="15" fillId="17" fontId="46" numFmtId="38" xfId="0" applyBorder="1" applyFont="1" applyNumberFormat="1"/>
    <xf borderId="15" fillId="17" fontId="46" numFmtId="38" xfId="0" applyAlignment="1" applyBorder="1" applyFont="1" applyNumberFormat="1">
      <alignment readingOrder="0"/>
    </xf>
    <xf borderId="1" fillId="17" fontId="47" numFmtId="0" xfId="0" applyBorder="1" applyFont="1"/>
    <xf borderId="15" fillId="0" fontId="46" numFmtId="38" xfId="0" applyAlignment="1" applyBorder="1" applyFont="1" applyNumberFormat="1">
      <alignment readingOrder="0"/>
    </xf>
    <xf borderId="1" fillId="17" fontId="46" numFmtId="38" xfId="0" applyBorder="1" applyFont="1" applyNumberFormat="1"/>
    <xf borderId="15" fillId="0" fontId="46" numFmtId="38" xfId="0" applyAlignment="1" applyBorder="1" applyFont="1" applyNumberFormat="1">
      <alignment readingOrder="0" vertical="center"/>
    </xf>
    <xf borderId="15" fillId="0" fontId="49" numFmtId="38" xfId="0" applyAlignment="1" applyBorder="1" applyFont="1" applyNumberFormat="1">
      <alignment readingOrder="0"/>
    </xf>
    <xf borderId="15" fillId="15" fontId="49" numFmtId="3" xfId="0" applyAlignment="1" applyBorder="1" applyFont="1" applyNumberFormat="1">
      <alignment horizontal="right"/>
    </xf>
    <xf borderId="15" fillId="15" fontId="49" numFmtId="3" xfId="0" applyAlignment="1" applyBorder="1" applyFont="1" applyNumberFormat="1">
      <alignment horizontal="right" readingOrder="0"/>
    </xf>
    <xf borderId="15" fillId="0" fontId="49" numFmtId="3" xfId="0" applyAlignment="1" applyBorder="1" applyFont="1" applyNumberFormat="1">
      <alignment horizontal="right" readingOrder="0"/>
    </xf>
    <xf borderId="15" fillId="0" fontId="49" numFmtId="38" xfId="0" applyAlignment="1" applyBorder="1" applyFont="1" applyNumberFormat="1">
      <alignment horizontal="right" readingOrder="0"/>
    </xf>
    <xf borderId="15" fillId="0" fontId="49" numFmtId="0" xfId="0" applyAlignment="1" applyBorder="1" applyFont="1">
      <alignment readingOrder="0"/>
    </xf>
    <xf borderId="94" fillId="0" fontId="49" numFmtId="0" xfId="0" applyAlignment="1" applyBorder="1" applyFont="1">
      <alignment horizontal="right"/>
    </xf>
    <xf borderId="15" fillId="0" fontId="46" numFmtId="0" xfId="0" applyAlignment="1" applyBorder="1" applyFont="1">
      <alignment readingOrder="0"/>
    </xf>
    <xf borderId="15" fillId="13" fontId="47" numFmtId="0" xfId="0" applyBorder="1" applyFont="1"/>
    <xf borderId="15" fillId="13" fontId="46" numFmtId="0" xfId="0" applyBorder="1" applyFont="1"/>
    <xf borderId="57" fillId="0" fontId="19" numFmtId="0" xfId="0" applyAlignment="1" applyBorder="1" applyFont="1">
      <alignment horizontal="center"/>
    </xf>
    <xf borderId="15" fillId="13" fontId="46" numFmtId="38" xfId="0" applyBorder="1" applyFont="1" applyNumberFormat="1"/>
    <xf borderId="0" fillId="0" fontId="49" numFmtId="0" xfId="0" applyAlignment="1" applyFont="1">
      <alignment horizontal="right" readingOrder="0"/>
    </xf>
    <xf borderId="15" fillId="0" fontId="19" numFmtId="10" xfId="0" applyAlignment="1" applyBorder="1" applyFont="1" applyNumberFormat="1">
      <alignment horizontal="right"/>
    </xf>
    <xf borderId="15" fillId="0" fontId="49" numFmtId="3" xfId="0" applyBorder="1" applyFont="1" applyNumberFormat="1"/>
    <xf borderId="15" fillId="0" fontId="49" numFmtId="1" xfId="0" applyAlignment="1" applyBorder="1" applyFont="1" applyNumberFormat="1">
      <alignment horizontal="right"/>
    </xf>
    <xf borderId="0" fillId="0" fontId="46" numFmtId="0" xfId="0" applyAlignment="1" applyFont="1">
      <alignment vertical="center"/>
    </xf>
    <xf borderId="0" fillId="0" fontId="49" numFmtId="10" xfId="0" applyFont="1" applyNumberFormat="1"/>
    <xf borderId="0" fillId="0" fontId="46" numFmtId="3" xfId="0" applyFont="1" applyNumberFormat="1"/>
    <xf borderId="0" fillId="0" fontId="46" numFmtId="167" xfId="0" applyFont="1" applyNumberFormat="1"/>
    <xf borderId="0" fillId="0" fontId="46" numFmtId="9" xfId="0" applyFont="1" applyNumberFormat="1"/>
    <xf borderId="0" fillId="0" fontId="46" numFmtId="38" xfId="0" applyAlignment="1" applyFont="1" applyNumberFormat="1">
      <alignment vertical="center"/>
    </xf>
    <xf borderId="90" fillId="0" fontId="49" numFmtId="0" xfId="0" applyBorder="1" applyFont="1"/>
    <xf borderId="0" fillId="0" fontId="19" numFmtId="0" xfId="0" applyAlignment="1" applyFont="1">
      <alignment horizontal="right"/>
    </xf>
    <xf borderId="1" fillId="17" fontId="49" numFmtId="38" xfId="0" applyBorder="1" applyFont="1" applyNumberFormat="1"/>
    <xf borderId="15" fillId="0" fontId="45" numFmtId="38" xfId="0" applyAlignment="1" applyBorder="1" applyFont="1" applyNumberFormat="1">
      <alignment vertical="center"/>
    </xf>
    <xf borderId="0" fillId="0" fontId="46" numFmtId="1" xfId="0" applyFont="1" applyNumberFormat="1"/>
    <xf borderId="0" fillId="0" fontId="49" numFmtId="38" xfId="0" applyAlignment="1" applyFont="1" applyNumberFormat="1">
      <alignment horizontal="right"/>
    </xf>
    <xf borderId="0" fillId="0" fontId="49" numFmtId="38"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0</xdr:row>
      <xdr:rowOff>152400</xdr:rowOff>
    </xdr:from>
    <xdr:ext cx="5591175" cy="2009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57150</xdr:colOff>
      <xdr:row>14</xdr:row>
      <xdr:rowOff>19050</xdr:rowOff>
    </xdr:from>
    <xdr:ext cx="5353050" cy="26003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581025</xdr:colOff>
      <xdr:row>33</xdr:row>
      <xdr:rowOff>114300</xdr:rowOff>
    </xdr:from>
    <xdr:ext cx="3381375" cy="40386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xSplit="24.0" ySplit="7.0" topLeftCell="Y8" activePane="bottomRight" state="frozen"/>
      <selection activeCell="Y1" sqref="Y1" pane="topRight"/>
      <selection activeCell="A8" sqref="A8" pane="bottomLeft"/>
      <selection activeCell="Y8" sqref="Y8" pane="bottomRight"/>
    </sheetView>
  </sheetViews>
  <sheetFormatPr customHeight="1" defaultColWidth="14.43" defaultRowHeight="15.0"/>
  <cols>
    <col customWidth="1" hidden="1" min="1" max="2" width="9.14"/>
    <col customWidth="1" hidden="1" min="3" max="3" width="8.14"/>
    <col customWidth="1" hidden="1" min="4" max="4" width="6.71"/>
    <col customWidth="1" min="5" max="5" width="6.14"/>
    <col customWidth="1" min="6" max="6" width="10.14"/>
    <col customWidth="1" min="7" max="7" width="15.43"/>
    <col customWidth="1" hidden="1" min="8" max="13" width="10.14"/>
    <col customWidth="1" hidden="1" min="14" max="14" width="9.14"/>
    <col customWidth="1" hidden="1" min="15" max="15" width="10.14"/>
    <col customWidth="1" hidden="1" min="16" max="16" width="9.14"/>
    <col customWidth="1" hidden="1" min="17" max="18" width="10.71"/>
    <col customWidth="1" hidden="1" min="19" max="19" width="13.14"/>
    <col customWidth="1" hidden="1" min="20" max="25" width="10.71"/>
    <col customWidth="1" hidden="1" min="26" max="33" width="12.71"/>
    <col customWidth="1" hidden="1" min="34" max="79" width="12.0"/>
    <col customWidth="1" min="80" max="93" width="12.0"/>
  </cols>
  <sheetData>
    <row r="1" ht="12.75" customHeight="1">
      <c r="A1" s="1"/>
      <c r="B1" s="1"/>
      <c r="C1" s="1"/>
      <c r="D1" s="1"/>
      <c r="E1" s="1"/>
      <c r="F1" s="1"/>
      <c r="G1" s="1"/>
      <c r="H1" s="1" t="str">
        <f t="shared" ref="H1:H3" si="4">+#REF!</f>
        <v>#REF!</v>
      </c>
      <c r="I1" s="2" t="str">
        <f t="shared" ref="I1:J1" si="1">IF(H2=12,H1+1,H1)</f>
        <v>#REF!</v>
      </c>
      <c r="J1" s="1" t="str">
        <f t="shared" si="1"/>
        <v>#REF!</v>
      </c>
      <c r="K1" s="2">
        <v>30.0</v>
      </c>
      <c r="L1" s="1">
        <f t="shared" ref="L1:O1" si="2">IF(K2=12,K1+1,K1)</f>
        <v>30</v>
      </c>
      <c r="M1" s="2">
        <f t="shared" si="2"/>
        <v>30</v>
      </c>
      <c r="N1" s="2">
        <f t="shared" si="2"/>
        <v>31</v>
      </c>
      <c r="O1" s="2">
        <f t="shared" si="2"/>
        <v>31</v>
      </c>
      <c r="P1" s="2">
        <v>31.0</v>
      </c>
      <c r="Q1" s="2">
        <v>31.0</v>
      </c>
      <c r="R1" s="2">
        <v>31.0</v>
      </c>
      <c r="S1" s="2">
        <v>31.0</v>
      </c>
      <c r="T1" s="2">
        <v>31.0</v>
      </c>
      <c r="U1" s="2">
        <v>31.0</v>
      </c>
      <c r="V1" s="2">
        <v>31.0</v>
      </c>
      <c r="W1" s="1">
        <f>IF(V2=12,V1+1,V1)</f>
        <v>31</v>
      </c>
      <c r="X1" s="1">
        <v>31.0</v>
      </c>
      <c r="Y1" s="2">
        <v>31.0</v>
      </c>
      <c r="Z1" s="1">
        <f t="shared" ref="Z1:BO1" si="3">IF(Y2=12,Y1+1,Y1)</f>
        <v>32</v>
      </c>
      <c r="AA1" s="1">
        <f t="shared" si="3"/>
        <v>32</v>
      </c>
      <c r="AB1" s="1">
        <f t="shared" si="3"/>
        <v>32</v>
      </c>
      <c r="AC1" s="1">
        <f t="shared" si="3"/>
        <v>32</v>
      </c>
      <c r="AD1" s="1">
        <f t="shared" si="3"/>
        <v>32</v>
      </c>
      <c r="AE1" s="1">
        <f t="shared" si="3"/>
        <v>32</v>
      </c>
      <c r="AF1" s="1">
        <f t="shared" si="3"/>
        <v>32</v>
      </c>
      <c r="AG1" s="1">
        <f t="shared" si="3"/>
        <v>32</v>
      </c>
      <c r="AH1" s="1">
        <f t="shared" si="3"/>
        <v>32</v>
      </c>
      <c r="AI1" s="1">
        <f t="shared" si="3"/>
        <v>32</v>
      </c>
      <c r="AJ1" s="1">
        <f t="shared" si="3"/>
        <v>32</v>
      </c>
      <c r="AK1" s="1">
        <f t="shared" si="3"/>
        <v>32</v>
      </c>
      <c r="AL1" s="1">
        <f t="shared" si="3"/>
        <v>33</v>
      </c>
      <c r="AM1" s="1">
        <f t="shared" si="3"/>
        <v>33</v>
      </c>
      <c r="AN1" s="1">
        <f t="shared" si="3"/>
        <v>33</v>
      </c>
      <c r="AO1" s="1">
        <f t="shared" si="3"/>
        <v>33</v>
      </c>
      <c r="AP1" s="1">
        <f t="shared" si="3"/>
        <v>33</v>
      </c>
      <c r="AQ1" s="1">
        <f t="shared" si="3"/>
        <v>33</v>
      </c>
      <c r="AR1" s="1">
        <f t="shared" si="3"/>
        <v>33</v>
      </c>
      <c r="AS1" s="1">
        <f t="shared" si="3"/>
        <v>33</v>
      </c>
      <c r="AT1" s="1">
        <f t="shared" si="3"/>
        <v>33</v>
      </c>
      <c r="AU1" s="1">
        <f t="shared" si="3"/>
        <v>33</v>
      </c>
      <c r="AV1" s="1">
        <f t="shared" si="3"/>
        <v>33</v>
      </c>
      <c r="AW1" s="1">
        <f t="shared" si="3"/>
        <v>33</v>
      </c>
      <c r="AX1" s="1">
        <f t="shared" si="3"/>
        <v>34</v>
      </c>
      <c r="AY1" s="1">
        <f t="shared" si="3"/>
        <v>34</v>
      </c>
      <c r="AZ1" s="1">
        <f t="shared" si="3"/>
        <v>34</v>
      </c>
      <c r="BA1" s="1">
        <f t="shared" si="3"/>
        <v>34</v>
      </c>
      <c r="BB1" s="1">
        <f t="shared" si="3"/>
        <v>34</v>
      </c>
      <c r="BC1" s="1">
        <f t="shared" si="3"/>
        <v>34</v>
      </c>
      <c r="BD1" s="1">
        <f t="shared" si="3"/>
        <v>34</v>
      </c>
      <c r="BE1" s="1">
        <f t="shared" si="3"/>
        <v>34</v>
      </c>
      <c r="BF1" s="1">
        <f t="shared" si="3"/>
        <v>34</v>
      </c>
      <c r="BG1" s="1">
        <f t="shared" si="3"/>
        <v>34</v>
      </c>
      <c r="BH1" s="1">
        <f t="shared" si="3"/>
        <v>34</v>
      </c>
      <c r="BI1" s="1">
        <f t="shared" si="3"/>
        <v>34</v>
      </c>
      <c r="BJ1" s="1">
        <f t="shared" si="3"/>
        <v>35</v>
      </c>
      <c r="BK1" s="1">
        <f t="shared" si="3"/>
        <v>35</v>
      </c>
      <c r="BL1" s="1">
        <f t="shared" si="3"/>
        <v>35</v>
      </c>
      <c r="BM1" s="1">
        <f t="shared" si="3"/>
        <v>35</v>
      </c>
      <c r="BN1" s="1">
        <f t="shared" si="3"/>
        <v>35</v>
      </c>
      <c r="BO1" s="1">
        <f t="shared" si="3"/>
        <v>35</v>
      </c>
      <c r="BP1" s="1"/>
      <c r="BQ1" s="1"/>
      <c r="BR1" s="1"/>
      <c r="BS1" s="1"/>
      <c r="BT1" s="1"/>
      <c r="BU1" s="1"/>
      <c r="BV1" s="1"/>
      <c r="BW1" s="1"/>
      <c r="BX1" s="1"/>
      <c r="BY1" s="1"/>
      <c r="BZ1" s="1"/>
      <c r="CA1" s="1"/>
      <c r="CB1" s="1"/>
      <c r="CC1" s="1"/>
      <c r="CD1" s="1"/>
      <c r="CE1" s="1"/>
      <c r="CF1" s="1"/>
      <c r="CG1" s="1"/>
      <c r="CH1" s="1"/>
      <c r="CI1" s="1"/>
      <c r="CJ1" s="1"/>
      <c r="CK1" s="1"/>
      <c r="CL1" s="1"/>
      <c r="CM1" s="1"/>
      <c r="CN1" s="1"/>
      <c r="CO1" s="1"/>
    </row>
    <row r="2" ht="12.75" customHeight="1">
      <c r="A2" s="1"/>
      <c r="B2" s="1"/>
      <c r="C2" s="1"/>
      <c r="D2" s="1"/>
      <c r="E2" s="1"/>
      <c r="F2" s="1"/>
      <c r="G2" s="1"/>
      <c r="H2" s="1" t="str">
        <f t="shared" si="4"/>
        <v>#REF!</v>
      </c>
      <c r="I2" s="2" t="str">
        <f t="shared" ref="I2:J2" si="5">IF(H2=12,1,H2+1)</f>
        <v>#REF!</v>
      </c>
      <c r="J2" s="1" t="str">
        <f t="shared" si="5"/>
        <v>#REF!</v>
      </c>
      <c r="K2" s="2">
        <v>10.0</v>
      </c>
      <c r="L2" s="1">
        <f t="shared" ref="L2:N2" si="6">IF(K2=12,1,K2+1)</f>
        <v>11</v>
      </c>
      <c r="M2" s="2">
        <f t="shared" si="6"/>
        <v>12</v>
      </c>
      <c r="N2" s="2">
        <f t="shared" si="6"/>
        <v>1</v>
      </c>
      <c r="O2" s="2">
        <v>2.0</v>
      </c>
      <c r="P2" s="2">
        <v>3.0</v>
      </c>
      <c r="Q2" s="2">
        <v>4.0</v>
      </c>
      <c r="R2" s="2">
        <v>5.0</v>
      </c>
      <c r="S2" s="2">
        <v>6.0</v>
      </c>
      <c r="T2" s="2">
        <v>7.0</v>
      </c>
      <c r="U2" s="2">
        <v>8.0</v>
      </c>
      <c r="V2" s="2">
        <v>9.0</v>
      </c>
      <c r="W2" s="1">
        <f>IF(V2=12,1,V2+1)</f>
        <v>10</v>
      </c>
      <c r="X2" s="1">
        <v>11.0</v>
      </c>
      <c r="Y2" s="2">
        <v>12.0</v>
      </c>
      <c r="Z2" s="1">
        <f t="shared" ref="Z2:BO2" si="7">IF(Y2=12,1,Y2+1)</f>
        <v>1</v>
      </c>
      <c r="AA2" s="1">
        <f t="shared" si="7"/>
        <v>2</v>
      </c>
      <c r="AB2" s="1">
        <f t="shared" si="7"/>
        <v>3</v>
      </c>
      <c r="AC2" s="1">
        <f t="shared" si="7"/>
        <v>4</v>
      </c>
      <c r="AD2" s="1">
        <f t="shared" si="7"/>
        <v>5</v>
      </c>
      <c r="AE2" s="1">
        <f t="shared" si="7"/>
        <v>6</v>
      </c>
      <c r="AF2" s="1">
        <f t="shared" si="7"/>
        <v>7</v>
      </c>
      <c r="AG2" s="1">
        <f t="shared" si="7"/>
        <v>8</v>
      </c>
      <c r="AH2" s="1">
        <f t="shared" si="7"/>
        <v>9</v>
      </c>
      <c r="AI2" s="1">
        <f t="shared" si="7"/>
        <v>10</v>
      </c>
      <c r="AJ2" s="1">
        <f t="shared" si="7"/>
        <v>11</v>
      </c>
      <c r="AK2" s="1">
        <f t="shared" si="7"/>
        <v>12</v>
      </c>
      <c r="AL2" s="1">
        <f t="shared" si="7"/>
        <v>1</v>
      </c>
      <c r="AM2" s="1">
        <f t="shared" si="7"/>
        <v>2</v>
      </c>
      <c r="AN2" s="1">
        <f t="shared" si="7"/>
        <v>3</v>
      </c>
      <c r="AO2" s="1">
        <f t="shared" si="7"/>
        <v>4</v>
      </c>
      <c r="AP2" s="1">
        <f t="shared" si="7"/>
        <v>5</v>
      </c>
      <c r="AQ2" s="1">
        <f t="shared" si="7"/>
        <v>6</v>
      </c>
      <c r="AR2" s="1">
        <f t="shared" si="7"/>
        <v>7</v>
      </c>
      <c r="AS2" s="1">
        <f t="shared" si="7"/>
        <v>8</v>
      </c>
      <c r="AT2" s="1">
        <f t="shared" si="7"/>
        <v>9</v>
      </c>
      <c r="AU2" s="1">
        <f t="shared" si="7"/>
        <v>10</v>
      </c>
      <c r="AV2" s="1">
        <f t="shared" si="7"/>
        <v>11</v>
      </c>
      <c r="AW2" s="1">
        <f t="shared" si="7"/>
        <v>12</v>
      </c>
      <c r="AX2" s="1">
        <f t="shared" si="7"/>
        <v>1</v>
      </c>
      <c r="AY2" s="1">
        <f t="shared" si="7"/>
        <v>2</v>
      </c>
      <c r="AZ2" s="1">
        <f t="shared" si="7"/>
        <v>3</v>
      </c>
      <c r="BA2" s="1">
        <f t="shared" si="7"/>
        <v>4</v>
      </c>
      <c r="BB2" s="1">
        <f t="shared" si="7"/>
        <v>5</v>
      </c>
      <c r="BC2" s="1">
        <f t="shared" si="7"/>
        <v>6</v>
      </c>
      <c r="BD2" s="1">
        <f t="shared" si="7"/>
        <v>7</v>
      </c>
      <c r="BE2" s="1">
        <f t="shared" si="7"/>
        <v>8</v>
      </c>
      <c r="BF2" s="1">
        <f t="shared" si="7"/>
        <v>9</v>
      </c>
      <c r="BG2" s="1">
        <f t="shared" si="7"/>
        <v>10</v>
      </c>
      <c r="BH2" s="1">
        <f t="shared" si="7"/>
        <v>11</v>
      </c>
      <c r="BI2" s="1">
        <f t="shared" si="7"/>
        <v>12</v>
      </c>
      <c r="BJ2" s="1">
        <f t="shared" si="7"/>
        <v>1</v>
      </c>
      <c r="BK2" s="1">
        <f t="shared" si="7"/>
        <v>2</v>
      </c>
      <c r="BL2" s="1">
        <f t="shared" si="7"/>
        <v>3</v>
      </c>
      <c r="BM2" s="1">
        <f t="shared" si="7"/>
        <v>4</v>
      </c>
      <c r="BN2" s="1">
        <f t="shared" si="7"/>
        <v>5</v>
      </c>
      <c r="BO2" s="1">
        <f t="shared" si="7"/>
        <v>6</v>
      </c>
      <c r="BP2" s="1"/>
      <c r="BQ2" s="1"/>
      <c r="BR2" s="1"/>
      <c r="BS2" s="1"/>
      <c r="BT2" s="1"/>
      <c r="BU2" s="1"/>
      <c r="BV2" s="1"/>
      <c r="BW2" s="1"/>
      <c r="BX2" s="1"/>
      <c r="BY2" s="1"/>
      <c r="BZ2" s="1"/>
      <c r="CA2" s="1"/>
      <c r="CB2" s="1"/>
      <c r="CC2" s="1"/>
      <c r="CD2" s="1"/>
      <c r="CE2" s="1"/>
      <c r="CF2" s="1"/>
      <c r="CG2" s="1"/>
      <c r="CH2" s="1"/>
      <c r="CI2" s="1"/>
      <c r="CJ2" s="1"/>
      <c r="CK2" s="1"/>
      <c r="CL2" s="1"/>
      <c r="CM2" s="1"/>
      <c r="CN2" s="1"/>
      <c r="CO2" s="1"/>
    </row>
    <row r="3" ht="12.75" customHeight="1">
      <c r="A3" s="1"/>
      <c r="B3" s="1"/>
      <c r="C3" s="1"/>
      <c r="D3" s="1"/>
      <c r="E3" s="1"/>
      <c r="F3" s="1"/>
      <c r="G3" s="1"/>
      <c r="H3" s="3" t="str">
        <f t="shared" si="4"/>
        <v>#REF!</v>
      </c>
      <c r="I3" s="4" t="str">
        <f t="shared" ref="I3:J3" si="8">+#REF!</f>
        <v>#REF!</v>
      </c>
      <c r="J3" s="5" t="str">
        <f t="shared" si="8"/>
        <v>#REF!</v>
      </c>
      <c r="K3" s="4">
        <v>4.0</v>
      </c>
      <c r="L3" s="5" t="str">
        <f t="shared" ref="L3:N3" si="9">+#REF!</f>
        <v>#REF!</v>
      </c>
      <c r="M3" s="4" t="str">
        <f t="shared" si="9"/>
        <v>#REF!</v>
      </c>
      <c r="N3" s="4" t="str">
        <f t="shared" si="9"/>
        <v>#REF!</v>
      </c>
      <c r="O3" s="4">
        <v>8.0</v>
      </c>
      <c r="P3" s="4">
        <v>9.0</v>
      </c>
      <c r="Q3" s="4">
        <v>10.0</v>
      </c>
      <c r="R3" s="4">
        <v>11.0</v>
      </c>
      <c r="S3" s="4">
        <v>12.0</v>
      </c>
      <c r="T3" s="6">
        <v>1.0</v>
      </c>
      <c r="U3" s="6">
        <v>2.0</v>
      </c>
      <c r="V3" s="6">
        <v>3.0</v>
      </c>
      <c r="W3" s="7">
        <f>+V3+1</f>
        <v>4</v>
      </c>
      <c r="X3" s="7">
        <v>5.0</v>
      </c>
      <c r="Y3" s="6">
        <v>6.0</v>
      </c>
      <c r="Z3" s="7">
        <f t="shared" ref="Z3:BO3" si="10">+Y3+1</f>
        <v>7</v>
      </c>
      <c r="AA3" s="7">
        <f t="shared" si="10"/>
        <v>8</v>
      </c>
      <c r="AB3" s="7">
        <f t="shared" si="10"/>
        <v>9</v>
      </c>
      <c r="AC3" s="7">
        <f t="shared" si="10"/>
        <v>10</v>
      </c>
      <c r="AD3" s="7">
        <f t="shared" si="10"/>
        <v>11</v>
      </c>
      <c r="AE3" s="7">
        <f t="shared" si="10"/>
        <v>12</v>
      </c>
      <c r="AF3" s="7">
        <f t="shared" si="10"/>
        <v>13</v>
      </c>
      <c r="AG3" s="7">
        <f t="shared" si="10"/>
        <v>14</v>
      </c>
      <c r="AH3" s="7">
        <f t="shared" si="10"/>
        <v>15</v>
      </c>
      <c r="AI3" s="7">
        <f t="shared" si="10"/>
        <v>16</v>
      </c>
      <c r="AJ3" s="7">
        <f t="shared" si="10"/>
        <v>17</v>
      </c>
      <c r="AK3" s="7">
        <f t="shared" si="10"/>
        <v>18</v>
      </c>
      <c r="AL3" s="7">
        <f t="shared" si="10"/>
        <v>19</v>
      </c>
      <c r="AM3" s="7">
        <f t="shared" si="10"/>
        <v>20</v>
      </c>
      <c r="AN3" s="7">
        <f t="shared" si="10"/>
        <v>21</v>
      </c>
      <c r="AO3" s="7">
        <f t="shared" si="10"/>
        <v>22</v>
      </c>
      <c r="AP3" s="7">
        <f t="shared" si="10"/>
        <v>23</v>
      </c>
      <c r="AQ3" s="7">
        <f t="shared" si="10"/>
        <v>24</v>
      </c>
      <c r="AR3" s="7">
        <f t="shared" si="10"/>
        <v>25</v>
      </c>
      <c r="AS3" s="7">
        <f t="shared" si="10"/>
        <v>26</v>
      </c>
      <c r="AT3" s="7">
        <f t="shared" si="10"/>
        <v>27</v>
      </c>
      <c r="AU3" s="7">
        <f t="shared" si="10"/>
        <v>28</v>
      </c>
      <c r="AV3" s="7">
        <f t="shared" si="10"/>
        <v>29</v>
      </c>
      <c r="AW3" s="7">
        <f t="shared" si="10"/>
        <v>30</v>
      </c>
      <c r="AX3" s="7">
        <f t="shared" si="10"/>
        <v>31</v>
      </c>
      <c r="AY3" s="7">
        <f t="shared" si="10"/>
        <v>32</v>
      </c>
      <c r="AZ3" s="7">
        <f t="shared" si="10"/>
        <v>33</v>
      </c>
      <c r="BA3" s="7">
        <f t="shared" si="10"/>
        <v>34</v>
      </c>
      <c r="BB3" s="7">
        <f t="shared" si="10"/>
        <v>35</v>
      </c>
      <c r="BC3" s="7">
        <f t="shared" si="10"/>
        <v>36</v>
      </c>
      <c r="BD3" s="7">
        <f t="shared" si="10"/>
        <v>37</v>
      </c>
      <c r="BE3" s="7">
        <f t="shared" si="10"/>
        <v>38</v>
      </c>
      <c r="BF3" s="7">
        <f t="shared" si="10"/>
        <v>39</v>
      </c>
      <c r="BG3" s="7">
        <f t="shared" si="10"/>
        <v>40</v>
      </c>
      <c r="BH3" s="7">
        <f t="shared" si="10"/>
        <v>41</v>
      </c>
      <c r="BI3" s="7">
        <f t="shared" si="10"/>
        <v>42</v>
      </c>
      <c r="BJ3" s="7">
        <f t="shared" si="10"/>
        <v>43</v>
      </c>
      <c r="BK3" s="7">
        <f t="shared" si="10"/>
        <v>44</v>
      </c>
      <c r="BL3" s="7">
        <f t="shared" si="10"/>
        <v>45</v>
      </c>
      <c r="BM3" s="7">
        <f t="shared" si="10"/>
        <v>46</v>
      </c>
      <c r="BN3" s="7">
        <f t="shared" si="10"/>
        <v>47</v>
      </c>
      <c r="BO3" s="7">
        <f t="shared" si="10"/>
        <v>48</v>
      </c>
      <c r="BP3" s="7"/>
      <c r="BQ3" s="7"/>
      <c r="BR3" s="7"/>
      <c r="BS3" s="7"/>
      <c r="BT3" s="7"/>
      <c r="BU3" s="7"/>
      <c r="BV3" s="7"/>
      <c r="BW3" s="7"/>
      <c r="BX3" s="7"/>
      <c r="BY3" s="7"/>
      <c r="BZ3" s="7"/>
      <c r="CA3" s="7"/>
      <c r="CB3" s="7"/>
      <c r="CC3" s="7"/>
      <c r="CD3" s="7"/>
      <c r="CE3" s="7"/>
      <c r="CF3" s="7"/>
      <c r="CG3" s="7"/>
      <c r="CH3" s="7"/>
      <c r="CI3" s="7"/>
      <c r="CJ3" s="7"/>
      <c r="CK3" s="7"/>
      <c r="CL3" s="7"/>
      <c r="CM3" s="7"/>
      <c r="CN3" s="7"/>
      <c r="CO3" s="7"/>
    </row>
    <row r="4" ht="12.75" customHeight="1">
      <c r="A4" s="1"/>
      <c r="B4" s="1"/>
      <c r="C4" s="1"/>
      <c r="D4" s="1"/>
      <c r="E4" s="1"/>
      <c r="F4" s="8"/>
      <c r="G4" s="1"/>
      <c r="H4" s="1"/>
      <c r="I4" s="2"/>
      <c r="J4" s="1"/>
      <c r="K4" s="2"/>
      <c r="L4" s="1"/>
      <c r="M4" s="2"/>
      <c r="N4" s="2"/>
      <c r="O4" s="2"/>
      <c r="P4" s="2"/>
      <c r="Q4" s="2"/>
      <c r="R4" s="2"/>
      <c r="S4" s="2"/>
      <c r="T4" s="2">
        <v>1.0</v>
      </c>
      <c r="U4" s="2">
        <v>2.0</v>
      </c>
      <c r="V4" s="2">
        <v>3.0</v>
      </c>
      <c r="W4" s="1">
        <v>4.0</v>
      </c>
      <c r="X4" s="1">
        <v>5.0</v>
      </c>
      <c r="Y4" s="2">
        <v>6.0</v>
      </c>
      <c r="Z4" s="1">
        <v>7.0</v>
      </c>
      <c r="AA4" s="1">
        <v>8.0</v>
      </c>
      <c r="AB4" s="1">
        <v>9.0</v>
      </c>
      <c r="AC4" s="1">
        <v>10.0</v>
      </c>
      <c r="AD4" s="1">
        <v>11.0</v>
      </c>
      <c r="AE4" s="1">
        <v>12.0</v>
      </c>
      <c r="AF4" s="1">
        <v>13.0</v>
      </c>
      <c r="AG4" s="1">
        <v>14.0</v>
      </c>
      <c r="AH4" s="1">
        <v>15.0</v>
      </c>
      <c r="AI4" s="1">
        <v>15.0</v>
      </c>
      <c r="AJ4" s="1">
        <v>15.0</v>
      </c>
      <c r="AK4" s="1">
        <v>15.0</v>
      </c>
      <c r="AL4" s="1">
        <v>15.0</v>
      </c>
      <c r="AM4" s="1">
        <v>15.0</v>
      </c>
      <c r="AN4" s="1">
        <v>15.0</v>
      </c>
      <c r="AO4" s="1">
        <v>15.0</v>
      </c>
      <c r="AP4" s="1">
        <v>15.0</v>
      </c>
      <c r="AQ4" s="1">
        <v>15.0</v>
      </c>
      <c r="AR4" s="1">
        <v>15.0</v>
      </c>
      <c r="AS4" s="1">
        <v>15.0</v>
      </c>
      <c r="AT4" s="1">
        <v>15.0</v>
      </c>
      <c r="AU4" s="1">
        <v>15.0</v>
      </c>
      <c r="AV4" s="1">
        <v>15.0</v>
      </c>
      <c r="AW4" s="1">
        <v>15.0</v>
      </c>
      <c r="AX4" s="1">
        <v>15.0</v>
      </c>
      <c r="AY4" s="1">
        <v>15.0</v>
      </c>
      <c r="AZ4" s="1">
        <v>15.0</v>
      </c>
      <c r="BA4" s="1">
        <v>15.0</v>
      </c>
      <c r="BB4" s="1">
        <v>15.0</v>
      </c>
      <c r="BC4" s="1">
        <v>15.0</v>
      </c>
      <c r="BD4" s="1">
        <v>15.0</v>
      </c>
      <c r="BE4" s="1">
        <v>15.0</v>
      </c>
      <c r="BF4" s="1">
        <v>15.0</v>
      </c>
      <c r="BG4" s="1">
        <v>15.0</v>
      </c>
      <c r="BH4" s="1">
        <v>15.0</v>
      </c>
      <c r="BI4" s="1">
        <v>15.0</v>
      </c>
      <c r="BJ4" s="1">
        <v>15.0</v>
      </c>
      <c r="BK4" s="1">
        <v>15.0</v>
      </c>
      <c r="BL4" s="1">
        <v>15.0</v>
      </c>
      <c r="BM4" s="1">
        <v>15.0</v>
      </c>
      <c r="BN4" s="1">
        <v>15.0</v>
      </c>
      <c r="BO4" s="1">
        <v>15.0</v>
      </c>
      <c r="BP4" s="1"/>
      <c r="BQ4" s="1"/>
      <c r="BR4" s="1"/>
      <c r="BS4" s="1"/>
      <c r="BT4" s="1"/>
      <c r="BU4" s="1"/>
      <c r="BV4" s="1"/>
      <c r="BW4" s="1"/>
      <c r="BX4" s="1"/>
      <c r="BY4" s="1"/>
      <c r="BZ4" s="1"/>
      <c r="CA4" s="1"/>
      <c r="CB4" s="1"/>
      <c r="CC4" s="1"/>
      <c r="CD4" s="1"/>
      <c r="CE4" s="1"/>
      <c r="CF4" s="1"/>
      <c r="CG4" s="1"/>
      <c r="CH4" s="1"/>
      <c r="CI4" s="1"/>
      <c r="CJ4" s="1"/>
      <c r="CK4" s="1"/>
      <c r="CL4" s="1"/>
      <c r="CM4" s="1"/>
      <c r="CN4" s="1"/>
      <c r="CO4" s="1"/>
    </row>
    <row r="5" ht="12.75" customHeight="1">
      <c r="A5" s="1"/>
      <c r="B5" s="1"/>
      <c r="C5" s="1"/>
      <c r="D5" s="1"/>
      <c r="E5" s="1"/>
      <c r="F5" s="9" t="s">
        <v>0</v>
      </c>
      <c r="G5" s="10"/>
      <c r="H5" s="10"/>
      <c r="I5" s="11"/>
      <c r="J5" s="10"/>
      <c r="K5" s="11"/>
      <c r="L5" s="10"/>
      <c r="M5" s="11"/>
      <c r="N5" s="11"/>
      <c r="O5" s="11"/>
      <c r="P5" s="11"/>
      <c r="Q5" s="11"/>
      <c r="R5" s="11"/>
      <c r="S5" s="11"/>
      <c r="T5" s="11"/>
      <c r="U5" s="11"/>
      <c r="V5" s="11"/>
      <c r="W5" s="10"/>
      <c r="X5" s="10"/>
      <c r="Y5" s="11"/>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row>
    <row r="6" ht="3.75" customHeight="1">
      <c r="A6" s="1"/>
      <c r="B6" s="1"/>
      <c r="C6" s="1"/>
      <c r="D6" s="1"/>
      <c r="E6" s="1"/>
      <c r="F6" s="12"/>
      <c r="G6" s="13"/>
      <c r="H6" s="13"/>
      <c r="I6" s="14"/>
      <c r="J6" s="13"/>
      <c r="K6" s="14"/>
      <c r="L6" s="13"/>
      <c r="M6" s="14"/>
      <c r="N6" s="14"/>
      <c r="O6" s="14"/>
      <c r="P6" s="14"/>
      <c r="Q6" s="14"/>
      <c r="R6" s="14"/>
      <c r="S6" s="14"/>
      <c r="T6" s="14"/>
      <c r="U6" s="14"/>
      <c r="V6" s="14"/>
      <c r="W6" s="13"/>
      <c r="X6" s="13"/>
      <c r="Y6" s="14"/>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row>
    <row r="7" ht="20.25" customHeight="1">
      <c r="A7" s="1"/>
      <c r="B7" s="1"/>
      <c r="C7" s="1"/>
      <c r="D7" s="1"/>
      <c r="E7" s="1"/>
      <c r="F7" s="15"/>
      <c r="G7" s="16"/>
      <c r="H7" s="16"/>
      <c r="I7" s="17"/>
      <c r="J7" s="16"/>
      <c r="K7" s="17"/>
      <c r="L7" s="16"/>
      <c r="M7" s="17"/>
      <c r="N7" s="17"/>
      <c r="O7" s="17"/>
      <c r="P7" s="17"/>
      <c r="Q7" s="17"/>
      <c r="R7" s="17"/>
      <c r="S7" s="17"/>
      <c r="T7" s="17"/>
      <c r="U7" s="17"/>
      <c r="V7" s="17"/>
      <c r="W7" s="16"/>
      <c r="X7" s="16"/>
      <c r="Y7" s="17"/>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row>
    <row r="8" ht="12.75" customHeight="1">
      <c r="A8" s="1"/>
      <c r="B8" s="1"/>
      <c r="C8" s="1"/>
      <c r="D8" s="1"/>
      <c r="E8" s="1"/>
      <c r="F8" s="18"/>
      <c r="G8" s="19"/>
      <c r="H8" s="19"/>
      <c r="I8" s="20"/>
      <c r="J8" s="19"/>
      <c r="K8" s="20"/>
      <c r="L8" s="19"/>
      <c r="M8" s="20"/>
      <c r="N8" s="20"/>
      <c r="O8" s="20"/>
      <c r="P8" s="20"/>
      <c r="Q8" s="20"/>
      <c r="R8" s="20"/>
      <c r="S8" s="20"/>
      <c r="T8" s="20"/>
      <c r="U8" s="20"/>
      <c r="V8" s="20"/>
      <c r="W8" s="19"/>
      <c r="X8" s="19"/>
      <c r="Y8" s="20"/>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row>
    <row r="9" ht="14.25" customHeight="1">
      <c r="A9" s="1"/>
      <c r="B9" s="1"/>
      <c r="C9" s="1"/>
      <c r="D9" s="1"/>
      <c r="E9" s="1"/>
      <c r="F9" s="21" t="s">
        <v>1</v>
      </c>
      <c r="G9" s="22"/>
      <c r="H9" s="23" t="str">
        <f t="shared" ref="H9:I9" si="11">IF(H3&gt;$F$4,H3-$F$4,"実績")</f>
        <v>#REF!</v>
      </c>
      <c r="I9" s="24" t="str">
        <f t="shared" si="11"/>
        <v>#REF!</v>
      </c>
      <c r="J9" s="24" t="s">
        <v>2</v>
      </c>
      <c r="K9" s="24" t="s">
        <v>2</v>
      </c>
      <c r="L9" s="24" t="s">
        <v>2</v>
      </c>
      <c r="M9" s="24" t="s">
        <v>2</v>
      </c>
      <c r="N9" s="25" t="str">
        <f t="shared" ref="N9:O9" si="12">IF(N3&gt;$F$4,N3-$F$4,"実績")</f>
        <v>#REF!</v>
      </c>
      <c r="O9" s="24">
        <f t="shared" si="12"/>
        <v>8</v>
      </c>
      <c r="P9" s="24" t="s">
        <v>2</v>
      </c>
      <c r="Q9" s="25" t="s">
        <v>2</v>
      </c>
      <c r="R9" s="24" t="s">
        <v>2</v>
      </c>
      <c r="S9" s="24" t="s">
        <v>2</v>
      </c>
      <c r="T9" s="26" t="s">
        <v>2</v>
      </c>
      <c r="U9" s="24" t="s">
        <v>2</v>
      </c>
      <c r="V9" s="24" t="s">
        <v>2</v>
      </c>
      <c r="W9" s="24" t="s">
        <v>2</v>
      </c>
      <c r="X9" s="24" t="s">
        <v>2</v>
      </c>
      <c r="Y9" s="24" t="s">
        <v>2</v>
      </c>
      <c r="Z9" s="24" t="s">
        <v>2</v>
      </c>
      <c r="AA9" s="24" t="s">
        <v>2</v>
      </c>
      <c r="AB9" s="27" t="s">
        <v>3</v>
      </c>
      <c r="AC9" s="27" t="s">
        <v>3</v>
      </c>
      <c r="AD9" s="27" t="s">
        <v>3</v>
      </c>
      <c r="AE9" s="27" t="s">
        <v>3</v>
      </c>
      <c r="AF9" s="27" t="s">
        <v>4</v>
      </c>
      <c r="AG9" s="27" t="s">
        <v>4</v>
      </c>
      <c r="AH9" s="27" t="s">
        <v>4</v>
      </c>
      <c r="AI9" s="27" t="s">
        <v>4</v>
      </c>
      <c r="AJ9" s="27" t="s">
        <v>4</v>
      </c>
      <c r="AK9" s="27" t="s">
        <v>4</v>
      </c>
      <c r="AL9" s="27" t="s">
        <v>4</v>
      </c>
      <c r="AM9" s="27" t="s">
        <v>4</v>
      </c>
      <c r="AN9" s="27" t="s">
        <v>4</v>
      </c>
      <c r="AO9" s="27" t="s">
        <v>4</v>
      </c>
      <c r="AP9" s="27" t="s">
        <v>4</v>
      </c>
      <c r="AQ9" s="27" t="s">
        <v>4</v>
      </c>
      <c r="AR9" s="27" t="s">
        <v>4</v>
      </c>
      <c r="AS9" s="27" t="s">
        <v>4</v>
      </c>
      <c r="AT9" s="27" t="s">
        <v>4</v>
      </c>
      <c r="AU9" s="27" t="s">
        <v>4</v>
      </c>
      <c r="AV9" s="27" t="s">
        <v>4</v>
      </c>
      <c r="AW9" s="27" t="s">
        <v>4</v>
      </c>
      <c r="AX9" s="27" t="s">
        <v>4</v>
      </c>
      <c r="AY9" s="27" t="s">
        <v>4</v>
      </c>
      <c r="AZ9" s="27" t="s">
        <v>4</v>
      </c>
      <c r="BA9" s="27" t="s">
        <v>4</v>
      </c>
      <c r="BB9" s="27" t="s">
        <v>4</v>
      </c>
      <c r="BC9" s="27" t="s">
        <v>4</v>
      </c>
      <c r="BD9" s="27" t="s">
        <v>4</v>
      </c>
      <c r="BE9" s="27" t="s">
        <v>4</v>
      </c>
      <c r="BF9" s="27" t="s">
        <v>4</v>
      </c>
      <c r="BG9" s="27" t="s">
        <v>4</v>
      </c>
      <c r="BH9" s="27" t="s">
        <v>4</v>
      </c>
      <c r="BI9" s="27" t="s">
        <v>4</v>
      </c>
      <c r="BJ9" s="27" t="s">
        <v>4</v>
      </c>
      <c r="BK9" s="27" t="s">
        <v>4</v>
      </c>
      <c r="BL9" s="27" t="s">
        <v>4</v>
      </c>
      <c r="BM9" s="27" t="s">
        <v>4</v>
      </c>
      <c r="BN9" s="27" t="s">
        <v>4</v>
      </c>
      <c r="BO9" s="27" t="s">
        <v>4</v>
      </c>
      <c r="BP9" s="27"/>
      <c r="BQ9" s="27"/>
      <c r="BR9" s="27"/>
      <c r="BS9" s="28"/>
      <c r="BT9" s="28"/>
      <c r="BU9" s="28"/>
      <c r="BV9" s="27"/>
      <c r="BW9" s="27"/>
      <c r="BX9" s="27"/>
      <c r="BY9" s="27"/>
      <c r="BZ9" s="27"/>
      <c r="CA9" s="29"/>
      <c r="CB9" s="27"/>
      <c r="CC9" s="27"/>
      <c r="CD9" s="27"/>
      <c r="CE9" s="27"/>
      <c r="CF9" s="27"/>
      <c r="CG9" s="27"/>
      <c r="CH9" s="27"/>
      <c r="CI9" s="27"/>
      <c r="CJ9" s="27"/>
      <c r="CK9" s="27"/>
      <c r="CL9" s="27"/>
      <c r="CM9" s="29"/>
      <c r="CN9" s="27"/>
      <c r="CO9" s="27"/>
    </row>
    <row r="10" ht="14.25" customHeight="1">
      <c r="A10" s="1"/>
      <c r="B10" s="1"/>
      <c r="C10" s="1"/>
      <c r="D10" s="1"/>
      <c r="E10" s="1"/>
      <c r="F10" s="30"/>
      <c r="G10" s="31"/>
      <c r="H10" s="32" t="str">
        <f t="shared" ref="H10:I10" si="13">+H1+H2/100</f>
        <v>#REF!</v>
      </c>
      <c r="I10" s="33" t="str">
        <f t="shared" si="13"/>
        <v>#REF!</v>
      </c>
      <c r="J10" s="33">
        <v>30.09</v>
      </c>
      <c r="K10" s="33">
        <v>30.1</v>
      </c>
      <c r="L10" s="33">
        <v>30.11</v>
      </c>
      <c r="M10" s="33">
        <v>30.12</v>
      </c>
      <c r="N10" s="34">
        <f>+N1+N2/100</f>
        <v>31.01</v>
      </c>
      <c r="O10" s="33">
        <v>31.02</v>
      </c>
      <c r="P10" s="33">
        <v>31.03</v>
      </c>
      <c r="Q10" s="34">
        <v>31.04</v>
      </c>
      <c r="R10" s="33">
        <v>31.05</v>
      </c>
      <c r="S10" s="35">
        <v>31.06</v>
      </c>
      <c r="T10" s="32">
        <v>31.07</v>
      </c>
      <c r="U10" s="33">
        <v>31.08</v>
      </c>
      <c r="V10" s="33">
        <v>31.09</v>
      </c>
      <c r="W10" s="33">
        <v>31.1</v>
      </c>
      <c r="X10" s="33">
        <v>31.11</v>
      </c>
      <c r="Y10" s="33">
        <v>31.12</v>
      </c>
      <c r="Z10" s="33">
        <v>32.01</v>
      </c>
      <c r="AA10" s="34">
        <f t="shared" ref="AA10:BO10" si="14">+AA1+AA2/100</f>
        <v>32.02</v>
      </c>
      <c r="AB10" s="34">
        <f t="shared" si="14"/>
        <v>32.03</v>
      </c>
      <c r="AC10" s="34">
        <f t="shared" si="14"/>
        <v>32.04</v>
      </c>
      <c r="AD10" s="34">
        <f t="shared" si="14"/>
        <v>32.05</v>
      </c>
      <c r="AE10" s="36">
        <f t="shared" si="14"/>
        <v>32.06</v>
      </c>
      <c r="AF10" s="37">
        <f t="shared" si="14"/>
        <v>32.07</v>
      </c>
      <c r="AG10" s="34">
        <f t="shared" si="14"/>
        <v>32.08</v>
      </c>
      <c r="AH10" s="34">
        <f t="shared" si="14"/>
        <v>32.09</v>
      </c>
      <c r="AI10" s="34">
        <f t="shared" si="14"/>
        <v>32.1</v>
      </c>
      <c r="AJ10" s="34">
        <f t="shared" si="14"/>
        <v>32.11</v>
      </c>
      <c r="AK10" s="34">
        <f t="shared" si="14"/>
        <v>32.12</v>
      </c>
      <c r="AL10" s="34">
        <f t="shared" si="14"/>
        <v>33.01</v>
      </c>
      <c r="AM10" s="34">
        <f t="shared" si="14"/>
        <v>33.02</v>
      </c>
      <c r="AN10" s="34">
        <f t="shared" si="14"/>
        <v>33.03</v>
      </c>
      <c r="AO10" s="34">
        <f t="shared" si="14"/>
        <v>33.04</v>
      </c>
      <c r="AP10" s="34">
        <f t="shared" si="14"/>
        <v>33.05</v>
      </c>
      <c r="AQ10" s="34">
        <f t="shared" si="14"/>
        <v>33.06</v>
      </c>
      <c r="AR10" s="34">
        <f t="shared" si="14"/>
        <v>33.07</v>
      </c>
      <c r="AS10" s="34">
        <f t="shared" si="14"/>
        <v>33.08</v>
      </c>
      <c r="AT10" s="34">
        <f t="shared" si="14"/>
        <v>33.09</v>
      </c>
      <c r="AU10" s="34">
        <f t="shared" si="14"/>
        <v>33.1</v>
      </c>
      <c r="AV10" s="34">
        <f t="shared" si="14"/>
        <v>33.11</v>
      </c>
      <c r="AW10" s="34">
        <f t="shared" si="14"/>
        <v>33.12</v>
      </c>
      <c r="AX10" s="34">
        <f t="shared" si="14"/>
        <v>34.01</v>
      </c>
      <c r="AY10" s="34">
        <f t="shared" si="14"/>
        <v>34.02</v>
      </c>
      <c r="AZ10" s="34">
        <f t="shared" si="14"/>
        <v>34.03</v>
      </c>
      <c r="BA10" s="34">
        <f t="shared" si="14"/>
        <v>34.04</v>
      </c>
      <c r="BB10" s="34">
        <f t="shared" si="14"/>
        <v>34.05</v>
      </c>
      <c r="BC10" s="34">
        <f t="shared" si="14"/>
        <v>34.06</v>
      </c>
      <c r="BD10" s="34">
        <f t="shared" si="14"/>
        <v>34.07</v>
      </c>
      <c r="BE10" s="34">
        <f t="shared" si="14"/>
        <v>34.08</v>
      </c>
      <c r="BF10" s="34">
        <f t="shared" si="14"/>
        <v>34.09</v>
      </c>
      <c r="BG10" s="34">
        <f t="shared" si="14"/>
        <v>34.1</v>
      </c>
      <c r="BH10" s="34">
        <f t="shared" si="14"/>
        <v>34.11</v>
      </c>
      <c r="BI10" s="34">
        <f t="shared" si="14"/>
        <v>34.12</v>
      </c>
      <c r="BJ10" s="34">
        <f t="shared" si="14"/>
        <v>35.01</v>
      </c>
      <c r="BK10" s="34">
        <f t="shared" si="14"/>
        <v>35.02</v>
      </c>
      <c r="BL10" s="34">
        <f t="shared" si="14"/>
        <v>35.03</v>
      </c>
      <c r="BM10" s="34">
        <f t="shared" si="14"/>
        <v>35.04</v>
      </c>
      <c r="BN10" s="34">
        <f t="shared" si="14"/>
        <v>35.05</v>
      </c>
      <c r="BO10" s="34">
        <f t="shared" si="14"/>
        <v>35.06</v>
      </c>
      <c r="BP10" s="38">
        <v>2024.07</v>
      </c>
      <c r="BQ10" s="38">
        <v>2024.08</v>
      </c>
      <c r="BR10" s="38">
        <v>2024.09</v>
      </c>
      <c r="BS10" s="39" t="s">
        <v>5</v>
      </c>
      <c r="BT10" s="39" t="s">
        <v>6</v>
      </c>
      <c r="BU10" s="39" t="s">
        <v>7</v>
      </c>
      <c r="BV10" s="38">
        <v>2025.01</v>
      </c>
      <c r="BW10" s="38">
        <v>2025.02</v>
      </c>
      <c r="BX10" s="38">
        <v>2025.03</v>
      </c>
      <c r="BY10" s="38">
        <v>2025.04</v>
      </c>
      <c r="BZ10" s="38">
        <v>2025.05</v>
      </c>
      <c r="CA10" s="40">
        <v>2025.06</v>
      </c>
      <c r="CB10" s="38">
        <v>2025.04</v>
      </c>
      <c r="CC10" s="38">
        <v>2025.05</v>
      </c>
      <c r="CD10" s="38">
        <v>2025.06</v>
      </c>
      <c r="CE10" s="38">
        <v>2025.07</v>
      </c>
      <c r="CF10" s="38">
        <v>2025.08</v>
      </c>
      <c r="CG10" s="38">
        <v>2025.09</v>
      </c>
      <c r="CH10" s="39" t="s">
        <v>8</v>
      </c>
      <c r="CI10" s="38">
        <v>2025.11</v>
      </c>
      <c r="CJ10" s="38">
        <v>2025.12</v>
      </c>
      <c r="CK10" s="38">
        <v>2026.01</v>
      </c>
      <c r="CL10" s="38">
        <v>2026.02</v>
      </c>
      <c r="CM10" s="41">
        <v>2026.03</v>
      </c>
      <c r="CN10" s="38">
        <v>2026.04</v>
      </c>
      <c r="CO10" s="38">
        <v>2026.05</v>
      </c>
    </row>
    <row r="11" ht="14.25" customHeight="1">
      <c r="A11" s="1"/>
      <c r="B11" s="1"/>
      <c r="C11" s="1"/>
      <c r="D11" s="1"/>
      <c r="E11" s="19"/>
      <c r="F11" s="42" t="s">
        <v>9</v>
      </c>
      <c r="G11" s="43" t="s">
        <v>10</v>
      </c>
      <c r="H11" s="44" t="str">
        <f t="shared" ref="H11:I11" si="15">IF($F$4&gt;=H$3,AO11,BA11)</f>
        <v>#REF!</v>
      </c>
      <c r="I11" s="45" t="str">
        <f t="shared" si="15"/>
        <v>#REF!</v>
      </c>
      <c r="J11" s="45">
        <v>11649.0</v>
      </c>
      <c r="K11" s="45">
        <v>13405.0</v>
      </c>
      <c r="L11" s="45">
        <v>13307.0</v>
      </c>
      <c r="M11" s="45">
        <v>19201.0</v>
      </c>
      <c r="N11" s="46" t="str">
        <f t="shared" ref="N11:N13" si="17">IF($F$4&gt;=N$3,AU11,BG11)</f>
        <v>#REF!</v>
      </c>
      <c r="O11" s="45">
        <v>13355.0</v>
      </c>
      <c r="P11" s="45">
        <v>18202.0</v>
      </c>
      <c r="Q11" s="47">
        <v>13100.0</v>
      </c>
      <c r="R11" s="45">
        <v>12490.0</v>
      </c>
      <c r="S11" s="48">
        <v>13027.0</v>
      </c>
      <c r="T11" s="49">
        <v>12481.0</v>
      </c>
      <c r="U11" s="45">
        <v>14091.0</v>
      </c>
      <c r="V11" s="45">
        <v>13080.0</v>
      </c>
      <c r="W11" s="45">
        <v>11883.0</v>
      </c>
      <c r="X11" s="45">
        <v>12402.0</v>
      </c>
      <c r="Y11" s="45"/>
      <c r="Z11" s="45"/>
      <c r="AA11" s="46"/>
      <c r="AB11" s="46">
        <v>1227385.0</v>
      </c>
      <c r="AC11" s="46">
        <f>'予測PL'!L3</f>
        <v>780153</v>
      </c>
      <c r="AD11" s="46">
        <f>'予測PL'!M3</f>
        <v>514206</v>
      </c>
      <c r="AE11" s="46">
        <f>'予測PL'!N3</f>
        <v>334355</v>
      </c>
      <c r="AF11" s="46">
        <f>'予測PL'!C3</f>
        <v>955367</v>
      </c>
      <c r="AG11" s="46">
        <f>'予測PL'!D3</f>
        <v>818306</v>
      </c>
      <c r="AH11" s="46">
        <f>'予測PL'!E3</f>
        <v>760538</v>
      </c>
      <c r="AI11" s="46">
        <f>'予測PL'!F3</f>
        <v>903177</v>
      </c>
      <c r="AJ11" s="46">
        <f>'予測PL'!G3</f>
        <v>921683</v>
      </c>
      <c r="AK11" s="46">
        <f>'予測PL'!H3</f>
        <v>806522</v>
      </c>
      <c r="AL11" s="46">
        <f>'予測PL'!I3</f>
        <v>822486</v>
      </c>
      <c r="AM11" s="46">
        <f>'予測PL'!J3</f>
        <v>793307</v>
      </c>
      <c r="AN11" s="46">
        <f>'予測PL'!K3</f>
        <v>900614</v>
      </c>
      <c r="AO11" s="46">
        <f>'予測PL'!L3</f>
        <v>780153</v>
      </c>
      <c r="AP11" s="46">
        <f>'予測PL'!M3</f>
        <v>514206</v>
      </c>
      <c r="AQ11" s="46">
        <f>'予測PL'!N3</f>
        <v>334355</v>
      </c>
      <c r="AR11" s="46" t="str">
        <f>'予測PL (2021)'!C3</f>
        <v/>
      </c>
      <c r="AS11" s="46">
        <f>'予測PL (2021)'!D3</f>
        <v>82000</v>
      </c>
      <c r="AT11" s="46">
        <f>'予測PL (2021)'!E3</f>
        <v>119363</v>
      </c>
      <c r="AU11" s="46">
        <f>'予測PL (2021)'!F3</f>
        <v>388107</v>
      </c>
      <c r="AV11" s="46">
        <f>'予測PL (2021)'!G3</f>
        <v>297878</v>
      </c>
      <c r="AW11" s="46">
        <f>'予測PL (2021)'!H3</f>
        <v>321334</v>
      </c>
      <c r="AX11" s="46">
        <f>'予測PL (2021)'!I3</f>
        <v>326856</v>
      </c>
      <c r="AY11" s="46">
        <f>'予測PL (2021)'!J3</f>
        <v>310213</v>
      </c>
      <c r="AZ11" s="46">
        <f>'予測PL (2021)'!K3</f>
        <v>323164</v>
      </c>
      <c r="BA11" s="46">
        <f>'予測PL (2021)'!L3</f>
        <v>320194</v>
      </c>
      <c r="BB11" s="46">
        <f>'予測PL (2021)'!M3</f>
        <v>302222</v>
      </c>
      <c r="BC11" s="46">
        <f>'予測PL (2021)'!N3</f>
        <v>316667</v>
      </c>
      <c r="BD11" s="46">
        <f>'予測PL (2023)'!C3</f>
        <v>507273</v>
      </c>
      <c r="BE11" s="46">
        <f>'予測PL (2023)'!D3</f>
        <v>367202</v>
      </c>
      <c r="BF11" s="46">
        <f>'予測PL (2023)'!E3</f>
        <v>355174</v>
      </c>
      <c r="BG11" s="46">
        <f>'予測PL (2023)'!F3</f>
        <v>343678</v>
      </c>
      <c r="BH11" s="46">
        <f>'予測PL (2023)'!G3</f>
        <v>310741</v>
      </c>
      <c r="BI11" s="46">
        <f>'予測PL (2023)'!H3</f>
        <v>305926</v>
      </c>
      <c r="BJ11" s="46">
        <f>'予測PL (2023)'!I3</f>
        <v>198380</v>
      </c>
      <c r="BK11" s="46" t="str">
        <f>'予測PL (2023)'!J3</f>
        <v/>
      </c>
      <c r="BL11" s="46" t="str">
        <f>'予測PL (2023)'!K3</f>
        <v/>
      </c>
      <c r="BM11" s="46">
        <f>'予測PL (2023)'!L3</f>
        <v>318182</v>
      </c>
      <c r="BN11" s="46" t="str">
        <f>'予測PL (2023)'!M3</f>
        <v/>
      </c>
      <c r="BO11" s="46" t="str">
        <f>'予測PL (2023)'!N3</f>
        <v/>
      </c>
      <c r="BP11" s="46">
        <f>'予測PL (2024)'!C4</f>
        <v>2522779</v>
      </c>
      <c r="BQ11" s="46">
        <f>'予測PL (2024)'!D4</f>
        <v>2548892</v>
      </c>
      <c r="BR11" s="46">
        <f>'予測PL (2024)'!E4</f>
        <v>1925694</v>
      </c>
      <c r="BS11" s="46">
        <f>'予測PL (2024)'!F4</f>
        <v>2380420</v>
      </c>
      <c r="BT11" s="46">
        <f>'予測PL (2024)'!G4</f>
        <v>1810499</v>
      </c>
      <c r="BU11" s="46">
        <f>'予測PL (2024)'!H4</f>
        <v>1671189</v>
      </c>
      <c r="BV11" s="46">
        <f>'予測PL (2024)'!I4</f>
        <v>1672457</v>
      </c>
      <c r="BW11" s="46">
        <f>'予測PL (2024)'!J4</f>
        <v>1488521</v>
      </c>
      <c r="BX11" s="46">
        <f>'予測PL (2024)'!K4</f>
        <v>1868452</v>
      </c>
      <c r="BY11" s="46" t="str">
        <f>'予測PL (2024)'!L4</f>
        <v/>
      </c>
      <c r="BZ11" s="46" t="str">
        <f>'予測PL (2024)'!M4</f>
        <v/>
      </c>
      <c r="CA11" s="50" t="str">
        <f>'予測PL (2024)'!N4</f>
        <v/>
      </c>
      <c r="CB11" s="50">
        <f>'予測PL (2025.04-)'!C4</f>
        <v>2216026</v>
      </c>
      <c r="CC11" s="50">
        <f>'予測PL (2025.04-)'!D4</f>
        <v>2153396</v>
      </c>
      <c r="CD11" s="50">
        <f>'予測PL (2025.04-)'!E4</f>
        <v>2068535</v>
      </c>
      <c r="CE11" s="50">
        <f>'予測PL (2025.04-)'!F4</f>
        <v>1924273</v>
      </c>
      <c r="CF11" s="50">
        <f>'予測PL (2025.04-)'!G4</f>
        <v>1821950</v>
      </c>
      <c r="CG11" s="50">
        <f>'予測PL (2025.04-)'!H4</f>
        <v>1892545</v>
      </c>
      <c r="CH11" s="50">
        <f>'予測PL (2025.04-)'!I4</f>
        <v>1754854</v>
      </c>
      <c r="CI11" s="50">
        <f>'予測PL (2025.04-)'!J4</f>
        <v>1586450</v>
      </c>
      <c r="CJ11" s="50">
        <f>'予測PL (2025.04-)'!K4</f>
        <v>2029779</v>
      </c>
      <c r="CK11" s="50">
        <f>'予測PL (2025.04-)'!L4</f>
        <v>1574937</v>
      </c>
      <c r="CL11" s="50">
        <f>'予測PL (2025.04-)'!M4</f>
        <v>1568163</v>
      </c>
      <c r="CM11" s="50">
        <f>'予測PL (2025.04-)'!N4</f>
        <v>1952454</v>
      </c>
      <c r="CN11" s="50"/>
      <c r="CO11" s="50"/>
    </row>
    <row r="12" ht="14.25" customHeight="1">
      <c r="A12" s="1"/>
      <c r="B12" s="1"/>
      <c r="C12" s="1"/>
      <c r="D12" s="1"/>
      <c r="E12" s="19"/>
      <c r="F12" s="51"/>
      <c r="G12" s="43" t="s">
        <v>11</v>
      </c>
      <c r="H12" s="52" t="str">
        <f t="shared" ref="H12:I12" si="16">IF($F$4&gt;=H$3,AO12,BA12)</f>
        <v>#REF!</v>
      </c>
      <c r="I12" s="53" t="str">
        <f t="shared" si="16"/>
        <v>#REF!</v>
      </c>
      <c r="J12" s="53">
        <v>6404.0</v>
      </c>
      <c r="K12" s="53">
        <v>8041.0</v>
      </c>
      <c r="L12" s="53">
        <v>8680.0</v>
      </c>
      <c r="M12" s="53">
        <v>11304.0</v>
      </c>
      <c r="N12" s="54" t="str">
        <f t="shared" si="17"/>
        <v>#REF!</v>
      </c>
      <c r="O12" s="53">
        <v>7404.0</v>
      </c>
      <c r="P12" s="53">
        <v>9786.0</v>
      </c>
      <c r="Q12" s="55">
        <v>7695.0</v>
      </c>
      <c r="R12" s="53">
        <v>7859.0</v>
      </c>
      <c r="S12" s="56">
        <v>7390.0</v>
      </c>
      <c r="T12" s="57">
        <v>7106.0</v>
      </c>
      <c r="U12" s="53">
        <v>8314.0</v>
      </c>
      <c r="V12" s="53">
        <v>7975.0</v>
      </c>
      <c r="W12" s="53">
        <v>8048.0</v>
      </c>
      <c r="X12" s="53">
        <v>7746.0</v>
      </c>
      <c r="Y12" s="53"/>
      <c r="Z12" s="53"/>
      <c r="AA12" s="54"/>
      <c r="AB12" s="54"/>
      <c r="AC12" s="54"/>
      <c r="AD12" s="54"/>
      <c r="AE12" s="54"/>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58">
        <f>'予測PL (2024)'!C5</f>
        <v>0</v>
      </c>
      <c r="BQ12" s="58">
        <f>'予測PL (2024)'!D5</f>
        <v>0</v>
      </c>
      <c r="BR12" s="58">
        <f>'予測PL (2024)'!E5</f>
        <v>0</v>
      </c>
      <c r="BS12" s="58">
        <f>'予測PL (2024)'!F5</f>
        <v>0</v>
      </c>
      <c r="BT12" s="58">
        <f>'予測PL (2024)'!G5</f>
        <v>98373</v>
      </c>
      <c r="BU12" s="58">
        <f>'予測PL (2024)'!H5</f>
        <v>136927</v>
      </c>
      <c r="BV12" s="58">
        <f>'予測PL (2024)'!I5</f>
        <v>120493</v>
      </c>
      <c r="BW12" s="58">
        <f>'予測PL (2024)'!J5</f>
        <v>184887</v>
      </c>
      <c r="BX12" s="58">
        <f>'予測PL (2024)'!K5</f>
        <v>233237</v>
      </c>
      <c r="BY12" s="58" t="str">
        <f>'予測PL (2024)'!L5</f>
        <v/>
      </c>
      <c r="BZ12" s="58" t="str">
        <f>'予測PL (2024)'!M5</f>
        <v/>
      </c>
      <c r="CA12" s="54" t="str">
        <f>'予測PL (2024)'!N5</f>
        <v/>
      </c>
      <c r="CB12" s="54">
        <f>'予測PL (2025.04-)'!C5</f>
        <v>363290</v>
      </c>
      <c r="CC12" s="54">
        <f>'予測PL (2025.04-)'!D5</f>
        <v>352012</v>
      </c>
      <c r="CD12" s="54">
        <f>'予測PL (2025.04-)'!E5</f>
        <v>411068</v>
      </c>
      <c r="CE12" s="54">
        <f>'予測PL (2025.04-)'!F5</f>
        <v>689889</v>
      </c>
      <c r="CF12" s="54">
        <f>'予測PL (2025.04-)'!G5</f>
        <v>478943</v>
      </c>
      <c r="CG12" s="54">
        <f>'予測PL (2025.04-)'!H5</f>
        <v>465733</v>
      </c>
      <c r="CH12" s="54">
        <f>'予測PL (2025.04-)'!I5</f>
        <v>603545</v>
      </c>
      <c r="CI12" s="54">
        <f>'予測PL (2025.04-)'!J5</f>
        <v>517528</v>
      </c>
      <c r="CJ12" s="54">
        <f>'予測PL (2025.04-)'!K5</f>
        <v>544632</v>
      </c>
      <c r="CK12" s="54">
        <f>'予測PL (2025.04-)'!L5</f>
        <v>1026809</v>
      </c>
      <c r="CL12" s="54">
        <f>'予測PL (2025.04-)'!M5</f>
        <v>745700</v>
      </c>
      <c r="CM12" s="54">
        <f>'予測PL (2025.04-)'!N5</f>
        <v>1036612</v>
      </c>
      <c r="CN12" s="59"/>
      <c r="CO12" s="59"/>
    </row>
    <row r="13" ht="14.25" customHeight="1">
      <c r="A13" s="1"/>
      <c r="B13" s="1"/>
      <c r="C13" s="1"/>
      <c r="D13" s="1"/>
      <c r="E13" s="19"/>
      <c r="F13" s="51"/>
      <c r="G13" s="43" t="s">
        <v>12</v>
      </c>
      <c r="H13" s="52" t="str">
        <f t="shared" ref="H13:I13" si="18">IF($F$4&gt;=H$3,AO13,BA13)</f>
        <v>#REF!</v>
      </c>
      <c r="I13" s="53" t="str">
        <f t="shared" si="18"/>
        <v>#REF!</v>
      </c>
      <c r="J13" s="53">
        <v>0.0</v>
      </c>
      <c r="K13" s="53">
        <v>0.0</v>
      </c>
      <c r="L13" s="53">
        <v>0.0</v>
      </c>
      <c r="M13" s="53">
        <v>0.0</v>
      </c>
      <c r="N13" s="54" t="str">
        <f t="shared" si="17"/>
        <v>#REF!</v>
      </c>
      <c r="O13" s="53">
        <v>0.0</v>
      </c>
      <c r="P13" s="53">
        <v>0.0</v>
      </c>
      <c r="Q13" s="55">
        <v>0.0</v>
      </c>
      <c r="R13" s="53">
        <v>0.0</v>
      </c>
      <c r="S13" s="56">
        <v>0.0</v>
      </c>
      <c r="T13" s="57">
        <v>0.0</v>
      </c>
      <c r="U13" s="53">
        <v>0.0</v>
      </c>
      <c r="V13" s="53">
        <v>0.0</v>
      </c>
      <c r="W13" s="53">
        <v>0.0</v>
      </c>
      <c r="X13" s="53">
        <v>0.0</v>
      </c>
      <c r="Y13" s="53"/>
      <c r="Z13" s="53"/>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t="str">
        <f>'予測PL (2024)'!C6</f>
        <v/>
      </c>
      <c r="BQ13" s="54" t="str">
        <f>'予測PL (2024)'!D6</f>
        <v/>
      </c>
      <c r="BR13" s="54" t="str">
        <f>'予測PL (2024)'!E6</f>
        <v/>
      </c>
      <c r="BS13" s="54" t="str">
        <f>'予測PL (2024)'!F6</f>
        <v/>
      </c>
      <c r="BT13" s="54" t="str">
        <f>'予測PL (2024)'!G6</f>
        <v/>
      </c>
      <c r="BU13" s="54" t="str">
        <f>'予測PL (2024)'!H6</f>
        <v/>
      </c>
      <c r="BV13" s="54" t="str">
        <f>'予測PL (2024)'!I6</f>
        <v/>
      </c>
      <c r="BW13" s="54" t="str">
        <f>'予測PL (2024)'!J6</f>
        <v/>
      </c>
      <c r="BX13" s="54" t="str">
        <f>'予測PL (2024)'!K6</f>
        <v/>
      </c>
      <c r="BY13" s="54" t="str">
        <f>'予測PL (2024)'!L6</f>
        <v/>
      </c>
      <c r="BZ13" s="54" t="str">
        <f>'予測PL (2024)'!M6</f>
        <v/>
      </c>
      <c r="CA13" s="54" t="str">
        <f>'予測PL (2024)'!N6</f>
        <v/>
      </c>
      <c r="CB13" s="54">
        <f>'予測PL (2025.04-)'!C6</f>
        <v>0</v>
      </c>
      <c r="CC13" s="54">
        <f>'予測PL (2025.04-)'!D6</f>
        <v>0</v>
      </c>
      <c r="CD13" s="54">
        <f>'予測PL (2025.04-)'!E6</f>
        <v>0</v>
      </c>
      <c r="CE13" s="54">
        <f>'予測PL (2025.04-)'!F6</f>
        <v>0</v>
      </c>
      <c r="CF13" s="54">
        <f>'予測PL (2025.04-)'!G6</f>
        <v>0</v>
      </c>
      <c r="CG13" s="54">
        <f>'予測PL (2025.04-)'!H6</f>
        <v>0</v>
      </c>
      <c r="CH13" s="54">
        <f>'予測PL (2025.04-)'!I6</f>
        <v>0</v>
      </c>
      <c r="CI13" s="54">
        <f>'予測PL (2025.04-)'!J6</f>
        <v>0</v>
      </c>
      <c r="CJ13" s="54">
        <f>'予測PL (2025.04-)'!K6</f>
        <v>0</v>
      </c>
      <c r="CK13" s="54">
        <f>'予測PL (2025.04-)'!L6</f>
        <v>0</v>
      </c>
      <c r="CL13" s="54">
        <f>'予測PL (2025.04-)'!M6</f>
        <v>0</v>
      </c>
      <c r="CM13" s="54">
        <f>'予測PL (2025.04-)'!N6</f>
        <v>0</v>
      </c>
      <c r="CN13" s="54"/>
      <c r="CO13" s="54"/>
    </row>
    <row r="14" ht="14.25" customHeight="1">
      <c r="A14" s="1"/>
      <c r="B14" s="1"/>
      <c r="C14" s="1"/>
      <c r="D14" s="1"/>
      <c r="E14" s="19"/>
      <c r="F14" s="51"/>
      <c r="G14" s="43" t="s">
        <v>13</v>
      </c>
      <c r="H14" s="60"/>
      <c r="I14" s="61"/>
      <c r="J14" s="61"/>
      <c r="K14" s="61"/>
      <c r="L14" s="61"/>
      <c r="M14" s="61"/>
      <c r="N14" s="62"/>
      <c r="O14" s="61"/>
      <c r="P14" s="61"/>
      <c r="Q14" s="63"/>
      <c r="R14" s="61"/>
      <c r="S14" s="64"/>
      <c r="T14" s="65"/>
      <c r="U14" s="61"/>
      <c r="V14" s="61"/>
      <c r="W14" s="61"/>
      <c r="X14" s="61"/>
      <c r="Y14" s="61"/>
      <c r="Z14" s="61"/>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f>'予測PL (2024)'!C7</f>
        <v>0</v>
      </c>
      <c r="BQ14" s="62">
        <f>'予測PL (2024)'!D7</f>
        <v>0</v>
      </c>
      <c r="BR14" s="62">
        <f>'予測PL (2024)'!E7</f>
        <v>0</v>
      </c>
      <c r="BS14" s="62">
        <f>'予測PL (2024)'!F7</f>
        <v>0</v>
      </c>
      <c r="BT14" s="62" t="str">
        <f>'予測PL (2024)'!G7</f>
        <v/>
      </c>
      <c r="BU14" s="62">
        <f>'予測PL (2024)'!H7</f>
        <v>0</v>
      </c>
      <c r="BV14" s="62">
        <f>'予測PL (2024)'!I7</f>
        <v>0</v>
      </c>
      <c r="BW14" s="62">
        <f>'予測PL (2024)'!J7</f>
        <v>0</v>
      </c>
      <c r="BX14" s="62">
        <f>'予測PL (2024)'!K7</f>
        <v>0</v>
      </c>
      <c r="BY14" s="62" t="str">
        <f>'予測PL (2024)'!L7</f>
        <v/>
      </c>
      <c r="BZ14" s="62" t="str">
        <f>'予測PL (2024)'!M7</f>
        <v/>
      </c>
      <c r="CA14" s="62" t="str">
        <f>'予測PL (2024)'!N7</f>
        <v/>
      </c>
      <c r="CB14" s="54">
        <f>'予測PL (2025.04-)'!C7</f>
        <v>0</v>
      </c>
      <c r="CC14" s="54">
        <f>'予測PL (2025.04-)'!D7</f>
        <v>2333333</v>
      </c>
      <c r="CD14" s="54">
        <f>'予測PL (2025.04-)'!E7</f>
        <v>0</v>
      </c>
      <c r="CE14" s="54">
        <f>'予測PL (2025.04-)'!F7</f>
        <v>0</v>
      </c>
      <c r="CF14" s="54">
        <f>'予測PL (2025.04-)'!G7</f>
        <v>533333</v>
      </c>
      <c r="CG14" s="54">
        <f>'予測PL (2025.04-)'!H7</f>
        <v>0</v>
      </c>
      <c r="CH14" s="54">
        <f>'予測PL (2025.04-)'!I7</f>
        <v>200000</v>
      </c>
      <c r="CI14" s="54">
        <f>'予測PL (2025.04-)'!J7</f>
        <v>1300000</v>
      </c>
      <c r="CJ14" s="54">
        <f>'予測PL (2025.04-)'!K7</f>
        <v>900000</v>
      </c>
      <c r="CK14" s="54">
        <f>'予測PL (2025.04-)'!L7</f>
        <v>500000</v>
      </c>
      <c r="CL14" s="54">
        <f>'予測PL (2025.04-)'!M7</f>
        <v>0</v>
      </c>
      <c r="CM14" s="54">
        <f>'予測PL (2025.04-)'!N7</f>
        <v>200000</v>
      </c>
      <c r="CN14" s="54"/>
      <c r="CO14" s="54"/>
    </row>
    <row r="15" ht="14.25" customHeight="1">
      <c r="A15" s="1"/>
      <c r="B15" s="1"/>
      <c r="C15" s="66" t="s">
        <v>14</v>
      </c>
      <c r="D15" s="67" t="s">
        <v>15</v>
      </c>
      <c r="E15" s="19"/>
      <c r="F15" s="51"/>
      <c r="G15" s="43" t="s">
        <v>16</v>
      </c>
      <c r="H15" s="68" t="str">
        <f t="shared" ref="H15:I15" si="19">IF($F$4&gt;=H$3,AO15,BA15)</f>
        <v>#REF!</v>
      </c>
      <c r="I15" s="69" t="str">
        <f t="shared" si="19"/>
        <v>#REF!</v>
      </c>
      <c r="J15" s="69">
        <v>3531.0</v>
      </c>
      <c r="K15" s="69">
        <v>3025.0</v>
      </c>
      <c r="L15" s="69">
        <v>3591.0</v>
      </c>
      <c r="M15" s="69">
        <v>5315.0</v>
      </c>
      <c r="N15" s="70" t="str">
        <f>IF($F$4&gt;=N$3,AU15,BG15)</f>
        <v>#REF!</v>
      </c>
      <c r="O15" s="69">
        <v>3168.0</v>
      </c>
      <c r="P15" s="69">
        <v>4804.0</v>
      </c>
      <c r="Q15" s="71">
        <v>3967.0</v>
      </c>
      <c r="R15" s="69">
        <v>3565.0</v>
      </c>
      <c r="S15" s="72">
        <v>4107.0</v>
      </c>
      <c r="T15" s="73">
        <v>0.0</v>
      </c>
      <c r="U15" s="69">
        <v>0.0</v>
      </c>
      <c r="V15" s="69">
        <v>0.0</v>
      </c>
      <c r="W15" s="69">
        <v>0.0</v>
      </c>
      <c r="X15" s="69">
        <v>0.0</v>
      </c>
      <c r="Y15" s="69"/>
      <c r="Z15" s="69"/>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f>'予測PL (2024)'!C8</f>
        <v>644818</v>
      </c>
      <c r="BQ15" s="70">
        <f>'予測PL (2024)'!D8</f>
        <v>876136</v>
      </c>
      <c r="BR15" s="70">
        <f>'予測PL (2024)'!E8</f>
        <v>984805</v>
      </c>
      <c r="BS15" s="70">
        <f>'予測PL (2024)'!F8</f>
        <v>1237218</v>
      </c>
      <c r="BT15" s="70">
        <f>'予測PL (2024)'!G8</f>
        <v>965402</v>
      </c>
      <c r="BU15" s="70">
        <f>'予測PL (2024)'!H8</f>
        <v>792768</v>
      </c>
      <c r="BV15" s="70">
        <f>'予測PL (2024)'!I8</f>
        <v>742111</v>
      </c>
      <c r="BW15" s="70">
        <f>'予測PL (2024)'!J8</f>
        <v>870500</v>
      </c>
      <c r="BX15" s="70">
        <f>'予測PL (2024)'!K8</f>
        <v>1050060</v>
      </c>
      <c r="BY15" s="70" t="str">
        <f>'予測PL (2024)'!L8</f>
        <v/>
      </c>
      <c r="BZ15" s="70" t="str">
        <f>'予測PL (2024)'!M8</f>
        <v/>
      </c>
      <c r="CA15" s="70" t="str">
        <f>'予測PL (2024)'!N8</f>
        <v/>
      </c>
      <c r="CB15" s="70">
        <f>'予測PL (2025.04-)'!C8</f>
        <v>984127</v>
      </c>
      <c r="CC15" s="70">
        <f>'予測PL (2025.04-)'!D8</f>
        <v>1106034</v>
      </c>
      <c r="CD15" s="70">
        <f>'予測PL (2025.04-)'!E8</f>
        <v>1096306</v>
      </c>
      <c r="CE15" s="70">
        <f>'予測PL (2025.04-)'!F8</f>
        <v>1024244</v>
      </c>
      <c r="CF15" s="70">
        <f>'予測PL (2025.04-)'!G8</f>
        <v>1050190</v>
      </c>
      <c r="CG15" s="70">
        <f>'予測PL (2025.04-)'!H8</f>
        <v>1224773</v>
      </c>
      <c r="CH15" s="70">
        <f>'予測PL (2025.04-)'!I8</f>
        <v>1157279</v>
      </c>
      <c r="CI15" s="70">
        <f>'予測PL (2025.04-)'!J8+1</f>
        <v>1138273</v>
      </c>
      <c r="CJ15" s="70">
        <f>'予測PL (2025.04-)'!K8</f>
        <v>1238651</v>
      </c>
      <c r="CK15" s="70">
        <f>'予測PL (2025.04-)'!L8</f>
        <v>2667279</v>
      </c>
      <c r="CL15" s="70">
        <f>'予測PL (2025.04-)'!M8</f>
        <v>1021820</v>
      </c>
      <c r="CM15" s="70">
        <f>'予測PL (2025.04-)'!N8</f>
        <v>1038464</v>
      </c>
      <c r="CN15" s="70"/>
      <c r="CO15" s="70"/>
    </row>
    <row r="16" ht="14.25" customHeight="1">
      <c r="A16" s="74" t="s">
        <v>17</v>
      </c>
      <c r="B16" s="1"/>
      <c r="C16" s="75">
        <v>1.0</v>
      </c>
      <c r="D16" s="75">
        <f>1-C16</f>
        <v>0</v>
      </c>
      <c r="E16" s="1"/>
      <c r="F16" s="76"/>
      <c r="G16" s="77" t="s">
        <v>18</v>
      </c>
      <c r="H16" s="78" t="str">
        <f t="shared" ref="H16:I16" si="20">SUM(H11:H15)</f>
        <v>#REF!</v>
      </c>
      <c r="I16" s="79" t="str">
        <f t="shared" si="20"/>
        <v>#REF!</v>
      </c>
      <c r="J16" s="79">
        <v>21584.0</v>
      </c>
      <c r="K16" s="79">
        <v>24471.0</v>
      </c>
      <c r="L16" s="79">
        <v>25578.0</v>
      </c>
      <c r="M16" s="79">
        <v>35820.0</v>
      </c>
      <c r="N16" s="80" t="str">
        <f>SUM(N11:N15)</f>
        <v>#REF!</v>
      </c>
      <c r="O16" s="79">
        <v>23927.0</v>
      </c>
      <c r="P16" s="79">
        <v>32792.0</v>
      </c>
      <c r="Q16" s="81">
        <v>24762.0</v>
      </c>
      <c r="R16" s="79">
        <v>23914.0</v>
      </c>
      <c r="S16" s="82">
        <v>24524.0</v>
      </c>
      <c r="T16" s="83">
        <v>19587.0</v>
      </c>
      <c r="U16" s="79">
        <v>22405.0</v>
      </c>
      <c r="V16" s="79">
        <v>21055.0</v>
      </c>
      <c r="W16" s="79">
        <v>19931.0</v>
      </c>
      <c r="X16" s="79">
        <v>20148.0</v>
      </c>
      <c r="Y16" s="79"/>
      <c r="Z16" s="79"/>
      <c r="AA16" s="80">
        <f t="shared" ref="AA16:CO16" si="21">SUM(AA11:AA15)</f>
        <v>0</v>
      </c>
      <c r="AB16" s="80">
        <f t="shared" si="21"/>
        <v>1227385</v>
      </c>
      <c r="AC16" s="80">
        <f t="shared" si="21"/>
        <v>780153</v>
      </c>
      <c r="AD16" s="80">
        <f t="shared" si="21"/>
        <v>514206</v>
      </c>
      <c r="AE16" s="80">
        <f t="shared" si="21"/>
        <v>334355</v>
      </c>
      <c r="AF16" s="80">
        <f t="shared" si="21"/>
        <v>955367</v>
      </c>
      <c r="AG16" s="80">
        <f t="shared" si="21"/>
        <v>818306</v>
      </c>
      <c r="AH16" s="80">
        <f t="shared" si="21"/>
        <v>760538</v>
      </c>
      <c r="AI16" s="80">
        <f t="shared" si="21"/>
        <v>903177</v>
      </c>
      <c r="AJ16" s="80">
        <f t="shared" si="21"/>
        <v>921683</v>
      </c>
      <c r="AK16" s="80">
        <f t="shared" si="21"/>
        <v>806522</v>
      </c>
      <c r="AL16" s="80">
        <f t="shared" si="21"/>
        <v>822486</v>
      </c>
      <c r="AM16" s="80">
        <f t="shared" si="21"/>
        <v>793307</v>
      </c>
      <c r="AN16" s="80">
        <f t="shared" si="21"/>
        <v>900614</v>
      </c>
      <c r="AO16" s="80">
        <f t="shared" si="21"/>
        <v>780153</v>
      </c>
      <c r="AP16" s="80">
        <f t="shared" si="21"/>
        <v>514206</v>
      </c>
      <c r="AQ16" s="80">
        <f t="shared" si="21"/>
        <v>334355</v>
      </c>
      <c r="AR16" s="80">
        <f t="shared" si="21"/>
        <v>0</v>
      </c>
      <c r="AS16" s="80">
        <f t="shared" si="21"/>
        <v>82000</v>
      </c>
      <c r="AT16" s="80">
        <f t="shared" si="21"/>
        <v>119363</v>
      </c>
      <c r="AU16" s="80">
        <f t="shared" si="21"/>
        <v>388107</v>
      </c>
      <c r="AV16" s="80">
        <f t="shared" si="21"/>
        <v>297878</v>
      </c>
      <c r="AW16" s="80">
        <f t="shared" si="21"/>
        <v>321334</v>
      </c>
      <c r="AX16" s="80">
        <f t="shared" si="21"/>
        <v>326856</v>
      </c>
      <c r="AY16" s="80">
        <f t="shared" si="21"/>
        <v>310213</v>
      </c>
      <c r="AZ16" s="80">
        <f t="shared" si="21"/>
        <v>323164</v>
      </c>
      <c r="BA16" s="80">
        <f t="shared" si="21"/>
        <v>320194</v>
      </c>
      <c r="BB16" s="80">
        <f t="shared" si="21"/>
        <v>302222</v>
      </c>
      <c r="BC16" s="80">
        <f t="shared" si="21"/>
        <v>316667</v>
      </c>
      <c r="BD16" s="80">
        <f t="shared" si="21"/>
        <v>507273</v>
      </c>
      <c r="BE16" s="80">
        <f t="shared" si="21"/>
        <v>367202</v>
      </c>
      <c r="BF16" s="80">
        <f t="shared" si="21"/>
        <v>355174</v>
      </c>
      <c r="BG16" s="80">
        <f t="shared" si="21"/>
        <v>343678</v>
      </c>
      <c r="BH16" s="80">
        <f t="shared" si="21"/>
        <v>310741</v>
      </c>
      <c r="BI16" s="80">
        <f t="shared" si="21"/>
        <v>305926</v>
      </c>
      <c r="BJ16" s="80">
        <f t="shared" si="21"/>
        <v>198380</v>
      </c>
      <c r="BK16" s="80">
        <f t="shared" si="21"/>
        <v>0</v>
      </c>
      <c r="BL16" s="80">
        <f t="shared" si="21"/>
        <v>0</v>
      </c>
      <c r="BM16" s="80">
        <f t="shared" si="21"/>
        <v>318182</v>
      </c>
      <c r="BN16" s="80">
        <f t="shared" si="21"/>
        <v>0</v>
      </c>
      <c r="BO16" s="80">
        <f t="shared" si="21"/>
        <v>0</v>
      </c>
      <c r="BP16" s="80">
        <f t="shared" si="21"/>
        <v>3167597</v>
      </c>
      <c r="BQ16" s="80">
        <f t="shared" si="21"/>
        <v>3425028</v>
      </c>
      <c r="BR16" s="80">
        <f t="shared" si="21"/>
        <v>2910499</v>
      </c>
      <c r="BS16" s="80">
        <f t="shared" si="21"/>
        <v>3617638</v>
      </c>
      <c r="BT16" s="80">
        <f t="shared" si="21"/>
        <v>2874274</v>
      </c>
      <c r="BU16" s="80">
        <f t="shared" si="21"/>
        <v>2600884</v>
      </c>
      <c r="BV16" s="80">
        <f t="shared" si="21"/>
        <v>2535061</v>
      </c>
      <c r="BW16" s="80">
        <f t="shared" si="21"/>
        <v>2543908</v>
      </c>
      <c r="BX16" s="80">
        <f t="shared" si="21"/>
        <v>3151749</v>
      </c>
      <c r="BY16" s="80">
        <f t="shared" si="21"/>
        <v>0</v>
      </c>
      <c r="BZ16" s="80">
        <f t="shared" si="21"/>
        <v>0</v>
      </c>
      <c r="CA16" s="80">
        <f t="shared" si="21"/>
        <v>0</v>
      </c>
      <c r="CB16" s="80">
        <f t="shared" si="21"/>
        <v>3563443</v>
      </c>
      <c r="CC16" s="80">
        <f t="shared" si="21"/>
        <v>5944775</v>
      </c>
      <c r="CD16" s="80">
        <f t="shared" si="21"/>
        <v>3575909</v>
      </c>
      <c r="CE16" s="80">
        <f t="shared" si="21"/>
        <v>3638406</v>
      </c>
      <c r="CF16" s="80">
        <f t="shared" si="21"/>
        <v>3884416</v>
      </c>
      <c r="CG16" s="80">
        <f t="shared" si="21"/>
        <v>3583051</v>
      </c>
      <c r="CH16" s="80">
        <f t="shared" si="21"/>
        <v>3715678</v>
      </c>
      <c r="CI16" s="80">
        <f t="shared" si="21"/>
        <v>4542251</v>
      </c>
      <c r="CJ16" s="80">
        <f t="shared" si="21"/>
        <v>4713062</v>
      </c>
      <c r="CK16" s="80">
        <f t="shared" si="21"/>
        <v>5769025</v>
      </c>
      <c r="CL16" s="80">
        <f t="shared" si="21"/>
        <v>3335683</v>
      </c>
      <c r="CM16" s="80">
        <f t="shared" si="21"/>
        <v>4227530</v>
      </c>
      <c r="CN16" s="80">
        <f t="shared" si="21"/>
        <v>0</v>
      </c>
      <c r="CO16" s="80">
        <f t="shared" si="21"/>
        <v>0</v>
      </c>
    </row>
    <row r="17" ht="14.25" customHeight="1">
      <c r="A17" s="84">
        <v>0.3</v>
      </c>
      <c r="B17" s="1"/>
      <c r="C17" s="1"/>
      <c r="D17" s="1"/>
      <c r="E17" s="1"/>
      <c r="F17" s="85" t="s">
        <v>19</v>
      </c>
      <c r="G17" s="86"/>
      <c r="H17" s="87" t="str">
        <f t="shared" ref="H17:I17" si="22">IF($F$4&gt;=H$3,AO17,BA17)</f>
        <v>#REF!</v>
      </c>
      <c r="I17" s="88" t="str">
        <f t="shared" si="22"/>
        <v>#REF!</v>
      </c>
      <c r="J17" s="88">
        <v>4020.0</v>
      </c>
      <c r="K17" s="88">
        <v>4666.0</v>
      </c>
      <c r="L17" s="88">
        <v>4472.0</v>
      </c>
      <c r="M17" s="88">
        <v>6232.0</v>
      </c>
      <c r="N17" s="89" t="str">
        <f t="shared" ref="N17:N20" si="24">IF($F$4&gt;=N$3,AU17,BG17)</f>
        <v>#REF!</v>
      </c>
      <c r="O17" s="88">
        <v>4632.0</v>
      </c>
      <c r="P17" s="88">
        <v>6210.0</v>
      </c>
      <c r="Q17" s="90">
        <v>4766.0</v>
      </c>
      <c r="R17" s="88">
        <v>4484.0</v>
      </c>
      <c r="S17" s="91">
        <v>4508.0</v>
      </c>
      <c r="T17" s="92">
        <v>4688.0</v>
      </c>
      <c r="U17" s="88">
        <v>4399.0</v>
      </c>
      <c r="V17" s="88">
        <v>4287.0</v>
      </c>
      <c r="W17" s="88">
        <v>3521.0</v>
      </c>
      <c r="X17" s="88">
        <v>3939.0</v>
      </c>
      <c r="Y17" s="88"/>
      <c r="Z17" s="88"/>
      <c r="AA17" s="89"/>
      <c r="AB17" s="89"/>
      <c r="AC17" s="89"/>
      <c r="AD17" s="89"/>
      <c r="AE17" s="89"/>
      <c r="AF17" s="46"/>
      <c r="AG17" s="46"/>
      <c r="AH17" s="46"/>
      <c r="AI17" s="46"/>
      <c r="AJ17" s="46"/>
      <c r="AK17" s="46"/>
      <c r="AL17" s="46"/>
      <c r="AM17" s="46"/>
      <c r="AN17" s="46"/>
      <c r="AO17" s="46"/>
      <c r="AP17" s="46"/>
      <c r="AQ17" s="46"/>
      <c r="AR17" s="46"/>
      <c r="AS17" s="46">
        <f>'予測PL (2021)'!D4</f>
        <v>47991</v>
      </c>
      <c r="AT17" s="46">
        <f>'予測PL (2021)'!E4</f>
        <v>100227</v>
      </c>
      <c r="AU17" s="46">
        <f>'予測PL (2021)'!F4</f>
        <v>68268</v>
      </c>
      <c r="AV17" s="46">
        <f>'予測PL (2021)'!G4</f>
        <v>44669</v>
      </c>
      <c r="AW17" s="46">
        <f>'予測PL (2021)'!H4</f>
        <v>53656</v>
      </c>
      <c r="AX17" s="46">
        <f>'予測PL (2021)'!I4</f>
        <v>-25789</v>
      </c>
      <c r="AY17" s="46">
        <f>'予測PL (2021)'!J4</f>
        <v>68015</v>
      </c>
      <c r="AZ17" s="46">
        <f>'予測PL (2021)'!K4</f>
        <v>9742</v>
      </c>
      <c r="BA17" s="46">
        <f>'予測PL (2021)'!L4</f>
        <v>153153</v>
      </c>
      <c r="BB17" s="46">
        <f>'予測PL (2021)'!M4</f>
        <v>79451</v>
      </c>
      <c r="BC17" s="46">
        <f>'予測PL (2021)'!N4</f>
        <v>9368</v>
      </c>
      <c r="BD17" s="46">
        <f>'予測PL (2023)'!C4</f>
        <v>47776</v>
      </c>
      <c r="BE17" s="46">
        <f>'予測PL (2023)'!D4</f>
        <v>20813</v>
      </c>
      <c r="BF17" s="46">
        <f>'予測PL (2023)'!E4</f>
        <v>7576</v>
      </c>
      <c r="BG17" s="46">
        <f>'予測PL (2023)'!F4</f>
        <v>21859</v>
      </c>
      <c r="BH17" s="46">
        <f>'予測PL (2023)'!G4</f>
        <v>14718</v>
      </c>
      <c r="BI17" s="46">
        <f>'予測PL (2023)'!H4</f>
        <v>31386</v>
      </c>
      <c r="BJ17" s="46">
        <f>'予測PL (2023)'!I4</f>
        <v>198380</v>
      </c>
      <c r="BK17" s="46" t="str">
        <f>'予測PL (2023)'!J4</f>
        <v/>
      </c>
      <c r="BL17" s="46" t="str">
        <f>'予測PL (2023)'!K4</f>
        <v/>
      </c>
      <c r="BM17" s="46" t="str">
        <f>'予測PL (2023)'!L4</f>
        <v/>
      </c>
      <c r="BN17" s="46" t="str">
        <f>'予測PL (2023)'!M4</f>
        <v/>
      </c>
      <c r="BO17" s="46" t="str">
        <f>'予測PL (2023)'!N4</f>
        <v/>
      </c>
      <c r="BP17" s="46" t="str">
        <f>'予測PL (2024)'!C9</f>
        <v/>
      </c>
      <c r="BQ17" s="46">
        <f>'予測PL (2024)'!D9</f>
        <v>2500</v>
      </c>
      <c r="BR17" s="46">
        <f>'予測PL (2024)'!E9</f>
        <v>55700</v>
      </c>
      <c r="BS17" s="46">
        <f>'予測PL (2024)'!F9</f>
        <v>100695</v>
      </c>
      <c r="BT17" s="46">
        <f>'予測PL (2024)'!G9</f>
        <v>5538</v>
      </c>
      <c r="BU17" s="46">
        <f>'予測PL (2024)'!H9</f>
        <v>15412</v>
      </c>
      <c r="BV17" s="46">
        <f>'予測PL (2024)'!I9</f>
        <v>25044</v>
      </c>
      <c r="BW17" s="46">
        <f>'予測PL (2024)'!J9</f>
        <v>17848</v>
      </c>
      <c r="BX17" s="46">
        <f>'予測PL (2024)'!K9</f>
        <v>31435</v>
      </c>
      <c r="BY17" s="46" t="str">
        <f>'予測PL (2024)'!L9</f>
        <v/>
      </c>
      <c r="BZ17" s="46" t="str">
        <f>'予測PL (2024)'!M9</f>
        <v/>
      </c>
      <c r="CA17" s="46" t="str">
        <f>'予測PL (2024)'!N9</f>
        <v/>
      </c>
      <c r="CB17" s="46">
        <f>'予測PL (2025.04-)'!C9</f>
        <v>20830</v>
      </c>
      <c r="CC17" s="46">
        <f>'予測PL (2025.04-)'!D9</f>
        <v>119803</v>
      </c>
      <c r="CD17" s="46">
        <f>'予測PL (2025.04-)'!E9</f>
        <v>40602</v>
      </c>
      <c r="CE17" s="46">
        <f>'予測PL (2025.04-)'!F9</f>
        <v>34150</v>
      </c>
      <c r="CF17" s="46">
        <f>'予測PL (2025.04-)'!G9</f>
        <v>20247</v>
      </c>
      <c r="CG17" s="46">
        <f>'予測PL (2025.04-)'!H9</f>
        <v>44500</v>
      </c>
      <c r="CH17" s="46">
        <f>'予測PL (2025.04-)'!I9</f>
        <v>79387</v>
      </c>
      <c r="CI17" s="46">
        <f>'予測PL (2025.04-)'!J9</f>
        <v>6177</v>
      </c>
      <c r="CJ17" s="46">
        <f>'予測PL (2025.04-)'!K9</f>
        <v>0</v>
      </c>
      <c r="CK17" s="46">
        <f>'予測PL (2025.04-)'!L9</f>
        <v>51396</v>
      </c>
      <c r="CL17" s="46">
        <f>'予測PL (2025.04-)'!M9</f>
        <v>43709</v>
      </c>
      <c r="CM17" s="46">
        <f>'予測PL (2025.04-)'!N9</f>
        <v>50466</v>
      </c>
      <c r="CN17" s="46"/>
      <c r="CO17" s="46"/>
    </row>
    <row r="18" ht="14.25" customHeight="1">
      <c r="A18" s="84">
        <v>0.34</v>
      </c>
      <c r="B18" s="1"/>
      <c r="C18" s="1"/>
      <c r="D18" s="1"/>
      <c r="E18" s="1"/>
      <c r="F18" s="51"/>
      <c r="G18" s="93"/>
      <c r="H18" s="52" t="str">
        <f t="shared" ref="H18:I18" si="23">IF($F$4&gt;=H$3,AO18,BA18)</f>
        <v>#REF!</v>
      </c>
      <c r="I18" s="53" t="str">
        <f t="shared" si="23"/>
        <v>#REF!</v>
      </c>
      <c r="J18" s="53">
        <v>2173.0</v>
      </c>
      <c r="K18" s="53">
        <v>2613.0</v>
      </c>
      <c r="L18" s="53">
        <v>2735.0</v>
      </c>
      <c r="M18" s="53">
        <v>3642.0</v>
      </c>
      <c r="N18" s="54" t="str">
        <f t="shared" si="24"/>
        <v>#REF!</v>
      </c>
      <c r="O18" s="53">
        <v>2681.0</v>
      </c>
      <c r="P18" s="53">
        <v>3169.0</v>
      </c>
      <c r="Q18" s="55">
        <v>2537.0</v>
      </c>
      <c r="R18" s="53">
        <v>2684.0</v>
      </c>
      <c r="S18" s="56">
        <v>2415.0</v>
      </c>
      <c r="T18" s="57">
        <v>2395.0</v>
      </c>
      <c r="U18" s="53">
        <v>2566.0</v>
      </c>
      <c r="V18" s="53">
        <v>2408.0</v>
      </c>
      <c r="W18" s="53">
        <v>2459.0</v>
      </c>
      <c r="X18" s="53">
        <v>2423.0</v>
      </c>
      <c r="Y18" s="53"/>
      <c r="Z18" s="53"/>
      <c r="AA18" s="54"/>
      <c r="AB18" s="54"/>
      <c r="AC18" s="54"/>
      <c r="AD18" s="54"/>
      <c r="AE18" s="54"/>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row>
    <row r="19" ht="14.25" customHeight="1">
      <c r="A19" s="84">
        <v>0.32</v>
      </c>
      <c r="B19" s="1"/>
      <c r="C19" s="1"/>
      <c r="D19" s="1"/>
      <c r="E19" s="1"/>
      <c r="F19" s="51"/>
      <c r="G19" s="93"/>
      <c r="H19" s="52" t="str">
        <f t="shared" ref="H19:I19" si="25">IF($F$4&gt;=H$3,AO19,BA19)</f>
        <v>#REF!</v>
      </c>
      <c r="I19" s="53" t="str">
        <f t="shared" si="25"/>
        <v>#REF!</v>
      </c>
      <c r="J19" s="53">
        <v>0.0</v>
      </c>
      <c r="K19" s="53">
        <v>0.0</v>
      </c>
      <c r="L19" s="53">
        <v>0.0</v>
      </c>
      <c r="M19" s="53">
        <v>0.0</v>
      </c>
      <c r="N19" s="54" t="str">
        <f t="shared" si="24"/>
        <v>#REF!</v>
      </c>
      <c r="O19" s="53">
        <v>0.0</v>
      </c>
      <c r="P19" s="53">
        <v>0.0</v>
      </c>
      <c r="Q19" s="55">
        <v>0.0</v>
      </c>
      <c r="R19" s="53">
        <v>0.0</v>
      </c>
      <c r="S19" s="56">
        <v>0.0</v>
      </c>
      <c r="T19" s="57">
        <v>0.0</v>
      </c>
      <c r="U19" s="53">
        <v>0.0</v>
      </c>
      <c r="V19" s="53">
        <v>0.0</v>
      </c>
      <c r="W19" s="53">
        <v>0.0</v>
      </c>
      <c r="X19" s="53">
        <v>0.0</v>
      </c>
      <c r="Y19" s="53"/>
      <c r="Z19" s="53"/>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row>
    <row r="20" ht="14.25" customHeight="1">
      <c r="A20" s="94">
        <v>0.34</v>
      </c>
      <c r="B20" s="1"/>
      <c r="C20" s="66" t="s">
        <v>20</v>
      </c>
      <c r="D20" s="67" t="s">
        <v>15</v>
      </c>
      <c r="E20" s="1"/>
      <c r="F20" s="51"/>
      <c r="G20" s="95"/>
      <c r="H20" s="68" t="str">
        <f t="shared" ref="H20:I20" si="26">IF($F$4&gt;=H$3,AO20,BA20)</f>
        <v>#REF!</v>
      </c>
      <c r="I20" s="69" t="str">
        <f t="shared" si="26"/>
        <v>#REF!</v>
      </c>
      <c r="J20" s="69">
        <v>627.0</v>
      </c>
      <c r="K20" s="69">
        <v>622.0</v>
      </c>
      <c r="L20" s="69">
        <v>728.0</v>
      </c>
      <c r="M20" s="69">
        <v>1100.0</v>
      </c>
      <c r="N20" s="70" t="str">
        <f t="shared" si="24"/>
        <v>#REF!</v>
      </c>
      <c r="O20" s="69">
        <v>680.0</v>
      </c>
      <c r="P20" s="69">
        <v>801.0</v>
      </c>
      <c r="Q20" s="71">
        <v>769.0</v>
      </c>
      <c r="R20" s="69">
        <v>616.0</v>
      </c>
      <c r="S20" s="72">
        <v>734.0</v>
      </c>
      <c r="T20" s="73">
        <v>0.0</v>
      </c>
      <c r="U20" s="69">
        <v>0.0</v>
      </c>
      <c r="V20" s="69">
        <v>0.0</v>
      </c>
      <c r="W20" s="69">
        <v>0.0</v>
      </c>
      <c r="X20" s="69">
        <v>0.0</v>
      </c>
      <c r="Y20" s="69"/>
      <c r="Z20" s="69"/>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0"/>
      <c r="CD20" s="70"/>
      <c r="CE20" s="70"/>
      <c r="CF20" s="70"/>
      <c r="CG20" s="70"/>
      <c r="CH20" s="70"/>
      <c r="CI20" s="70"/>
      <c r="CJ20" s="70"/>
      <c r="CK20" s="70"/>
      <c r="CL20" s="70"/>
      <c r="CM20" s="70"/>
      <c r="CN20" s="70"/>
      <c r="CO20" s="70"/>
    </row>
    <row r="21" ht="14.25" customHeight="1">
      <c r="A21" s="1"/>
      <c r="B21" s="1"/>
      <c r="C21" s="75">
        <v>0.995</v>
      </c>
      <c r="D21" s="75">
        <f>1-C21</f>
        <v>0.005</v>
      </c>
      <c r="E21" s="1"/>
      <c r="F21" s="96"/>
      <c r="G21" s="97" t="s">
        <v>21</v>
      </c>
      <c r="H21" s="98" t="str">
        <f t="shared" ref="H21:I21" si="27">SUM(H17:H20)</f>
        <v>#REF!</v>
      </c>
      <c r="I21" s="99" t="str">
        <f t="shared" si="27"/>
        <v>#REF!</v>
      </c>
      <c r="J21" s="99">
        <v>6820.0</v>
      </c>
      <c r="K21" s="99">
        <v>7901.0</v>
      </c>
      <c r="L21" s="99">
        <v>7935.0</v>
      </c>
      <c r="M21" s="99">
        <v>10974.0</v>
      </c>
      <c r="N21" s="100" t="str">
        <f>SUM(N17:N20)</f>
        <v>#REF!</v>
      </c>
      <c r="O21" s="99">
        <v>7993.0</v>
      </c>
      <c r="P21" s="99">
        <v>10180.0</v>
      </c>
      <c r="Q21" s="101">
        <v>8072.0</v>
      </c>
      <c r="R21" s="99">
        <v>7784.0</v>
      </c>
      <c r="S21" s="102">
        <v>7657.0</v>
      </c>
      <c r="T21" s="103">
        <v>7083.0</v>
      </c>
      <c r="U21" s="99">
        <v>6965.0</v>
      </c>
      <c r="V21" s="99">
        <v>6695.0</v>
      </c>
      <c r="W21" s="99">
        <v>5980.0</v>
      </c>
      <c r="X21" s="99">
        <v>6362.0</v>
      </c>
      <c r="Y21" s="99"/>
      <c r="Z21" s="99"/>
      <c r="AA21" s="100">
        <f t="shared" ref="AA21:CO21" si="28">SUM(AA17:AA20)</f>
        <v>0</v>
      </c>
      <c r="AB21" s="100">
        <f t="shared" si="28"/>
        <v>0</v>
      </c>
      <c r="AC21" s="100">
        <f t="shared" si="28"/>
        <v>0</v>
      </c>
      <c r="AD21" s="100">
        <f t="shared" si="28"/>
        <v>0</v>
      </c>
      <c r="AE21" s="100">
        <f t="shared" si="28"/>
        <v>0</v>
      </c>
      <c r="AF21" s="100">
        <f t="shared" si="28"/>
        <v>0</v>
      </c>
      <c r="AG21" s="100">
        <f t="shared" si="28"/>
        <v>0</v>
      </c>
      <c r="AH21" s="100">
        <f t="shared" si="28"/>
        <v>0</v>
      </c>
      <c r="AI21" s="100">
        <f t="shared" si="28"/>
        <v>0</v>
      </c>
      <c r="AJ21" s="100">
        <f t="shared" si="28"/>
        <v>0</v>
      </c>
      <c r="AK21" s="100">
        <f t="shared" si="28"/>
        <v>0</v>
      </c>
      <c r="AL21" s="100">
        <f t="shared" si="28"/>
        <v>0</v>
      </c>
      <c r="AM21" s="100">
        <f t="shared" si="28"/>
        <v>0</v>
      </c>
      <c r="AN21" s="100">
        <f t="shared" si="28"/>
        <v>0</v>
      </c>
      <c r="AO21" s="100">
        <f t="shared" si="28"/>
        <v>0</v>
      </c>
      <c r="AP21" s="100">
        <f t="shared" si="28"/>
        <v>0</v>
      </c>
      <c r="AQ21" s="100">
        <f t="shared" si="28"/>
        <v>0</v>
      </c>
      <c r="AR21" s="100">
        <f t="shared" si="28"/>
        <v>0</v>
      </c>
      <c r="AS21" s="100">
        <f t="shared" si="28"/>
        <v>47991</v>
      </c>
      <c r="AT21" s="100">
        <f t="shared" si="28"/>
        <v>100227</v>
      </c>
      <c r="AU21" s="100">
        <f t="shared" si="28"/>
        <v>68268</v>
      </c>
      <c r="AV21" s="100">
        <f t="shared" si="28"/>
        <v>44669</v>
      </c>
      <c r="AW21" s="100">
        <f t="shared" si="28"/>
        <v>53656</v>
      </c>
      <c r="AX21" s="100">
        <f t="shared" si="28"/>
        <v>-25789</v>
      </c>
      <c r="AY21" s="100">
        <f t="shared" si="28"/>
        <v>68015</v>
      </c>
      <c r="AZ21" s="100">
        <f t="shared" si="28"/>
        <v>9742</v>
      </c>
      <c r="BA21" s="100">
        <f t="shared" si="28"/>
        <v>153153</v>
      </c>
      <c r="BB21" s="100">
        <f t="shared" si="28"/>
        <v>79451</v>
      </c>
      <c r="BC21" s="100">
        <f t="shared" si="28"/>
        <v>9368</v>
      </c>
      <c r="BD21" s="100">
        <f t="shared" si="28"/>
        <v>47776</v>
      </c>
      <c r="BE21" s="100">
        <f t="shared" si="28"/>
        <v>20813</v>
      </c>
      <c r="BF21" s="100">
        <f t="shared" si="28"/>
        <v>7576</v>
      </c>
      <c r="BG21" s="100">
        <f t="shared" si="28"/>
        <v>21859</v>
      </c>
      <c r="BH21" s="100">
        <f t="shared" si="28"/>
        <v>14718</v>
      </c>
      <c r="BI21" s="100">
        <f t="shared" si="28"/>
        <v>31386</v>
      </c>
      <c r="BJ21" s="100">
        <f t="shared" si="28"/>
        <v>198380</v>
      </c>
      <c r="BK21" s="100">
        <f t="shared" si="28"/>
        <v>0</v>
      </c>
      <c r="BL21" s="100">
        <f t="shared" si="28"/>
        <v>0</v>
      </c>
      <c r="BM21" s="100">
        <f t="shared" si="28"/>
        <v>0</v>
      </c>
      <c r="BN21" s="100">
        <f t="shared" si="28"/>
        <v>0</v>
      </c>
      <c r="BO21" s="100">
        <f t="shared" si="28"/>
        <v>0</v>
      </c>
      <c r="BP21" s="100">
        <f t="shared" si="28"/>
        <v>0</v>
      </c>
      <c r="BQ21" s="100">
        <f t="shared" si="28"/>
        <v>2500</v>
      </c>
      <c r="BR21" s="100">
        <f t="shared" si="28"/>
        <v>55700</v>
      </c>
      <c r="BS21" s="100">
        <f t="shared" si="28"/>
        <v>100695</v>
      </c>
      <c r="BT21" s="100">
        <f t="shared" si="28"/>
        <v>5538</v>
      </c>
      <c r="BU21" s="100">
        <f t="shared" si="28"/>
        <v>15412</v>
      </c>
      <c r="BV21" s="100">
        <f t="shared" si="28"/>
        <v>25044</v>
      </c>
      <c r="BW21" s="100">
        <f t="shared" si="28"/>
        <v>17848</v>
      </c>
      <c r="BX21" s="100">
        <f t="shared" si="28"/>
        <v>31435</v>
      </c>
      <c r="BY21" s="100">
        <f t="shared" si="28"/>
        <v>0</v>
      </c>
      <c r="BZ21" s="100">
        <f t="shared" si="28"/>
        <v>0</v>
      </c>
      <c r="CA21" s="100">
        <f t="shared" si="28"/>
        <v>0</v>
      </c>
      <c r="CB21" s="100">
        <f t="shared" si="28"/>
        <v>20830</v>
      </c>
      <c r="CC21" s="100">
        <f t="shared" si="28"/>
        <v>119803</v>
      </c>
      <c r="CD21" s="100">
        <f t="shared" si="28"/>
        <v>40602</v>
      </c>
      <c r="CE21" s="100">
        <f t="shared" si="28"/>
        <v>34150</v>
      </c>
      <c r="CF21" s="100">
        <f t="shared" si="28"/>
        <v>20247</v>
      </c>
      <c r="CG21" s="100">
        <f t="shared" si="28"/>
        <v>44500</v>
      </c>
      <c r="CH21" s="100">
        <f t="shared" si="28"/>
        <v>79387</v>
      </c>
      <c r="CI21" s="100">
        <f t="shared" si="28"/>
        <v>6177</v>
      </c>
      <c r="CJ21" s="100">
        <f t="shared" si="28"/>
        <v>0</v>
      </c>
      <c r="CK21" s="100">
        <f t="shared" si="28"/>
        <v>51396</v>
      </c>
      <c r="CL21" s="100">
        <f t="shared" si="28"/>
        <v>43709</v>
      </c>
      <c r="CM21" s="100">
        <f t="shared" si="28"/>
        <v>50466</v>
      </c>
      <c r="CN21" s="100">
        <f t="shared" si="28"/>
        <v>0</v>
      </c>
      <c r="CO21" s="100">
        <f t="shared" si="28"/>
        <v>0</v>
      </c>
    </row>
    <row r="22" ht="14.25" customHeight="1">
      <c r="A22" s="1"/>
      <c r="B22" s="1"/>
      <c r="C22" s="1"/>
      <c r="D22" s="1"/>
      <c r="E22" s="1"/>
      <c r="F22" s="104" t="s">
        <v>22</v>
      </c>
      <c r="G22" s="105"/>
      <c r="H22" s="106" t="str">
        <f t="shared" ref="H22:I22" si="29">+H16-H21</f>
        <v>#REF!</v>
      </c>
      <c r="I22" s="107" t="str">
        <f t="shared" si="29"/>
        <v>#REF!</v>
      </c>
      <c r="J22" s="107">
        <v>14764.0</v>
      </c>
      <c r="K22" s="107">
        <v>16570.0</v>
      </c>
      <c r="L22" s="107">
        <v>17643.0</v>
      </c>
      <c r="M22" s="107">
        <v>24846.0</v>
      </c>
      <c r="N22" s="108" t="str">
        <f>+N16-N21</f>
        <v>#REF!</v>
      </c>
      <c r="O22" s="107">
        <v>15934.0</v>
      </c>
      <c r="P22" s="107">
        <v>22612.0</v>
      </c>
      <c r="Q22" s="109">
        <v>16690.0</v>
      </c>
      <c r="R22" s="107">
        <v>16130.0</v>
      </c>
      <c r="S22" s="110">
        <v>16867.0</v>
      </c>
      <c r="T22" s="111">
        <v>12504.0</v>
      </c>
      <c r="U22" s="107">
        <v>15440.0</v>
      </c>
      <c r="V22" s="107">
        <v>14360.0</v>
      </c>
      <c r="W22" s="107">
        <v>13951.0</v>
      </c>
      <c r="X22" s="107">
        <v>13786.0</v>
      </c>
      <c r="Y22" s="107"/>
      <c r="Z22" s="107"/>
      <c r="AA22" s="108">
        <f t="shared" ref="AA22:CO22" si="30">+AA16-AA21</f>
        <v>0</v>
      </c>
      <c r="AB22" s="108">
        <f t="shared" si="30"/>
        <v>1227385</v>
      </c>
      <c r="AC22" s="108">
        <f t="shared" si="30"/>
        <v>780153</v>
      </c>
      <c r="AD22" s="108">
        <f t="shared" si="30"/>
        <v>514206</v>
      </c>
      <c r="AE22" s="108">
        <f t="shared" si="30"/>
        <v>334355</v>
      </c>
      <c r="AF22" s="108">
        <f t="shared" si="30"/>
        <v>955367</v>
      </c>
      <c r="AG22" s="108">
        <f t="shared" si="30"/>
        <v>818306</v>
      </c>
      <c r="AH22" s="108">
        <f t="shared" si="30"/>
        <v>760538</v>
      </c>
      <c r="AI22" s="108">
        <f t="shared" si="30"/>
        <v>903177</v>
      </c>
      <c r="AJ22" s="108">
        <f t="shared" si="30"/>
        <v>921683</v>
      </c>
      <c r="AK22" s="108">
        <f t="shared" si="30"/>
        <v>806522</v>
      </c>
      <c r="AL22" s="108">
        <f t="shared" si="30"/>
        <v>822486</v>
      </c>
      <c r="AM22" s="108">
        <f t="shared" si="30"/>
        <v>793307</v>
      </c>
      <c r="AN22" s="108">
        <f t="shared" si="30"/>
        <v>900614</v>
      </c>
      <c r="AO22" s="108">
        <f t="shared" si="30"/>
        <v>780153</v>
      </c>
      <c r="AP22" s="108">
        <f t="shared" si="30"/>
        <v>514206</v>
      </c>
      <c r="AQ22" s="108">
        <f t="shared" si="30"/>
        <v>334355</v>
      </c>
      <c r="AR22" s="108">
        <f t="shared" si="30"/>
        <v>0</v>
      </c>
      <c r="AS22" s="108">
        <f t="shared" si="30"/>
        <v>34009</v>
      </c>
      <c r="AT22" s="108">
        <f t="shared" si="30"/>
        <v>19136</v>
      </c>
      <c r="AU22" s="108">
        <f t="shared" si="30"/>
        <v>319839</v>
      </c>
      <c r="AV22" s="108">
        <f t="shared" si="30"/>
        <v>253209</v>
      </c>
      <c r="AW22" s="108">
        <f t="shared" si="30"/>
        <v>267678</v>
      </c>
      <c r="AX22" s="108">
        <f t="shared" si="30"/>
        <v>352645</v>
      </c>
      <c r="AY22" s="108">
        <f t="shared" si="30"/>
        <v>242198</v>
      </c>
      <c r="AZ22" s="108">
        <f t="shared" si="30"/>
        <v>313422</v>
      </c>
      <c r="BA22" s="108">
        <f t="shared" si="30"/>
        <v>167041</v>
      </c>
      <c r="BB22" s="108">
        <f t="shared" si="30"/>
        <v>222771</v>
      </c>
      <c r="BC22" s="108">
        <f t="shared" si="30"/>
        <v>307299</v>
      </c>
      <c r="BD22" s="108">
        <f t="shared" si="30"/>
        <v>459497</v>
      </c>
      <c r="BE22" s="108">
        <f t="shared" si="30"/>
        <v>346389</v>
      </c>
      <c r="BF22" s="108">
        <f t="shared" si="30"/>
        <v>347598</v>
      </c>
      <c r="BG22" s="108">
        <f t="shared" si="30"/>
        <v>321819</v>
      </c>
      <c r="BH22" s="108">
        <f t="shared" si="30"/>
        <v>296023</v>
      </c>
      <c r="BI22" s="108">
        <f t="shared" si="30"/>
        <v>274540</v>
      </c>
      <c r="BJ22" s="108">
        <f t="shared" si="30"/>
        <v>0</v>
      </c>
      <c r="BK22" s="108">
        <f t="shared" si="30"/>
        <v>0</v>
      </c>
      <c r="BL22" s="108">
        <f t="shared" si="30"/>
        <v>0</v>
      </c>
      <c r="BM22" s="108">
        <f t="shared" si="30"/>
        <v>318182</v>
      </c>
      <c r="BN22" s="108">
        <f t="shared" si="30"/>
        <v>0</v>
      </c>
      <c r="BO22" s="108">
        <f t="shared" si="30"/>
        <v>0</v>
      </c>
      <c r="BP22" s="108">
        <f t="shared" si="30"/>
        <v>3167597</v>
      </c>
      <c r="BQ22" s="108">
        <f t="shared" si="30"/>
        <v>3422528</v>
      </c>
      <c r="BR22" s="108">
        <f t="shared" si="30"/>
        <v>2854799</v>
      </c>
      <c r="BS22" s="108">
        <f t="shared" si="30"/>
        <v>3516943</v>
      </c>
      <c r="BT22" s="108">
        <f t="shared" si="30"/>
        <v>2868736</v>
      </c>
      <c r="BU22" s="108">
        <f t="shared" si="30"/>
        <v>2585472</v>
      </c>
      <c r="BV22" s="108">
        <f t="shared" si="30"/>
        <v>2510017</v>
      </c>
      <c r="BW22" s="108">
        <f t="shared" si="30"/>
        <v>2526060</v>
      </c>
      <c r="BX22" s="108">
        <f t="shared" si="30"/>
        <v>3120314</v>
      </c>
      <c r="BY22" s="108">
        <f t="shared" si="30"/>
        <v>0</v>
      </c>
      <c r="BZ22" s="108">
        <f t="shared" si="30"/>
        <v>0</v>
      </c>
      <c r="CA22" s="108">
        <f t="shared" si="30"/>
        <v>0</v>
      </c>
      <c r="CB22" s="108">
        <f t="shared" si="30"/>
        <v>3542613</v>
      </c>
      <c r="CC22" s="108">
        <f t="shared" si="30"/>
        <v>5824972</v>
      </c>
      <c r="CD22" s="108">
        <f t="shared" si="30"/>
        <v>3535307</v>
      </c>
      <c r="CE22" s="108">
        <f t="shared" si="30"/>
        <v>3604256</v>
      </c>
      <c r="CF22" s="108">
        <f t="shared" si="30"/>
        <v>3864169</v>
      </c>
      <c r="CG22" s="108">
        <f t="shared" si="30"/>
        <v>3538551</v>
      </c>
      <c r="CH22" s="108">
        <f t="shared" si="30"/>
        <v>3636291</v>
      </c>
      <c r="CI22" s="108">
        <f t="shared" si="30"/>
        <v>4536074</v>
      </c>
      <c r="CJ22" s="108">
        <f t="shared" si="30"/>
        <v>4713062</v>
      </c>
      <c r="CK22" s="108">
        <f t="shared" si="30"/>
        <v>5717629</v>
      </c>
      <c r="CL22" s="108">
        <f t="shared" si="30"/>
        <v>3291974</v>
      </c>
      <c r="CM22" s="108">
        <f t="shared" si="30"/>
        <v>4177064</v>
      </c>
      <c r="CN22" s="108">
        <f t="shared" si="30"/>
        <v>0</v>
      </c>
      <c r="CO22" s="108">
        <f t="shared" si="30"/>
        <v>0</v>
      </c>
    </row>
    <row r="23" ht="14.25" customHeight="1">
      <c r="A23" s="112" t="s">
        <v>23</v>
      </c>
      <c r="B23" s="113"/>
      <c r="C23" s="114"/>
      <c r="D23" s="114"/>
      <c r="E23" s="1"/>
      <c r="F23" s="30"/>
      <c r="G23" s="31"/>
      <c r="H23" s="115" t="str">
        <f t="shared" ref="H23:I23" si="31">+H22/H16</f>
        <v>#REF!</v>
      </c>
      <c r="I23" s="116" t="str">
        <f t="shared" si="31"/>
        <v>#REF!</v>
      </c>
      <c r="J23" s="116">
        <v>0.6840252038547072</v>
      </c>
      <c r="K23" s="116">
        <v>0.6771280290956643</v>
      </c>
      <c r="L23" s="116">
        <v>0.6897724607084214</v>
      </c>
      <c r="M23" s="116">
        <v>0.6936348408710218</v>
      </c>
      <c r="N23" s="117" t="str">
        <f>+N22/N16</f>
        <v>#REF!</v>
      </c>
      <c r="O23" s="116">
        <v>0.6659422409829899</v>
      </c>
      <c r="P23" s="116">
        <v>0.6895584288850939</v>
      </c>
      <c r="Q23" s="118">
        <v>0.6740166383975447</v>
      </c>
      <c r="R23" s="116">
        <v>0.6745002927155641</v>
      </c>
      <c r="S23" s="119">
        <v>0.6877752405806556</v>
      </c>
      <c r="T23" s="120">
        <v>0.6383826007045489</v>
      </c>
      <c r="U23" s="116">
        <v>0.6891318902030796</v>
      </c>
      <c r="V23" s="116">
        <v>0.682023272381857</v>
      </c>
      <c r="W23" s="116">
        <v>0.6999648788319703</v>
      </c>
      <c r="X23" s="116">
        <v>0.6842366487988882</v>
      </c>
      <c r="Y23" s="116"/>
      <c r="Z23" s="116"/>
      <c r="AA23" s="117" t="str">
        <f t="shared" ref="AA23:CO23" si="32">+AA22/AA16</f>
        <v>#DIV/0!</v>
      </c>
      <c r="AB23" s="117">
        <f t="shared" si="32"/>
        <v>1</v>
      </c>
      <c r="AC23" s="117">
        <f t="shared" si="32"/>
        <v>1</v>
      </c>
      <c r="AD23" s="117">
        <f t="shared" si="32"/>
        <v>1</v>
      </c>
      <c r="AE23" s="117">
        <f t="shared" si="32"/>
        <v>1</v>
      </c>
      <c r="AF23" s="117">
        <f t="shared" si="32"/>
        <v>1</v>
      </c>
      <c r="AG23" s="117">
        <f t="shared" si="32"/>
        <v>1</v>
      </c>
      <c r="AH23" s="117">
        <f t="shared" si="32"/>
        <v>1</v>
      </c>
      <c r="AI23" s="117">
        <f t="shared" si="32"/>
        <v>1</v>
      </c>
      <c r="AJ23" s="117">
        <f t="shared" si="32"/>
        <v>1</v>
      </c>
      <c r="AK23" s="117">
        <f t="shared" si="32"/>
        <v>1</v>
      </c>
      <c r="AL23" s="117">
        <f t="shared" si="32"/>
        <v>1</v>
      </c>
      <c r="AM23" s="117">
        <f t="shared" si="32"/>
        <v>1</v>
      </c>
      <c r="AN23" s="117">
        <f t="shared" si="32"/>
        <v>1</v>
      </c>
      <c r="AO23" s="117">
        <f t="shared" si="32"/>
        <v>1</v>
      </c>
      <c r="AP23" s="117">
        <f t="shared" si="32"/>
        <v>1</v>
      </c>
      <c r="AQ23" s="117">
        <f t="shared" si="32"/>
        <v>1</v>
      </c>
      <c r="AR23" s="117" t="str">
        <f t="shared" si="32"/>
        <v>#DIV/0!</v>
      </c>
      <c r="AS23" s="117">
        <f t="shared" si="32"/>
        <v>0.4147439024</v>
      </c>
      <c r="AT23" s="117">
        <f t="shared" si="32"/>
        <v>0.1603176864</v>
      </c>
      <c r="AU23" s="117">
        <f t="shared" si="32"/>
        <v>0.8241000549</v>
      </c>
      <c r="AV23" s="117">
        <f t="shared" si="32"/>
        <v>0.8500426349</v>
      </c>
      <c r="AW23" s="117">
        <f t="shared" si="32"/>
        <v>0.8330210933</v>
      </c>
      <c r="AX23" s="117">
        <f t="shared" si="32"/>
        <v>1.078900188</v>
      </c>
      <c r="AY23" s="117">
        <f t="shared" si="32"/>
        <v>0.7807474219</v>
      </c>
      <c r="AZ23" s="117">
        <f t="shared" si="32"/>
        <v>0.9698543155</v>
      </c>
      <c r="BA23" s="117">
        <f t="shared" si="32"/>
        <v>0.5216868523</v>
      </c>
      <c r="BB23" s="117">
        <f t="shared" si="32"/>
        <v>0.7371104685</v>
      </c>
      <c r="BC23" s="117">
        <f t="shared" si="32"/>
        <v>0.9704168732</v>
      </c>
      <c r="BD23" s="117">
        <f t="shared" si="32"/>
        <v>0.9058179718</v>
      </c>
      <c r="BE23" s="117">
        <f t="shared" si="32"/>
        <v>0.9433200255</v>
      </c>
      <c r="BF23" s="117">
        <f t="shared" si="32"/>
        <v>0.9786696098</v>
      </c>
      <c r="BG23" s="117">
        <f t="shared" si="32"/>
        <v>0.9363968599</v>
      </c>
      <c r="BH23" s="117">
        <f t="shared" si="32"/>
        <v>0.9526357964</v>
      </c>
      <c r="BI23" s="117">
        <f t="shared" si="32"/>
        <v>0.8974065624</v>
      </c>
      <c r="BJ23" s="117">
        <f t="shared" si="32"/>
        <v>0</v>
      </c>
      <c r="BK23" s="117" t="str">
        <f t="shared" si="32"/>
        <v>#DIV/0!</v>
      </c>
      <c r="BL23" s="117" t="str">
        <f t="shared" si="32"/>
        <v>#DIV/0!</v>
      </c>
      <c r="BM23" s="117">
        <f t="shared" si="32"/>
        <v>1</v>
      </c>
      <c r="BN23" s="117" t="str">
        <f t="shared" si="32"/>
        <v>#DIV/0!</v>
      </c>
      <c r="BO23" s="117" t="str">
        <f t="shared" si="32"/>
        <v>#DIV/0!</v>
      </c>
      <c r="BP23" s="117">
        <f t="shared" si="32"/>
        <v>1</v>
      </c>
      <c r="BQ23" s="117">
        <f t="shared" si="32"/>
        <v>0.999270079</v>
      </c>
      <c r="BR23" s="117">
        <f t="shared" si="32"/>
        <v>0.9808623882</v>
      </c>
      <c r="BS23" s="117">
        <f t="shared" si="32"/>
        <v>0.9721655401</v>
      </c>
      <c r="BT23" s="117">
        <f t="shared" si="32"/>
        <v>0.9980732526</v>
      </c>
      <c r="BU23" s="117">
        <f t="shared" si="32"/>
        <v>0.9940743224</v>
      </c>
      <c r="BV23" s="117">
        <f t="shared" si="32"/>
        <v>0.9901209478</v>
      </c>
      <c r="BW23" s="117">
        <f t="shared" si="32"/>
        <v>0.992984023</v>
      </c>
      <c r="BX23" s="117">
        <f t="shared" si="32"/>
        <v>0.9900261728</v>
      </c>
      <c r="BY23" s="117" t="str">
        <f t="shared" si="32"/>
        <v>#DIV/0!</v>
      </c>
      <c r="BZ23" s="117" t="str">
        <f t="shared" si="32"/>
        <v>#DIV/0!</v>
      </c>
      <c r="CA23" s="117" t="str">
        <f t="shared" si="32"/>
        <v>#DIV/0!</v>
      </c>
      <c r="CB23" s="117">
        <f t="shared" si="32"/>
        <v>0.9941545298</v>
      </c>
      <c r="CC23" s="117">
        <f t="shared" si="32"/>
        <v>0.9798473449</v>
      </c>
      <c r="CD23" s="117">
        <f t="shared" si="32"/>
        <v>0.9886456842</v>
      </c>
      <c r="CE23" s="117">
        <f t="shared" si="32"/>
        <v>0.9906140216</v>
      </c>
      <c r="CF23" s="117">
        <f t="shared" si="32"/>
        <v>0.9947876335</v>
      </c>
      <c r="CG23" s="117">
        <f t="shared" si="32"/>
        <v>0.9875804168</v>
      </c>
      <c r="CH23" s="117">
        <f t="shared" si="32"/>
        <v>0.9786345857</v>
      </c>
      <c r="CI23" s="117">
        <f t="shared" si="32"/>
        <v>0.9986401016</v>
      </c>
      <c r="CJ23" s="117">
        <f t="shared" si="32"/>
        <v>1</v>
      </c>
      <c r="CK23" s="117">
        <f t="shared" si="32"/>
        <v>0.9910910422</v>
      </c>
      <c r="CL23" s="117">
        <f t="shared" si="32"/>
        <v>0.9868965366</v>
      </c>
      <c r="CM23" s="117">
        <f t="shared" si="32"/>
        <v>0.988062533</v>
      </c>
      <c r="CN23" s="117" t="str">
        <f t="shared" si="32"/>
        <v>#DIV/0!</v>
      </c>
      <c r="CO23" s="117" t="str">
        <f t="shared" si="32"/>
        <v>#DIV/0!</v>
      </c>
    </row>
    <row r="24" ht="14.25" customHeight="1">
      <c r="A24" s="121">
        <v>590.0</v>
      </c>
      <c r="B24" s="122" t="s">
        <v>24</v>
      </c>
      <c r="C24" s="123"/>
      <c r="D24" s="123"/>
      <c r="E24" s="19"/>
      <c r="F24" s="124" t="s">
        <v>25</v>
      </c>
      <c r="G24" s="125" t="s">
        <v>26</v>
      </c>
      <c r="H24" s="44" t="str">
        <f t="shared" ref="H24:I24" si="33">IF($F$4&gt;=H$3,AO24,BA24)</f>
        <v>#REF!</v>
      </c>
      <c r="I24" s="45" t="str">
        <f t="shared" si="33"/>
        <v>#REF!</v>
      </c>
      <c r="J24" s="45">
        <v>950.0</v>
      </c>
      <c r="K24" s="45">
        <v>950.0</v>
      </c>
      <c r="L24" s="45">
        <v>950.0</v>
      </c>
      <c r="M24" s="45">
        <v>950.0</v>
      </c>
      <c r="N24" s="46" t="str">
        <f t="shared" ref="N24:N28" si="35">IF($F$4&gt;=N$3,AU24,BG24)</f>
        <v>#REF!</v>
      </c>
      <c r="O24" s="45">
        <v>950.0</v>
      </c>
      <c r="P24" s="45">
        <v>950.0</v>
      </c>
      <c r="Q24" s="47">
        <v>950.0</v>
      </c>
      <c r="R24" s="45">
        <v>950.0</v>
      </c>
      <c r="S24" s="48">
        <v>950.0</v>
      </c>
      <c r="T24" s="126">
        <v>1400.0</v>
      </c>
      <c r="U24" s="45">
        <v>1400.0</v>
      </c>
      <c r="V24" s="45">
        <v>1400.0</v>
      </c>
      <c r="W24" s="45">
        <v>1400.0</v>
      </c>
      <c r="X24" s="45">
        <v>1400.0</v>
      </c>
      <c r="Y24" s="45"/>
      <c r="Z24" s="45"/>
      <c r="AA24" s="46"/>
      <c r="AB24" s="46">
        <v>50000.0</v>
      </c>
      <c r="AC24" s="46" t="str">
        <f>'予測PL'!L7</f>
        <v/>
      </c>
      <c r="AD24" s="46" t="str">
        <f>'予測PL'!M7</f>
        <v/>
      </c>
      <c r="AE24" s="46" t="str">
        <f>'予測PL'!N7</f>
        <v/>
      </c>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f>'予測PL (2024)'!C12</f>
        <v>100000</v>
      </c>
      <c r="BQ24" s="46">
        <f>'予測PL (2024)'!D12</f>
        <v>100000</v>
      </c>
      <c r="BR24" s="46">
        <f>'予測PL (2024)'!E12</f>
        <v>100000</v>
      </c>
      <c r="BS24" s="46">
        <f>'予測PL (2024)'!F12</f>
        <v>100000</v>
      </c>
      <c r="BT24" s="46">
        <f>'予測PL (2024)'!G12</f>
        <v>100000</v>
      </c>
      <c r="BU24" s="46">
        <f>'予測PL (2024)'!H12</f>
        <v>100000</v>
      </c>
      <c r="BV24" s="46">
        <f>'予測PL (2024)'!I12</f>
        <v>100000</v>
      </c>
      <c r="BW24" s="46">
        <f>'予測PL (2024)'!J12</f>
        <v>100000</v>
      </c>
      <c r="BX24" s="46">
        <f>'予測PL (2024)'!K12</f>
        <v>100000</v>
      </c>
      <c r="BY24" s="46" t="str">
        <f>'予測PL (2024)'!L12</f>
        <v/>
      </c>
      <c r="BZ24" s="46" t="str">
        <f>'予測PL (2024)'!M12</f>
        <v/>
      </c>
      <c r="CA24" s="46" t="str">
        <f>'予測PL (2024)'!N12</f>
        <v/>
      </c>
      <c r="CB24" s="46">
        <f>'予測PL (2025.04-)'!C12</f>
        <v>100000</v>
      </c>
      <c r="CC24" s="46">
        <f>'予測PL (2025.04-)'!D12</f>
        <v>100000</v>
      </c>
      <c r="CD24" s="46">
        <f>'予測PL (2025.04-)'!E12</f>
        <v>100000</v>
      </c>
      <c r="CE24" s="46">
        <f>'予測PL (2025.04-)'!F12</f>
        <v>100000</v>
      </c>
      <c r="CF24" s="46">
        <f>'予測PL (2025.04-)'!G12</f>
        <v>100000</v>
      </c>
      <c r="CG24" s="46">
        <f>'予測PL (2025.04-)'!H12</f>
        <v>100000</v>
      </c>
      <c r="CH24" s="46">
        <f>'予測PL (2025.04-)'!I12</f>
        <v>100000</v>
      </c>
      <c r="CI24" s="46">
        <f>'予測PL (2025.04-)'!J12</f>
        <v>100000</v>
      </c>
      <c r="CJ24" s="46">
        <f>'予測PL (2025.04-)'!K12</f>
        <v>100000</v>
      </c>
      <c r="CK24" s="46">
        <f>'予測PL (2025.04-)'!L12</f>
        <v>100000</v>
      </c>
      <c r="CL24" s="46">
        <f>'予測PL (2025.04-)'!M12</f>
        <v>100000</v>
      </c>
      <c r="CM24" s="46">
        <f>'予測PL (2025.04-)'!N12</f>
        <v>100000</v>
      </c>
      <c r="CN24" s="46"/>
      <c r="CO24" s="46"/>
    </row>
    <row r="25" ht="14.25" customHeight="1">
      <c r="A25" s="121"/>
      <c r="B25" s="122" t="s">
        <v>24</v>
      </c>
      <c r="C25" s="123"/>
      <c r="D25" s="123"/>
      <c r="E25" s="19"/>
      <c r="F25" s="51"/>
      <c r="G25" s="127" t="s">
        <v>27</v>
      </c>
      <c r="H25" s="52" t="str">
        <f t="shared" ref="H25:I25" si="34">IF($F$4&gt;=H$3,AO25,BA25)</f>
        <v>#REF!</v>
      </c>
      <c r="I25" s="53" t="str">
        <f t="shared" si="34"/>
        <v>#REF!</v>
      </c>
      <c r="J25" s="53">
        <v>1669.0</v>
      </c>
      <c r="K25" s="53">
        <v>1729.0</v>
      </c>
      <c r="L25" s="53">
        <v>1686.0</v>
      </c>
      <c r="M25" s="53">
        <v>1699.0</v>
      </c>
      <c r="N25" s="54" t="str">
        <f t="shared" si="35"/>
        <v>#REF!</v>
      </c>
      <c r="O25" s="53">
        <v>1898.0</v>
      </c>
      <c r="P25" s="53">
        <v>1919.0</v>
      </c>
      <c r="Q25" s="55">
        <v>1914.0</v>
      </c>
      <c r="R25" s="53">
        <v>1889.0</v>
      </c>
      <c r="S25" s="56">
        <v>1904.0</v>
      </c>
      <c r="T25" s="57">
        <v>993.0</v>
      </c>
      <c r="U25" s="53">
        <v>1000.0</v>
      </c>
      <c r="V25" s="53">
        <v>1024.0</v>
      </c>
      <c r="W25" s="53">
        <v>999.0</v>
      </c>
      <c r="X25" s="53">
        <v>1006.0</v>
      </c>
      <c r="Y25" s="53"/>
      <c r="Z25" s="53"/>
      <c r="AA25" s="54"/>
      <c r="AB25" s="54"/>
      <c r="AC25" s="54"/>
      <c r="AD25" s="54"/>
      <c r="AE25" s="54"/>
      <c r="AF25" s="54"/>
      <c r="AG25" s="54"/>
      <c r="AH25" s="54"/>
      <c r="AI25" s="54"/>
      <c r="AJ25" s="54"/>
      <c r="AK25" s="54"/>
      <c r="AL25" s="54"/>
      <c r="AM25" s="54"/>
      <c r="AN25" s="54"/>
      <c r="AO25" s="54"/>
      <c r="AP25" s="54"/>
      <c r="AQ25" s="54"/>
      <c r="AR25" s="54">
        <f>'予測PL (2021)'!C34</f>
        <v>50000</v>
      </c>
      <c r="AS25" s="54">
        <f>'予測PL (2021)'!D34</f>
        <v>30000</v>
      </c>
      <c r="AT25" s="54">
        <f>'予測PL (2021)'!E34</f>
        <v>130000</v>
      </c>
      <c r="AU25" s="54">
        <f>'予測PL (2021)'!F34</f>
        <v>30000</v>
      </c>
      <c r="AV25" s="54">
        <f>'予測PL (2021)'!G34</f>
        <v>30000</v>
      </c>
      <c r="AW25" s="54">
        <f>'予測PL (2021)'!H34</f>
        <v>30000</v>
      </c>
      <c r="AX25" s="54">
        <f>'予測PL (2021)'!I34</f>
        <v>30000</v>
      </c>
      <c r="AY25" s="54">
        <f>'予測PL (2021)'!J34</f>
        <v>30000</v>
      </c>
      <c r="AZ25" s="54">
        <f>'予測PL (2021)'!K34</f>
        <v>30000</v>
      </c>
      <c r="BA25" s="54">
        <f>'予測PL (2021)'!L34</f>
        <v>30000</v>
      </c>
      <c r="BB25" s="54">
        <f>'予測PL (2021)'!M34</f>
        <v>30000</v>
      </c>
      <c r="BC25" s="54">
        <f>'予測PL (2021)'!N34</f>
        <v>30000</v>
      </c>
      <c r="BD25" s="54">
        <f>'予測PL (2023)'!C34</f>
        <v>30000</v>
      </c>
      <c r="BE25" s="54">
        <f>'予測PL (2023)'!D34</f>
        <v>30000</v>
      </c>
      <c r="BF25" s="54">
        <f>'予測PL (2023)'!E34</f>
        <v>130000</v>
      </c>
      <c r="BG25" s="54">
        <f>'予測PL (2023)'!F34</f>
        <v>30000</v>
      </c>
      <c r="BH25" s="54">
        <f>'予測PL (2023)'!G34</f>
        <v>30000</v>
      </c>
      <c r="BI25" s="54">
        <f>'予測PL (2023)'!H34</f>
        <v>30000</v>
      </c>
      <c r="BJ25" s="54">
        <f>'予測PL (2023)'!I34</f>
        <v>30000</v>
      </c>
      <c r="BK25" s="54">
        <f>'予測PL (2023)'!J34</f>
        <v>30000</v>
      </c>
      <c r="BL25" s="54">
        <f>'予測PL (2023)'!K34</f>
        <v>30000</v>
      </c>
      <c r="BM25" s="54">
        <f>'予測PL (2023)'!L34</f>
        <v>30000</v>
      </c>
      <c r="BN25" s="54">
        <f>'予測PL (2023)'!M34</f>
        <v>30000</v>
      </c>
      <c r="BO25" s="54"/>
      <c r="BP25" s="54">
        <f>'予測PL (2024)'!C13</f>
        <v>990985</v>
      </c>
      <c r="BQ25" s="54">
        <f>'予測PL (2024)'!D13</f>
        <v>1012718</v>
      </c>
      <c r="BR25" s="54">
        <f>'予測PL (2024)'!E13</f>
        <v>1329766</v>
      </c>
      <c r="BS25" s="54">
        <f>'予測PL (2024)'!F13</f>
        <v>1546185</v>
      </c>
      <c r="BT25" s="54">
        <f>'予測PL (2024)'!G13</f>
        <v>1327564</v>
      </c>
      <c r="BU25" s="54">
        <f>'予測PL (2024)'!H13</f>
        <v>1340000</v>
      </c>
      <c r="BV25" s="54">
        <f>'予測PL (2024)'!I13</f>
        <v>1406600</v>
      </c>
      <c r="BW25" s="54">
        <f>'予測PL (2024)'!J13</f>
        <v>1355000</v>
      </c>
      <c r="BX25" s="54">
        <f>'予測PL (2024)'!K13</f>
        <v>2752465</v>
      </c>
      <c r="BY25" s="54" t="str">
        <f>'予測PL (2024)'!L13</f>
        <v/>
      </c>
      <c r="BZ25" s="54" t="str">
        <f>'予測PL (2024)'!M13</f>
        <v/>
      </c>
      <c r="CA25" s="54" t="str">
        <f>'予測PL (2024)'!N13</f>
        <v/>
      </c>
      <c r="CB25" s="54">
        <f>'予測PL (2025.04-)'!C13</f>
        <v>1618732</v>
      </c>
      <c r="CC25" s="54">
        <f>'予測PL (2025.04-)'!D13</f>
        <v>1671913</v>
      </c>
      <c r="CD25" s="54">
        <f>'予測PL (2025.04-)'!E13</f>
        <v>1681563</v>
      </c>
      <c r="CE25" s="59">
        <v>1855056.0</v>
      </c>
      <c r="CF25" s="59">
        <v>1840706.0</v>
      </c>
      <c r="CG25" s="59">
        <v>1949143.0</v>
      </c>
      <c r="CH25" s="59">
        <v>1854122.0</v>
      </c>
      <c r="CI25" s="59">
        <v>1556600.0</v>
      </c>
      <c r="CJ25" s="59">
        <v>1477525.0</v>
      </c>
      <c r="CK25" s="59">
        <v>1501650.0</v>
      </c>
      <c r="CL25" s="59">
        <v>1480172.0</v>
      </c>
      <c r="CM25" s="54">
        <f>1229900+885000</f>
        <v>2114900</v>
      </c>
      <c r="CN25" s="54"/>
      <c r="CO25" s="54"/>
    </row>
    <row r="26" ht="14.25" customHeight="1">
      <c r="A26" s="128" t="s">
        <v>24</v>
      </c>
      <c r="B26" s="129">
        <v>0.11</v>
      </c>
      <c r="C26" s="75"/>
      <c r="D26" s="75"/>
      <c r="E26" s="19"/>
      <c r="F26" s="51"/>
      <c r="G26" s="93" t="s">
        <v>28</v>
      </c>
      <c r="H26" s="52" t="str">
        <f t="shared" ref="H26:I26" si="36">IF($F$4&gt;=H$3,AO26,BA26)</f>
        <v>#REF!</v>
      </c>
      <c r="I26" s="53" t="str">
        <f t="shared" si="36"/>
        <v>#REF!</v>
      </c>
      <c r="J26" s="53">
        <v>173.0</v>
      </c>
      <c r="K26" s="53">
        <v>174.0</v>
      </c>
      <c r="L26" s="53">
        <v>204.0</v>
      </c>
      <c r="M26" s="53">
        <v>212.0</v>
      </c>
      <c r="N26" s="54" t="str">
        <f t="shared" si="35"/>
        <v>#REF!</v>
      </c>
      <c r="O26" s="53">
        <v>0.0</v>
      </c>
      <c r="P26" s="53">
        <v>0.0</v>
      </c>
      <c r="Q26" s="55">
        <v>0.0</v>
      </c>
      <c r="R26" s="53">
        <v>301.0</v>
      </c>
      <c r="S26" s="56">
        <v>348.0</v>
      </c>
      <c r="T26" s="57">
        <v>553.0</v>
      </c>
      <c r="U26" s="53">
        <v>600.0</v>
      </c>
      <c r="V26" s="53">
        <v>557.0</v>
      </c>
      <c r="W26" s="53">
        <v>759.0</v>
      </c>
      <c r="X26" s="53">
        <v>755.0</v>
      </c>
      <c r="Y26" s="53"/>
      <c r="Z26" s="53"/>
      <c r="AA26" s="54"/>
      <c r="AB26" s="54">
        <v>1223604.0</v>
      </c>
      <c r="AC26" s="54">
        <f>'予測PL'!L9</f>
        <v>599194</v>
      </c>
      <c r="AD26" s="54">
        <f>'予測PL'!M9</f>
        <v>328097</v>
      </c>
      <c r="AE26" s="54">
        <f>'予測PL'!N9</f>
        <v>315516</v>
      </c>
      <c r="AF26" s="54">
        <f>'予測PL'!C9</f>
        <v>929867</v>
      </c>
      <c r="AG26" s="54">
        <f>'予測PL'!D9</f>
        <v>791706</v>
      </c>
      <c r="AH26" s="54">
        <f>'予測PL'!E9</f>
        <v>735138</v>
      </c>
      <c r="AI26" s="54">
        <f>'予測PL'!F9</f>
        <v>874778</v>
      </c>
      <c r="AJ26" s="54">
        <f>'予測PL'!G9</f>
        <v>709883</v>
      </c>
      <c r="AK26" s="54">
        <f>'予測PL'!H9</f>
        <v>598522</v>
      </c>
      <c r="AL26" s="54">
        <f>'予測PL'!I9</f>
        <v>640544</v>
      </c>
      <c r="AM26" s="54">
        <f>'予測PL'!J9</f>
        <v>583508</v>
      </c>
      <c r="AN26" s="54">
        <f>'予測PL'!K9</f>
        <v>737614</v>
      </c>
      <c r="AO26" s="54">
        <f>'予測PL'!L9</f>
        <v>599194</v>
      </c>
      <c r="AP26" s="54">
        <f>'予測PL'!M9</f>
        <v>328097</v>
      </c>
      <c r="AQ26" s="54">
        <f>'予測PL'!N9</f>
        <v>315516</v>
      </c>
      <c r="AR26" s="54" t="str">
        <f>'予測PL (2021)'!C9</f>
        <v/>
      </c>
      <c r="AS26" s="54" t="str">
        <f>'予測PL (2021)'!D9</f>
        <v/>
      </c>
      <c r="AT26" s="54" t="str">
        <f>'予測PL (2021)'!E9</f>
        <v/>
      </c>
      <c r="AU26" s="54" t="str">
        <f>'予測PL (2021)'!F9</f>
        <v/>
      </c>
      <c r="AV26" s="54" t="str">
        <f>'予測PL (2021)'!G9</f>
        <v/>
      </c>
      <c r="AW26" s="54" t="str">
        <f>'予測PL (2021)'!H9</f>
        <v/>
      </c>
      <c r="AX26" s="54" t="str">
        <f>'予測PL (2021)'!I9</f>
        <v/>
      </c>
      <c r="AY26" s="54" t="str">
        <f>'予測PL (2021)'!J9</f>
        <v/>
      </c>
      <c r="AZ26" s="54" t="str">
        <f>'予測PL (2021)'!K9</f>
        <v/>
      </c>
      <c r="BA26" s="54" t="str">
        <f>'予測PL (2021)'!L9</f>
        <v/>
      </c>
      <c r="BB26" s="54" t="str">
        <f>'予測PL (2021)'!M9</f>
        <v/>
      </c>
      <c r="BC26" s="54" t="str">
        <f>'予測PL (2021)'!N9</f>
        <v/>
      </c>
      <c r="BD26" s="54"/>
      <c r="BE26" s="54"/>
      <c r="BF26" s="54"/>
      <c r="BG26" s="54"/>
      <c r="BH26" s="54"/>
      <c r="BI26" s="54"/>
      <c r="BJ26" s="54"/>
      <c r="BK26" s="54"/>
      <c r="BL26" s="54"/>
      <c r="BM26" s="54"/>
      <c r="BN26" s="54"/>
      <c r="BO26" s="54"/>
      <c r="BP26" s="54">
        <f>'予測PL (2024)'!C14</f>
        <v>1668580</v>
      </c>
      <c r="BQ26" s="54">
        <f>'予測PL (2024)'!D14</f>
        <v>1770640</v>
      </c>
      <c r="BR26" s="54">
        <f>'予測PL (2024)'!E14</f>
        <v>1302720</v>
      </c>
      <c r="BS26" s="54">
        <f>'予測PL (2024)'!F14</f>
        <v>1714646</v>
      </c>
      <c r="BT26" s="54">
        <f>'予測PL (2024)'!G14</f>
        <v>1620679</v>
      </c>
      <c r="BU26" s="54">
        <f>'予測PL (2024)'!H14</f>
        <v>1435431</v>
      </c>
      <c r="BV26" s="54">
        <f>'予測PL (2024)'!I14</f>
        <v>1324109</v>
      </c>
      <c r="BW26" s="54">
        <f>'予測PL (2024)'!J14</f>
        <v>1241742</v>
      </c>
      <c r="BX26" s="54">
        <f>'予測PL (2024)'!K14</f>
        <v>1351432</v>
      </c>
      <c r="BY26" s="54" t="str">
        <f>'予測PL (2024)'!L14</f>
        <v/>
      </c>
      <c r="BZ26" s="54" t="str">
        <f>'予測PL (2024)'!M14</f>
        <v/>
      </c>
      <c r="CA26" s="54" t="str">
        <f>'予測PL (2024)'!N14</f>
        <v/>
      </c>
      <c r="CB26" s="54">
        <f>'予測PL (2025.04-)'!C14</f>
        <v>1369774</v>
      </c>
      <c r="CC26" s="54">
        <f>'予測PL (2025.04-)'!D14</f>
        <v>1323908</v>
      </c>
      <c r="CD26" s="54">
        <f>'予測PL (2025.04-)'!E14</f>
        <v>1441193</v>
      </c>
      <c r="CE26" s="54">
        <f>'予測PL (2025.04-)'!F14</f>
        <v>1160059</v>
      </c>
      <c r="CF26" s="54">
        <f>'予測PL (2025.04-)'!G14</f>
        <v>1091031</v>
      </c>
      <c r="CG26" s="54">
        <f>'予測PL (2025.04-)'!H14</f>
        <v>1107705</v>
      </c>
      <c r="CH26" s="54">
        <f>'予測PL (2025.04-)'!I14</f>
        <v>1005377</v>
      </c>
      <c r="CI26" s="54">
        <f>'予測PL (2025.04-)'!J14</f>
        <v>1113862</v>
      </c>
      <c r="CJ26" s="59">
        <v>1153096.0</v>
      </c>
      <c r="CK26" s="54">
        <f>'予測PL (2025.04-)'!L14</f>
        <v>1117223</v>
      </c>
      <c r="CL26" s="59">
        <v>1023990.0</v>
      </c>
      <c r="CM26" s="54">
        <f>'予測PL (2025.04-)'!N14</f>
        <v>1240553</v>
      </c>
      <c r="CN26" s="54"/>
      <c r="CO26" s="54"/>
    </row>
    <row r="27" ht="14.25" customHeight="1">
      <c r="A27" s="128" t="s">
        <v>24</v>
      </c>
      <c r="B27" s="129">
        <v>0.005</v>
      </c>
      <c r="C27" s="75"/>
      <c r="D27" s="75"/>
      <c r="E27" s="19"/>
      <c r="F27" s="51"/>
      <c r="G27" s="93" t="s">
        <v>29</v>
      </c>
      <c r="H27" s="52" t="str">
        <f t="shared" ref="H27:I27" si="37">IF($F$4&gt;=H$3,AO27,BA27)</f>
        <v>#REF!</v>
      </c>
      <c r="I27" s="53" t="str">
        <f t="shared" si="37"/>
        <v>#REF!</v>
      </c>
      <c r="J27" s="53">
        <v>484.0</v>
      </c>
      <c r="K27" s="53">
        <v>408.0</v>
      </c>
      <c r="L27" s="53">
        <v>392.0</v>
      </c>
      <c r="M27" s="53">
        <v>411.0</v>
      </c>
      <c r="N27" s="54" t="str">
        <f t="shared" si="35"/>
        <v>#REF!</v>
      </c>
      <c r="O27" s="53">
        <v>360.0</v>
      </c>
      <c r="P27" s="53">
        <v>437.0</v>
      </c>
      <c r="Q27" s="55">
        <v>408.0</v>
      </c>
      <c r="R27" s="53">
        <v>406.0</v>
      </c>
      <c r="S27" s="56">
        <v>604.0</v>
      </c>
      <c r="T27" s="57">
        <v>490.0</v>
      </c>
      <c r="U27" s="53">
        <v>493.0</v>
      </c>
      <c r="V27" s="53">
        <v>481.0</v>
      </c>
      <c r="W27" s="53">
        <v>583.0</v>
      </c>
      <c r="X27" s="53">
        <v>597.0</v>
      </c>
      <c r="Y27" s="53"/>
      <c r="Z27" s="53"/>
      <c r="AA27" s="54"/>
      <c r="AB27" s="54">
        <v>-640.0</v>
      </c>
      <c r="AC27" s="54">
        <f>'予測PL'!L10</f>
        <v>-1120</v>
      </c>
      <c r="AD27" s="54">
        <f>'予測PL'!M10</f>
        <v>-936</v>
      </c>
      <c r="AE27" s="54">
        <f>'予測PL'!N10</f>
        <v>-725</v>
      </c>
      <c r="AF27" s="54">
        <f>'予測PL'!C10</f>
        <v>-797</v>
      </c>
      <c r="AG27" s="54">
        <f>'予測PL'!D10</f>
        <v>31466</v>
      </c>
      <c r="AH27" s="54">
        <f>'予測PL'!E10</f>
        <v>-552</v>
      </c>
      <c r="AI27" s="54">
        <f>'予測PL'!F10</f>
        <v>-838</v>
      </c>
      <c r="AJ27" s="54">
        <f>'予測PL'!G10</f>
        <v>-1465</v>
      </c>
      <c r="AK27" s="54">
        <f>'予測PL'!H10</f>
        <v>-1400</v>
      </c>
      <c r="AL27" s="54">
        <f>'予測PL'!I10</f>
        <v>-1353</v>
      </c>
      <c r="AM27" s="54">
        <f>'予測PL'!J10</f>
        <v>-1344</v>
      </c>
      <c r="AN27" s="54">
        <f>'予測PL'!K10</f>
        <v>-951</v>
      </c>
      <c r="AO27" s="54">
        <f>'予測PL'!L10</f>
        <v>-1120</v>
      </c>
      <c r="AP27" s="54">
        <f>'予測PL'!M10</f>
        <v>-936</v>
      </c>
      <c r="AQ27" s="54">
        <f>'予測PL'!N10</f>
        <v>-725</v>
      </c>
      <c r="AR27" s="54">
        <f>'予測PL (2021)'!C10</f>
        <v>54574</v>
      </c>
      <c r="AS27" s="54" t="str">
        <f>'予測PL (2021)'!D10</f>
        <v/>
      </c>
      <c r="AT27" s="54" t="str">
        <f>'予測PL (2021)'!E10</f>
        <v/>
      </c>
      <c r="AU27" s="54" t="str">
        <f>'予測PL (2021)'!F10</f>
        <v/>
      </c>
      <c r="AV27" s="54" t="str">
        <f>'予測PL (2021)'!G10</f>
        <v/>
      </c>
      <c r="AW27" s="54" t="str">
        <f>'予測PL (2021)'!H10</f>
        <v/>
      </c>
      <c r="AX27" s="54" t="str">
        <f>'予測PL (2021)'!I10</f>
        <v/>
      </c>
      <c r="AY27" s="54" t="str">
        <f>'予測PL (2021)'!J10</f>
        <v/>
      </c>
      <c r="AZ27" s="54" t="str">
        <f>'予測PL (2021)'!K10</f>
        <v/>
      </c>
      <c r="BA27" s="54" t="str">
        <f>'予測PL (2021)'!L10</f>
        <v/>
      </c>
      <c r="BB27" s="54" t="str">
        <f>'予測PL (2021)'!M10</f>
        <v/>
      </c>
      <c r="BC27" s="54" t="str">
        <f>'予測PL (2021)'!N10</f>
        <v/>
      </c>
      <c r="BD27" s="54"/>
      <c r="BE27" s="54"/>
      <c r="BF27" s="54"/>
      <c r="BG27" s="54"/>
      <c r="BH27" s="54"/>
      <c r="BI27" s="54"/>
      <c r="BJ27" s="54"/>
      <c r="BK27" s="54"/>
      <c r="BL27" s="54"/>
      <c r="BM27" s="54"/>
      <c r="BN27" s="54"/>
      <c r="BO27" s="54"/>
      <c r="BP27" s="54">
        <f>'予測PL (2024)'!C15</f>
        <v>238453</v>
      </c>
      <c r="BQ27" s="54">
        <f>'予測PL (2024)'!D15</f>
        <v>173534</v>
      </c>
      <c r="BR27" s="54">
        <f>'予測PL (2024)'!E15</f>
        <v>197529</v>
      </c>
      <c r="BS27" s="54">
        <f>'予測PL (2024)'!F15</f>
        <v>192435</v>
      </c>
      <c r="BT27" s="54">
        <f>'予測PL (2024)'!G15</f>
        <v>246407</v>
      </c>
      <c r="BU27" s="54">
        <f>'予測PL (2024)'!H15</f>
        <v>247527</v>
      </c>
      <c r="BV27" s="54">
        <f>'予測PL (2024)'!I15</f>
        <v>-288512</v>
      </c>
      <c r="BW27" s="54">
        <f>'予測PL (2024)'!J15</f>
        <v>180964</v>
      </c>
      <c r="BX27" s="54">
        <f>'予測PL (2024)'!K15</f>
        <v>395837</v>
      </c>
      <c r="BY27" s="54" t="str">
        <f>'予測PL (2024)'!L15</f>
        <v/>
      </c>
      <c r="BZ27" s="54" t="str">
        <f>'予測PL (2024)'!M15</f>
        <v/>
      </c>
      <c r="CA27" s="54" t="str">
        <f>'予測PL (2024)'!N15</f>
        <v/>
      </c>
      <c r="CB27" s="54">
        <f>'予測PL (2025.04-)'!C15</f>
        <v>299728</v>
      </c>
      <c r="CC27" s="54">
        <f>'予測PL (2025.04-)'!D15</f>
        <v>111670</v>
      </c>
      <c r="CD27" s="54">
        <f>'予測PL (2025.04-)'!E15</f>
        <v>103259</v>
      </c>
      <c r="CE27" s="54">
        <f>'予測PL (2025.04-)'!F15</f>
        <v>1230856</v>
      </c>
      <c r="CF27" s="54">
        <f>'予測PL (2025.04-)'!G15</f>
        <v>454352</v>
      </c>
      <c r="CG27" s="54">
        <f>'予測PL (2025.04-)'!H15</f>
        <v>216106</v>
      </c>
      <c r="CH27" s="59">
        <v>357403.0</v>
      </c>
      <c r="CI27" s="54">
        <f>'予測PL (2025.04-)'!J15</f>
        <v>190986</v>
      </c>
      <c r="CJ27" s="59">
        <v>190987.0</v>
      </c>
      <c r="CK27" s="54">
        <f>'予測PL (2025.04-)'!L15</f>
        <v>361748</v>
      </c>
      <c r="CL27" s="59">
        <v>236847.0</v>
      </c>
      <c r="CM27" s="54">
        <f>'予測PL (2025.04-)'!N15</f>
        <v>101433</v>
      </c>
      <c r="CN27" s="54"/>
      <c r="CO27" s="54"/>
    </row>
    <row r="28" ht="14.25" customHeight="1">
      <c r="A28" s="130">
        <v>3780.0</v>
      </c>
      <c r="B28" s="131" t="s">
        <v>24</v>
      </c>
      <c r="C28" s="123"/>
      <c r="D28" s="123"/>
      <c r="E28" s="19"/>
      <c r="F28" s="51"/>
      <c r="G28" s="132" t="s">
        <v>30</v>
      </c>
      <c r="H28" s="68" t="str">
        <f t="shared" ref="H28:I28" si="38">IF($F$4&gt;=H$3,AO28,BA28)</f>
        <v>#REF!</v>
      </c>
      <c r="I28" s="69" t="str">
        <f t="shared" si="38"/>
        <v>#REF!</v>
      </c>
      <c r="J28" s="69">
        <v>4719.0</v>
      </c>
      <c r="K28" s="69">
        <v>4578.0</v>
      </c>
      <c r="L28" s="69">
        <v>4696.0</v>
      </c>
      <c r="M28" s="69">
        <v>6936.0</v>
      </c>
      <c r="N28" s="70" t="str">
        <f t="shared" si="35"/>
        <v>#REF!</v>
      </c>
      <c r="O28" s="69">
        <v>4078.0</v>
      </c>
      <c r="P28" s="69">
        <v>6324.0</v>
      </c>
      <c r="Q28" s="71">
        <v>5375.0</v>
      </c>
      <c r="R28" s="69">
        <v>4747.0</v>
      </c>
      <c r="S28" s="72">
        <v>5173.0</v>
      </c>
      <c r="T28" s="73">
        <v>3004.0</v>
      </c>
      <c r="U28" s="69">
        <v>3305.0</v>
      </c>
      <c r="V28" s="69">
        <v>3130.0</v>
      </c>
      <c r="W28" s="69">
        <v>2981.0</v>
      </c>
      <c r="X28" s="69">
        <v>3014.0</v>
      </c>
      <c r="Y28" s="69"/>
      <c r="Z28" s="69"/>
      <c r="AA28" s="70"/>
      <c r="AB28" s="70">
        <v>55000.0</v>
      </c>
      <c r="AC28" s="70">
        <f>'予測PL'!L34*1.1</f>
        <v>55000</v>
      </c>
      <c r="AD28" s="70">
        <f>'予測PL'!M34*1.1</f>
        <v>55000</v>
      </c>
      <c r="AE28" s="70">
        <f>'予測PL'!N34*1.1</f>
        <v>55000</v>
      </c>
      <c r="AF28" s="70">
        <f>'予測PL'!C34</f>
        <v>50000</v>
      </c>
      <c r="AG28" s="70">
        <f>'予測PL'!D34</f>
        <v>50000</v>
      </c>
      <c r="AH28" s="70">
        <f>'予測PL'!E34</f>
        <v>150000</v>
      </c>
      <c r="AI28" s="70">
        <f>'予測PL'!F34</f>
        <v>57273</v>
      </c>
      <c r="AJ28" s="70">
        <f>'予測PL'!G34</f>
        <v>50000</v>
      </c>
      <c r="AK28" s="70">
        <f>'予測PL'!H34</f>
        <v>50000</v>
      </c>
      <c r="AL28" s="70">
        <f>'予測PL'!I34</f>
        <v>50000</v>
      </c>
      <c r="AM28" s="70">
        <f>'予測PL'!J34</f>
        <v>50000</v>
      </c>
      <c r="AN28" s="70">
        <f>'予測PL'!K34</f>
        <v>50000</v>
      </c>
      <c r="AO28" s="70">
        <f>'予測PL'!L34</f>
        <v>50000</v>
      </c>
      <c r="AP28" s="70">
        <f>'予測PL'!M34</f>
        <v>50000</v>
      </c>
      <c r="AQ28" s="70">
        <f>'予測PL'!N34</f>
        <v>50000</v>
      </c>
      <c r="AR28" s="70">
        <f>'予測PL (2021)'!C12</f>
        <v>181818</v>
      </c>
      <c r="AS28" s="70">
        <f>'予測PL (2021)'!D12</f>
        <v>181818</v>
      </c>
      <c r="AT28" s="70">
        <f>'予測PL (2021)'!E12</f>
        <v>181818</v>
      </c>
      <c r="AU28" s="70">
        <f>'予測PL (2021)'!F12</f>
        <v>227273</v>
      </c>
      <c r="AV28" s="70">
        <f>'予測PL (2021)'!G12</f>
        <v>227273</v>
      </c>
      <c r="AW28" s="70">
        <f>'予測PL (2021)'!H12</f>
        <v>227273</v>
      </c>
      <c r="AX28" s="70">
        <f>'予測PL (2021)'!I12</f>
        <v>272727</v>
      </c>
      <c r="AY28" s="70">
        <f>'予測PL (2021)'!J12</f>
        <v>272727</v>
      </c>
      <c r="AZ28" s="70">
        <f>'予測PL (2021)'!K12</f>
        <v>272727</v>
      </c>
      <c r="BA28" s="70">
        <f>'予測PL (2021)'!L12</f>
        <v>272727</v>
      </c>
      <c r="BB28" s="70">
        <f>'予測PL (2021)'!M12</f>
        <v>272727</v>
      </c>
      <c r="BC28" s="70">
        <f>'予測PL (2021)'!N12</f>
        <v>272727</v>
      </c>
      <c r="BD28" s="70">
        <f>'予測PL (2022)'!C12</f>
        <v>227273</v>
      </c>
      <c r="BE28" s="70">
        <f>'予測PL (2022)'!D12</f>
        <v>227273</v>
      </c>
      <c r="BF28" s="70">
        <f>'予測PL (2022)'!E12</f>
        <v>227273</v>
      </c>
      <c r="BG28" s="70">
        <f>'予測PL (2022)'!F12</f>
        <v>227273</v>
      </c>
      <c r="BH28" s="70">
        <f>'予測PL (2022)'!G12</f>
        <v>227273</v>
      </c>
      <c r="BI28" s="70">
        <f>'予測PL (2022)'!H12</f>
        <v>227273</v>
      </c>
      <c r="BJ28" s="70">
        <f>'予測PL (2022)'!I12</f>
        <v>272727</v>
      </c>
      <c r="BK28" s="70">
        <f>'予測PL (2022)'!J12</f>
        <v>272727</v>
      </c>
      <c r="BL28" s="70">
        <f>'予測PL (2022)'!K12</f>
        <v>272727</v>
      </c>
      <c r="BM28" s="70"/>
      <c r="BN28" s="70"/>
      <c r="BO28" s="70"/>
      <c r="BP28" s="70">
        <f>'予測PL (2024)'!C16</f>
        <v>201852</v>
      </c>
      <c r="BQ28" s="70">
        <f>'予測PL (2024)'!D16</f>
        <v>253855</v>
      </c>
      <c r="BR28" s="70">
        <f>'予測PL (2024)'!E16</f>
        <v>184259</v>
      </c>
      <c r="BS28" s="70">
        <f>'予測PL (2024)'!F16</f>
        <v>214815</v>
      </c>
      <c r="BT28" s="70">
        <f>'予測PL (2024)'!G16</f>
        <v>205741</v>
      </c>
      <c r="BU28" s="70">
        <f>'予測PL (2024)'!H16</f>
        <v>194028</v>
      </c>
      <c r="BV28" s="70">
        <f>'予測PL (2024)'!I16</f>
        <v>186306</v>
      </c>
      <c r="BW28" s="70">
        <f>'予測PL (2024)'!J16</f>
        <v>154000</v>
      </c>
      <c r="BX28" s="70">
        <f>'予測PL (2024)'!K16</f>
        <v>192500</v>
      </c>
      <c r="BY28" s="70" t="str">
        <f>'予測PL (2024)'!L16</f>
        <v/>
      </c>
      <c r="BZ28" s="70" t="str">
        <f>'予測PL (2024)'!M16</f>
        <v/>
      </c>
      <c r="CA28" s="70" t="str">
        <f>'予測PL (2024)'!N16</f>
        <v/>
      </c>
      <c r="CB28" s="54">
        <f>'予測PL (2025.04-)'!C16</f>
        <v>194593</v>
      </c>
      <c r="CC28" s="54">
        <f>'予測PL (2025.04-)'!D16</f>
        <v>129626</v>
      </c>
      <c r="CD28" s="54">
        <f>'予測PL (2025.04-)'!E16</f>
        <v>133704</v>
      </c>
      <c r="CE28" s="54">
        <f>'予測PL (2025.04-)'!F16</f>
        <v>176944</v>
      </c>
      <c r="CF28" s="54">
        <f>'予測PL (2025.04-)'!G16</f>
        <v>103241</v>
      </c>
      <c r="CG28" s="54">
        <f>'予測PL (2025.04-)'!H16</f>
        <v>143055</v>
      </c>
      <c r="CH28" s="54">
        <f>'予測PL (2025.04-)'!I16</f>
        <v>200139</v>
      </c>
      <c r="CI28" s="54">
        <f>'予測PL (2025.04-)'!J16</f>
        <v>129352</v>
      </c>
      <c r="CJ28" s="54">
        <f>'予測PL (2025.04-)'!K16</f>
        <v>139115</v>
      </c>
      <c r="CK28" s="54">
        <f>'予測PL (2025.04-)'!L16</f>
        <v>158750</v>
      </c>
      <c r="CL28" s="59">
        <v>298704.0</v>
      </c>
      <c r="CM28" s="54">
        <f>'予測PL (2025.04-)'!N16</f>
        <v>156297</v>
      </c>
      <c r="CN28" s="54"/>
      <c r="CO28" s="54"/>
    </row>
    <row r="29" ht="14.25" customHeight="1">
      <c r="A29" s="112" t="s">
        <v>23</v>
      </c>
      <c r="B29" s="113"/>
      <c r="C29" s="114"/>
      <c r="D29" s="114"/>
      <c r="E29" s="1"/>
      <c r="F29" s="76"/>
      <c r="G29" s="133" t="s">
        <v>31</v>
      </c>
      <c r="H29" s="134" t="str">
        <f t="shared" ref="H29:I29" si="39">SUM(H24:H28)</f>
        <v>#REF!</v>
      </c>
      <c r="I29" s="135" t="str">
        <f t="shared" si="39"/>
        <v>#REF!</v>
      </c>
      <c r="J29" s="135">
        <v>7995.0</v>
      </c>
      <c r="K29" s="135">
        <v>7839.0</v>
      </c>
      <c r="L29" s="135">
        <v>7928.0</v>
      </c>
      <c r="M29" s="135">
        <v>10208.0</v>
      </c>
      <c r="N29" s="136" t="str">
        <f>SUM(N24:N28)</f>
        <v>#REF!</v>
      </c>
      <c r="O29" s="135">
        <v>7286.0</v>
      </c>
      <c r="P29" s="135">
        <v>9630.0</v>
      </c>
      <c r="Q29" s="137">
        <v>8647.0</v>
      </c>
      <c r="R29" s="135">
        <v>8293.0</v>
      </c>
      <c r="S29" s="138">
        <v>8979.0</v>
      </c>
      <c r="T29" s="139">
        <v>6440.0</v>
      </c>
      <c r="U29" s="135">
        <v>6798.0</v>
      </c>
      <c r="V29" s="135">
        <v>6592.0</v>
      </c>
      <c r="W29" s="135">
        <v>6722.0</v>
      </c>
      <c r="X29" s="135">
        <v>6772.0</v>
      </c>
      <c r="Y29" s="135"/>
      <c r="Z29" s="135"/>
      <c r="AA29" s="136">
        <f t="shared" ref="AA29:CO29" si="40">SUM(AA24:AA28)</f>
        <v>0</v>
      </c>
      <c r="AB29" s="136">
        <f t="shared" si="40"/>
        <v>1327964</v>
      </c>
      <c r="AC29" s="136">
        <f t="shared" si="40"/>
        <v>653074</v>
      </c>
      <c r="AD29" s="136">
        <f t="shared" si="40"/>
        <v>382161</v>
      </c>
      <c r="AE29" s="136">
        <f t="shared" si="40"/>
        <v>369791</v>
      </c>
      <c r="AF29" s="136">
        <f t="shared" si="40"/>
        <v>979070</v>
      </c>
      <c r="AG29" s="136">
        <f t="shared" si="40"/>
        <v>873172</v>
      </c>
      <c r="AH29" s="136">
        <f t="shared" si="40"/>
        <v>884586</v>
      </c>
      <c r="AI29" s="136">
        <f t="shared" si="40"/>
        <v>931213</v>
      </c>
      <c r="AJ29" s="136">
        <f t="shared" si="40"/>
        <v>758418</v>
      </c>
      <c r="AK29" s="136">
        <f t="shared" si="40"/>
        <v>647122</v>
      </c>
      <c r="AL29" s="136">
        <f t="shared" si="40"/>
        <v>689191</v>
      </c>
      <c r="AM29" s="136">
        <f t="shared" si="40"/>
        <v>632164</v>
      </c>
      <c r="AN29" s="136">
        <f t="shared" si="40"/>
        <v>786663</v>
      </c>
      <c r="AO29" s="136">
        <f t="shared" si="40"/>
        <v>648074</v>
      </c>
      <c r="AP29" s="136">
        <f t="shared" si="40"/>
        <v>377161</v>
      </c>
      <c r="AQ29" s="136">
        <f t="shared" si="40"/>
        <v>364791</v>
      </c>
      <c r="AR29" s="136">
        <f t="shared" si="40"/>
        <v>286392</v>
      </c>
      <c r="AS29" s="136">
        <f t="shared" si="40"/>
        <v>211818</v>
      </c>
      <c r="AT29" s="136">
        <f t="shared" si="40"/>
        <v>311818</v>
      </c>
      <c r="AU29" s="136">
        <f t="shared" si="40"/>
        <v>257273</v>
      </c>
      <c r="AV29" s="136">
        <f t="shared" si="40"/>
        <v>257273</v>
      </c>
      <c r="AW29" s="136">
        <f t="shared" si="40"/>
        <v>257273</v>
      </c>
      <c r="AX29" s="136">
        <f t="shared" si="40"/>
        <v>302727</v>
      </c>
      <c r="AY29" s="136">
        <f t="shared" si="40"/>
        <v>302727</v>
      </c>
      <c r="AZ29" s="136">
        <f t="shared" si="40"/>
        <v>302727</v>
      </c>
      <c r="BA29" s="136">
        <f t="shared" si="40"/>
        <v>302727</v>
      </c>
      <c r="BB29" s="136">
        <f t="shared" si="40"/>
        <v>302727</v>
      </c>
      <c r="BC29" s="136">
        <f t="shared" si="40"/>
        <v>302727</v>
      </c>
      <c r="BD29" s="136">
        <f t="shared" si="40"/>
        <v>257273</v>
      </c>
      <c r="BE29" s="136">
        <f t="shared" si="40"/>
        <v>257273</v>
      </c>
      <c r="BF29" s="136">
        <f t="shared" si="40"/>
        <v>357273</v>
      </c>
      <c r="BG29" s="136">
        <f t="shared" si="40"/>
        <v>257273</v>
      </c>
      <c r="BH29" s="136">
        <f t="shared" si="40"/>
        <v>257273</v>
      </c>
      <c r="BI29" s="136">
        <f t="shared" si="40"/>
        <v>257273</v>
      </c>
      <c r="BJ29" s="136">
        <f t="shared" si="40"/>
        <v>302727</v>
      </c>
      <c r="BK29" s="136">
        <f t="shared" si="40"/>
        <v>302727</v>
      </c>
      <c r="BL29" s="136">
        <f t="shared" si="40"/>
        <v>302727</v>
      </c>
      <c r="BM29" s="136">
        <f t="shared" si="40"/>
        <v>30000</v>
      </c>
      <c r="BN29" s="136">
        <f t="shared" si="40"/>
        <v>30000</v>
      </c>
      <c r="BO29" s="136">
        <f t="shared" si="40"/>
        <v>0</v>
      </c>
      <c r="BP29" s="136">
        <f t="shared" si="40"/>
        <v>3199870</v>
      </c>
      <c r="BQ29" s="136">
        <f t="shared" si="40"/>
        <v>3310747</v>
      </c>
      <c r="BR29" s="136">
        <f t="shared" si="40"/>
        <v>3114274</v>
      </c>
      <c r="BS29" s="136">
        <f t="shared" si="40"/>
        <v>3768081</v>
      </c>
      <c r="BT29" s="136">
        <f t="shared" si="40"/>
        <v>3500391</v>
      </c>
      <c r="BU29" s="136">
        <f t="shared" si="40"/>
        <v>3316986</v>
      </c>
      <c r="BV29" s="136">
        <f t="shared" si="40"/>
        <v>2728503</v>
      </c>
      <c r="BW29" s="136">
        <f t="shared" si="40"/>
        <v>3031706</v>
      </c>
      <c r="BX29" s="136">
        <f t="shared" si="40"/>
        <v>4792234</v>
      </c>
      <c r="BY29" s="136">
        <f t="shared" si="40"/>
        <v>0</v>
      </c>
      <c r="BZ29" s="136">
        <f t="shared" si="40"/>
        <v>0</v>
      </c>
      <c r="CA29" s="136">
        <f t="shared" si="40"/>
        <v>0</v>
      </c>
      <c r="CB29" s="136">
        <f t="shared" si="40"/>
        <v>3582827</v>
      </c>
      <c r="CC29" s="136">
        <f t="shared" si="40"/>
        <v>3337117</v>
      </c>
      <c r="CD29" s="136">
        <f t="shared" si="40"/>
        <v>3459719</v>
      </c>
      <c r="CE29" s="136">
        <f t="shared" si="40"/>
        <v>4522915</v>
      </c>
      <c r="CF29" s="136">
        <f t="shared" si="40"/>
        <v>3589330</v>
      </c>
      <c r="CG29" s="136">
        <f t="shared" si="40"/>
        <v>3516009</v>
      </c>
      <c r="CH29" s="136">
        <f t="shared" si="40"/>
        <v>3517041</v>
      </c>
      <c r="CI29" s="136">
        <f t="shared" si="40"/>
        <v>3090800</v>
      </c>
      <c r="CJ29" s="136">
        <f t="shared" si="40"/>
        <v>3060723</v>
      </c>
      <c r="CK29" s="136">
        <f t="shared" si="40"/>
        <v>3239371</v>
      </c>
      <c r="CL29" s="136">
        <f t="shared" si="40"/>
        <v>3139713</v>
      </c>
      <c r="CM29" s="136">
        <f t="shared" si="40"/>
        <v>3713183</v>
      </c>
      <c r="CN29" s="136">
        <f t="shared" si="40"/>
        <v>0</v>
      </c>
      <c r="CO29" s="136">
        <f t="shared" si="40"/>
        <v>0</v>
      </c>
    </row>
    <row r="30" ht="14.25" customHeight="1">
      <c r="A30" s="121">
        <v>661.0</v>
      </c>
      <c r="B30" s="122" t="s">
        <v>24</v>
      </c>
      <c r="C30" s="123"/>
      <c r="D30" s="123"/>
      <c r="E30" s="19"/>
      <c r="F30" s="140" t="s">
        <v>32</v>
      </c>
      <c r="G30" s="141" t="s">
        <v>33</v>
      </c>
      <c r="H30" s="87" t="str">
        <f t="shared" ref="H30:I30" si="41">IF($F$4&gt;=H$3,AO30,BA30)</f>
        <v>#REF!</v>
      </c>
      <c r="I30" s="88" t="str">
        <f t="shared" si="41"/>
        <v>#REF!</v>
      </c>
      <c r="J30" s="88">
        <v>548.0</v>
      </c>
      <c r="K30" s="88">
        <v>548.0</v>
      </c>
      <c r="L30" s="88">
        <v>548.0</v>
      </c>
      <c r="M30" s="88">
        <v>548.0</v>
      </c>
      <c r="N30" s="89" t="str">
        <f t="shared" ref="N30:N36" si="43">IF($F$4&gt;=N$3,AU30,BG30)</f>
        <v>#REF!</v>
      </c>
      <c r="O30" s="88">
        <v>548.0</v>
      </c>
      <c r="P30" s="88">
        <v>548.0</v>
      </c>
      <c r="Q30" s="90">
        <v>548.0</v>
      </c>
      <c r="R30" s="88">
        <v>548.0</v>
      </c>
      <c r="S30" s="91">
        <v>548.0</v>
      </c>
      <c r="T30" s="92">
        <v>464.0</v>
      </c>
      <c r="U30" s="88">
        <v>464.0</v>
      </c>
      <c r="V30" s="88">
        <v>464.0</v>
      </c>
      <c r="W30" s="88">
        <v>464.0</v>
      </c>
      <c r="X30" s="88">
        <v>464.0</v>
      </c>
      <c r="Y30" s="88"/>
      <c r="Z30" s="88"/>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E30" s="89"/>
      <c r="BF30" s="89"/>
      <c r="BG30" s="89"/>
      <c r="BH30" s="89"/>
      <c r="BI30" s="89"/>
      <c r="BJ30" s="89"/>
      <c r="BK30" s="89"/>
      <c r="BL30" s="89"/>
      <c r="BM30" s="89"/>
      <c r="BN30" s="89"/>
      <c r="BO30" s="89"/>
      <c r="BP30" s="89">
        <f>'予測PL (2024)'!C27</f>
        <v>217000</v>
      </c>
      <c r="BQ30" s="89">
        <f>'予測PL (2024)'!D27</f>
        <v>217000</v>
      </c>
      <c r="BR30" s="89">
        <f>'予測PL (2024)'!E27</f>
        <v>217000</v>
      </c>
      <c r="BS30" s="89">
        <f>'予測PL (2024)'!F27</f>
        <v>217000</v>
      </c>
      <c r="BT30" s="89">
        <f>'予測PL (2024)'!G27</f>
        <v>367000</v>
      </c>
      <c r="BU30" s="89">
        <f>'予測PL (2024)'!H27</f>
        <v>367000</v>
      </c>
      <c r="BV30" s="89">
        <f>'予測PL (2024)'!I27</f>
        <v>367000</v>
      </c>
      <c r="BW30" s="89">
        <f>'予測PL (2024)'!J27</f>
        <v>367000</v>
      </c>
      <c r="BX30" s="89">
        <f>'予測PL (2024)'!K27</f>
        <v>367000</v>
      </c>
      <c r="BY30" s="89" t="str">
        <f>'予測PL (2024)'!L27</f>
        <v/>
      </c>
      <c r="BZ30" s="89" t="str">
        <f>'予測PL (2024)'!M27</f>
        <v/>
      </c>
      <c r="CA30" s="89" t="str">
        <f>'予測PL (2024)'!N27</f>
        <v/>
      </c>
      <c r="CB30" s="89">
        <f>'予測PL (2025.04-)'!C27</f>
        <v>367000</v>
      </c>
      <c r="CC30" s="89">
        <f>'予測PL (2025.04-)'!D27</f>
        <v>367000</v>
      </c>
      <c r="CD30" s="89">
        <f>'予測PL (2025.04-)'!E27</f>
        <v>367000</v>
      </c>
      <c r="CE30" s="89">
        <f>'予測PL (2025.04-)'!F27</f>
        <v>367000</v>
      </c>
      <c r="CF30" s="89">
        <f>'予測PL (2025.04-)'!G27</f>
        <v>367000</v>
      </c>
      <c r="CG30" s="89">
        <f>'予測PL (2025.04-)'!H27</f>
        <v>367000</v>
      </c>
      <c r="CH30" s="89">
        <f>'予測PL (2025.04-)'!I27</f>
        <v>367000</v>
      </c>
      <c r="CI30" s="89">
        <f>'予測PL (2025.04-)'!J27</f>
        <v>367000</v>
      </c>
      <c r="CJ30" s="89">
        <f>'予測PL (2025.04-)'!K27</f>
        <v>371600</v>
      </c>
      <c r="CK30" s="89">
        <f>'予測PL (2025.04-)'!L27</f>
        <v>333000</v>
      </c>
      <c r="CL30" s="89">
        <f>'予測PL (2025.04-)'!M27</f>
        <v>350000</v>
      </c>
      <c r="CM30" s="89">
        <f>'予測PL (2025.04-)'!N27</f>
        <v>350000</v>
      </c>
      <c r="CN30" s="89"/>
      <c r="CO30" s="89"/>
    </row>
    <row r="31" ht="14.25" customHeight="1">
      <c r="A31" s="121" t="s">
        <v>24</v>
      </c>
      <c r="B31" s="129">
        <v>0.06</v>
      </c>
      <c r="C31" s="123"/>
      <c r="D31" s="123"/>
      <c r="E31" s="19"/>
      <c r="F31" s="51"/>
      <c r="G31" s="127" t="s">
        <v>34</v>
      </c>
      <c r="H31" s="52" t="str">
        <f t="shared" ref="H31:I31" si="42">IF($F$4&gt;=H$3,AO31,BA31)</f>
        <v>#REF!</v>
      </c>
      <c r="I31" s="53" t="str">
        <f t="shared" si="42"/>
        <v>#REF!</v>
      </c>
      <c r="J31" s="53">
        <v>1172.0</v>
      </c>
      <c r="K31" s="53">
        <v>860.0</v>
      </c>
      <c r="L31" s="53">
        <v>1309.0</v>
      </c>
      <c r="M31" s="53">
        <v>1313.0</v>
      </c>
      <c r="N31" s="54" t="str">
        <f t="shared" si="43"/>
        <v>#REF!</v>
      </c>
      <c r="O31" s="53">
        <v>1375.0</v>
      </c>
      <c r="P31" s="53">
        <v>1391.0</v>
      </c>
      <c r="Q31" s="55">
        <v>1106.0</v>
      </c>
      <c r="R31" s="53">
        <v>1061.0</v>
      </c>
      <c r="S31" s="56">
        <v>877.0</v>
      </c>
      <c r="T31" s="57">
        <v>928.0</v>
      </c>
      <c r="U31" s="53">
        <v>971.0</v>
      </c>
      <c r="V31" s="53">
        <v>1001.0</v>
      </c>
      <c r="W31" s="53">
        <v>716.0</v>
      </c>
      <c r="X31" s="53">
        <v>1100.0</v>
      </c>
      <c r="Y31" s="53"/>
      <c r="Z31" s="53"/>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f>'予測PL (2024)'!C32</f>
        <v>27530</v>
      </c>
      <c r="BQ31" s="54">
        <f>'予測PL (2024)'!D32</f>
        <v>29515</v>
      </c>
      <c r="BR31" s="54">
        <f>'予測PL (2024)'!E32</f>
        <v>11798</v>
      </c>
      <c r="BS31" s="54">
        <f>'予測PL (2024)'!F32</f>
        <v>11204</v>
      </c>
      <c r="BT31" s="54">
        <f>'予測PL (2024)'!G32</f>
        <v>12816</v>
      </c>
      <c r="BU31" s="54">
        <f>'予測PL (2024)'!H32</f>
        <v>12173</v>
      </c>
      <c r="BV31" s="54">
        <f>'予測PL (2024)'!I32</f>
        <v>2340</v>
      </c>
      <c r="BW31" s="54">
        <f>'予測PL (2024)'!J32</f>
        <v>100</v>
      </c>
      <c r="BX31" s="54">
        <f>'予測PL (2024)'!K32</f>
        <v>12290</v>
      </c>
      <c r="BY31" s="54" t="str">
        <f>'予測PL (2024)'!L32</f>
        <v/>
      </c>
      <c r="BZ31" s="54" t="str">
        <f>'予測PL (2024)'!M32</f>
        <v/>
      </c>
      <c r="CA31" s="54" t="str">
        <f>'予測PL (2024)'!N32</f>
        <v/>
      </c>
      <c r="CB31" s="54">
        <f>'予測PL (2025.04-)'!C32</f>
        <v>6168</v>
      </c>
      <c r="CC31" s="54">
        <f>'予測PL (2025.04-)'!D32</f>
        <v>6484</v>
      </c>
      <c r="CD31" s="54">
        <f>'予測PL (2025.04-)'!E32</f>
        <v>28378</v>
      </c>
      <c r="CE31" s="54">
        <f>'予測PL (2025.04-)'!F32</f>
        <v>26228</v>
      </c>
      <c r="CF31" s="54">
        <f>'予測PL (2025.04-)'!G32</f>
        <v>7400</v>
      </c>
      <c r="CG31" s="54">
        <f>'予測PL (2025.04-)'!H32</f>
        <v>2600</v>
      </c>
      <c r="CH31" s="54">
        <f>'予測PL (2025.04-)'!I32</f>
        <v>16226</v>
      </c>
      <c r="CI31" s="54">
        <f>'予測PL (2025.04-)'!J32</f>
        <v>10723</v>
      </c>
      <c r="CJ31" s="54">
        <f>'予測PL (2025.04-)'!K32</f>
        <v>2800</v>
      </c>
      <c r="CK31" s="54">
        <f>'予測PL (2025.04-)'!L32</f>
        <v>18216</v>
      </c>
      <c r="CL31" s="54">
        <f>'予測PL (2025.04-)'!M32</f>
        <v>3890</v>
      </c>
      <c r="CM31" s="54">
        <f>'予測PL (2025.04-)'!N32</f>
        <v>9300</v>
      </c>
      <c r="CN31" s="54"/>
      <c r="CO31" s="54"/>
    </row>
    <row r="32" ht="14.25" customHeight="1">
      <c r="A32" s="128" t="s">
        <v>24</v>
      </c>
      <c r="B32" s="129">
        <v>0.02</v>
      </c>
      <c r="C32" s="75"/>
      <c r="D32" s="75"/>
      <c r="E32" s="19"/>
      <c r="F32" s="51"/>
      <c r="G32" s="127" t="s">
        <v>35</v>
      </c>
      <c r="H32" s="52" t="str">
        <f t="shared" ref="H32:I32" si="44">IF($F$4&gt;=H$3,AO32,BA32)</f>
        <v>#REF!</v>
      </c>
      <c r="I32" s="53" t="str">
        <f t="shared" si="44"/>
        <v>#REF!</v>
      </c>
      <c r="J32" s="53">
        <v>425.0</v>
      </c>
      <c r="K32" s="53">
        <v>631.0</v>
      </c>
      <c r="L32" s="53">
        <v>756.0</v>
      </c>
      <c r="M32" s="53">
        <v>877.0</v>
      </c>
      <c r="N32" s="54" t="str">
        <f t="shared" si="43"/>
        <v>#REF!</v>
      </c>
      <c r="O32" s="53">
        <v>740.0</v>
      </c>
      <c r="P32" s="53">
        <v>579.0</v>
      </c>
      <c r="Q32" s="55">
        <v>686.0</v>
      </c>
      <c r="R32" s="53">
        <v>418.0</v>
      </c>
      <c r="S32" s="142">
        <v>524.0</v>
      </c>
      <c r="T32" s="57">
        <v>504.0</v>
      </c>
      <c r="U32" s="53">
        <v>782.0</v>
      </c>
      <c r="V32" s="53">
        <v>356.0</v>
      </c>
      <c r="W32" s="53">
        <v>502.0</v>
      </c>
      <c r="X32" s="53">
        <v>463.0</v>
      </c>
      <c r="Y32" s="53"/>
      <c r="Z32" s="53"/>
      <c r="AA32" s="54"/>
      <c r="AB32" s="54">
        <v>30000.0</v>
      </c>
      <c r="AC32" s="54">
        <f>'予測PL'!L27*1.1</f>
        <v>0</v>
      </c>
      <c r="AD32" s="54">
        <f>'予測PL'!M27*1.1</f>
        <v>0</v>
      </c>
      <c r="AE32" s="54">
        <f>'予測PL'!N27*1.1</f>
        <v>0</v>
      </c>
      <c r="AF32" s="54" t="str">
        <f>'予測PL'!C27</f>
        <v/>
      </c>
      <c r="AG32" s="54" t="str">
        <f>'予測PL'!D27</f>
        <v/>
      </c>
      <c r="AH32" s="54" t="str">
        <f>'予測PL'!E27</f>
        <v/>
      </c>
      <c r="AI32" s="54" t="str">
        <f>'予測PL'!F27</f>
        <v/>
      </c>
      <c r="AJ32" s="54" t="str">
        <f>'予測PL'!G27</f>
        <v/>
      </c>
      <c r="AK32" s="54" t="str">
        <f>'予測PL'!H27</f>
        <v/>
      </c>
      <c r="AL32" s="54" t="str">
        <f>'予測PL'!I27</f>
        <v/>
      </c>
      <c r="AM32" s="54" t="str">
        <f>'予測PL'!J27</f>
        <v/>
      </c>
      <c r="AN32" s="54" t="str">
        <f>'予測PL'!K27</f>
        <v/>
      </c>
      <c r="AO32" s="54" t="str">
        <f>'予測PL'!L27</f>
        <v/>
      </c>
      <c r="AP32" s="54" t="str">
        <f>'予測PL'!M27</f>
        <v/>
      </c>
      <c r="AQ32" s="54" t="str">
        <f>'予測PL'!N27</f>
        <v/>
      </c>
      <c r="AR32" s="54"/>
      <c r="AS32" s="54">
        <f>'予測PL'!P27</f>
        <v>0</v>
      </c>
      <c r="AT32" s="54" t="str">
        <f>'予測PL'!Q27</f>
        <v/>
      </c>
      <c r="AU32" s="54" t="str">
        <f>'予測PL'!R27</f>
        <v/>
      </c>
      <c r="AV32" s="54" t="str">
        <f>'予測PL'!S27</f>
        <v/>
      </c>
      <c r="AW32" s="54" t="str">
        <f>'予測PL'!T27</f>
        <v/>
      </c>
      <c r="AX32" s="54" t="str">
        <f>'予測PL'!U27</f>
        <v/>
      </c>
      <c r="AY32" s="54" t="str">
        <f>'予測PL'!V27</f>
        <v/>
      </c>
      <c r="AZ32" s="54" t="str">
        <f>'予測PL'!W27</f>
        <v/>
      </c>
      <c r="BA32" s="54" t="str">
        <f>'予測PL'!X27</f>
        <v/>
      </c>
      <c r="BB32" s="54" t="str">
        <f>'予測PL'!Y27</f>
        <v/>
      </c>
      <c r="BC32" s="54" t="str">
        <f>'予測PL'!Z27</f>
        <v/>
      </c>
      <c r="BD32" s="54"/>
      <c r="BE32" s="54"/>
      <c r="BF32" s="54"/>
      <c r="BG32" s="54"/>
      <c r="BH32" s="54"/>
      <c r="BI32" s="54"/>
      <c r="BJ32" s="54"/>
      <c r="BK32" s="54"/>
      <c r="BL32" s="54"/>
      <c r="BM32" s="54"/>
      <c r="BN32" s="54"/>
      <c r="BO32" s="54"/>
      <c r="BP32" s="54">
        <f>'予測PL (2024)'!C30</f>
        <v>10270</v>
      </c>
      <c r="BQ32" s="54">
        <f>'予測PL (2024)'!D30</f>
        <v>10270</v>
      </c>
      <c r="BR32" s="54">
        <f>'予測PL (2024)'!E30</f>
        <v>10270</v>
      </c>
      <c r="BS32" s="54">
        <f>'予測PL (2024)'!F30</f>
        <v>10270</v>
      </c>
      <c r="BT32" s="54">
        <f>'予測PL (2024)'!G30</f>
        <v>10270</v>
      </c>
      <c r="BU32" s="54">
        <f>'予測PL (2024)'!H30</f>
        <v>10270</v>
      </c>
      <c r="BV32" s="54">
        <f>'予測PL (2024)'!I30</f>
        <v>10270</v>
      </c>
      <c r="BW32" s="54">
        <f>'予測PL (2024)'!J30</f>
        <v>10270</v>
      </c>
      <c r="BX32" s="54">
        <f>'予測PL (2024)'!K30</f>
        <v>10270</v>
      </c>
      <c r="BY32" s="54" t="str">
        <f>'予測PL (2024)'!L30</f>
        <v/>
      </c>
      <c r="BZ32" s="54" t="str">
        <f>'予測PL (2024)'!M30</f>
        <v/>
      </c>
      <c r="CA32" s="54" t="str">
        <f>'予測PL (2024)'!N30</f>
        <v/>
      </c>
      <c r="CB32" s="54">
        <f>'予測PL (2025.04-)'!C30</f>
        <v>9360</v>
      </c>
      <c r="CC32" s="54">
        <f>'予測PL (2025.04-)'!D30</f>
        <v>8840</v>
      </c>
      <c r="CD32" s="54">
        <f>'予測PL (2025.04-)'!E30</f>
        <v>8840</v>
      </c>
      <c r="CE32" s="54">
        <f>'予測PL (2025.04-)'!F30</f>
        <v>8840</v>
      </c>
      <c r="CF32" s="54">
        <f>'予測PL (2025.04-)'!G30</f>
        <v>8840</v>
      </c>
      <c r="CG32" s="54">
        <f>'予測PL (2025.04-)'!H30</f>
        <v>8840</v>
      </c>
      <c r="CH32" s="54">
        <f>'予測PL (2025.04-)'!I30</f>
        <v>8840</v>
      </c>
      <c r="CI32" s="54">
        <f>'予測PL (2025.04-)'!J30</f>
        <v>8840</v>
      </c>
      <c r="CJ32" s="54">
        <f>'予測PL (2025.04-)'!K30</f>
        <v>8840</v>
      </c>
      <c r="CK32" s="54">
        <f>'予測PL (2025.04-)'!L30</f>
        <v>8840</v>
      </c>
      <c r="CL32" s="54">
        <f>'予測PL (2025.04-)'!M30</f>
        <v>8839</v>
      </c>
      <c r="CM32" s="54">
        <f>'予測PL (2025.04-)'!N30</f>
        <v>8840</v>
      </c>
      <c r="CN32" s="54"/>
      <c r="CO32" s="54"/>
    </row>
    <row r="33" ht="14.25" customHeight="1">
      <c r="A33" s="143">
        <v>1750.0</v>
      </c>
      <c r="B33" s="144" t="s">
        <v>24</v>
      </c>
      <c r="C33" s="75">
        <v>0.07</v>
      </c>
      <c r="D33" s="75"/>
      <c r="E33" s="19"/>
      <c r="F33" s="51"/>
      <c r="G33" s="127" t="s">
        <v>36</v>
      </c>
      <c r="H33" s="52" t="str">
        <f t="shared" ref="H33:I33" si="45">IF($F$4&gt;=H$3,AO33,BA33)</f>
        <v>#REF!</v>
      </c>
      <c r="I33" s="53" t="str">
        <f t="shared" si="45"/>
        <v>#REF!</v>
      </c>
      <c r="J33" s="53">
        <v>0.0</v>
      </c>
      <c r="K33" s="53">
        <v>189.0</v>
      </c>
      <c r="L33" s="53">
        <v>1.0</v>
      </c>
      <c r="M33" s="53">
        <v>3.0</v>
      </c>
      <c r="N33" s="54" t="str">
        <f t="shared" si="43"/>
        <v>#REF!</v>
      </c>
      <c r="O33" s="53">
        <v>4.0</v>
      </c>
      <c r="P33" s="53">
        <v>3.0</v>
      </c>
      <c r="Q33" s="55">
        <v>1.0</v>
      </c>
      <c r="R33" s="53">
        <v>147.0</v>
      </c>
      <c r="S33" s="142">
        <v>3.0</v>
      </c>
      <c r="T33" s="57">
        <v>152.0</v>
      </c>
      <c r="U33" s="53">
        <v>0.0</v>
      </c>
      <c r="V33" s="53">
        <v>148.0</v>
      </c>
      <c r="W33" s="53">
        <v>2.0</v>
      </c>
      <c r="X33" s="53">
        <v>32.0</v>
      </c>
      <c r="Y33" s="53"/>
      <c r="Z33" s="53"/>
      <c r="AA33" s="54"/>
      <c r="AB33" s="54">
        <v>17589.0</v>
      </c>
      <c r="AC33" s="54">
        <f>'予測PL'!L15*1.1</f>
        <v>0</v>
      </c>
      <c r="AD33" s="54">
        <f>'予測PL'!M15*1.1</f>
        <v>0</v>
      </c>
      <c r="AE33" s="54">
        <f>'予測PL'!N15*1.1</f>
        <v>0</v>
      </c>
      <c r="AF33" s="54">
        <f>'予測PL'!C15</f>
        <v>20275</v>
      </c>
      <c r="AG33" s="54" t="str">
        <f>'予測PL'!D15</f>
        <v/>
      </c>
      <c r="AH33" s="54">
        <f>'予測PL'!E15</f>
        <v>23091</v>
      </c>
      <c r="AI33" s="54">
        <f>'予測PL'!F15</f>
        <v>473</v>
      </c>
      <c r="AJ33" s="54" t="str">
        <f>'予測PL'!G15</f>
        <v/>
      </c>
      <c r="AK33" s="54" t="str">
        <f>'予測PL'!H15</f>
        <v/>
      </c>
      <c r="AL33" s="54" t="str">
        <f>'予測PL'!I15</f>
        <v/>
      </c>
      <c r="AM33" s="54" t="str">
        <f>'予測PL'!J15</f>
        <v/>
      </c>
      <c r="AN33" s="54" t="str">
        <f>'予測PL'!K15</f>
        <v/>
      </c>
      <c r="AO33" s="54" t="str">
        <f>'予測PL'!L15</f>
        <v/>
      </c>
      <c r="AP33" s="54" t="str">
        <f>'予測PL'!M15</f>
        <v/>
      </c>
      <c r="AQ33" s="54" t="str">
        <f>'予測PL'!N15</f>
        <v/>
      </c>
      <c r="AR33" s="54"/>
      <c r="AS33" s="54">
        <f>'予測PL'!P15</f>
        <v>0.004708446635</v>
      </c>
      <c r="AT33" s="54" t="str">
        <f>'予測PL'!Q15</f>
        <v/>
      </c>
      <c r="AU33" s="54" t="str">
        <f>'予測PL'!R15</f>
        <v/>
      </c>
      <c r="AV33" s="54" t="str">
        <f>'予測PL'!S15</f>
        <v/>
      </c>
      <c r="AW33" s="54" t="str">
        <f>'予測PL'!T15</f>
        <v/>
      </c>
      <c r="AX33" s="54" t="str">
        <f>'予測PL'!U15</f>
        <v/>
      </c>
      <c r="AY33" s="54" t="str">
        <f>'予測PL'!V15</f>
        <v/>
      </c>
      <c r="AZ33" s="54" t="str">
        <f>'予測PL'!W15</f>
        <v/>
      </c>
      <c r="BA33" s="54" t="str">
        <f>'予測PL'!X15</f>
        <v/>
      </c>
      <c r="BB33" s="54" t="str">
        <f>'予測PL'!Y15</f>
        <v/>
      </c>
      <c r="BC33" s="54" t="str">
        <f>'予測PL'!Z15</f>
        <v/>
      </c>
      <c r="BD33" s="54">
        <f>'予測PL (2023)'!C27</f>
        <v>8737</v>
      </c>
      <c r="BE33" s="54" t="str">
        <f>'予測PL (2023)'!D27</f>
        <v/>
      </c>
      <c r="BF33" s="54">
        <f>'予測PL (2023)'!E27</f>
        <v>5940</v>
      </c>
      <c r="BG33" s="54">
        <f>'予測PL (2023)'!F27</f>
        <v>45780</v>
      </c>
      <c r="BH33" s="54" t="str">
        <f>'予測PL (2023)'!G27</f>
        <v/>
      </c>
      <c r="BI33" s="54" t="str">
        <f>'予測PL (2023)'!H27</f>
        <v/>
      </c>
      <c r="BJ33" s="54" t="str">
        <f>'予測PL (2023)'!I27</f>
        <v/>
      </c>
      <c r="BK33" s="54" t="str">
        <f>'予測PL (2023)'!J27</f>
        <v/>
      </c>
      <c r="BL33" s="54" t="str">
        <f>'予測PL (2023)'!K27</f>
        <v/>
      </c>
      <c r="BM33" s="54" t="str">
        <f>'予測PL (2023)'!L27</f>
        <v/>
      </c>
      <c r="BN33" s="54">
        <v>13480.0</v>
      </c>
      <c r="BO33" s="54"/>
      <c r="BP33" s="54">
        <f>'予測PL (2024)'!C35</f>
        <v>5700</v>
      </c>
      <c r="BQ33" s="54">
        <f>'予測PL (2024)'!D35</f>
        <v>7550</v>
      </c>
      <c r="BR33" s="54">
        <f>'予測PL (2024)'!E35</f>
        <v>8000</v>
      </c>
      <c r="BS33" s="54">
        <f>'予測PL (2024)'!F35</f>
        <v>7850</v>
      </c>
      <c r="BT33" s="54">
        <f>'予測PL (2024)'!G35</f>
        <v>6850</v>
      </c>
      <c r="BU33" s="54">
        <f>'予測PL (2024)'!H35</f>
        <v>7250</v>
      </c>
      <c r="BV33" s="54">
        <f>'予測PL (2024)'!I35</f>
        <v>34150</v>
      </c>
      <c r="BW33" s="54">
        <f>'予測PL (2024)'!J35</f>
        <v>38930</v>
      </c>
      <c r="BX33" s="54">
        <f>'予測PL (2024)'!K35</f>
        <v>38960</v>
      </c>
      <c r="BY33" s="54" t="str">
        <f>'予測PL (2024)'!L35</f>
        <v/>
      </c>
      <c r="BZ33" s="54" t="str">
        <f>'予測PL (2024)'!M35</f>
        <v/>
      </c>
      <c r="CA33" s="54" t="str">
        <f>'予測PL (2024)'!N35</f>
        <v/>
      </c>
      <c r="CB33" s="54">
        <f>'予測PL (2025.04-)'!C35</f>
        <v>38078</v>
      </c>
      <c r="CC33" s="54">
        <f>'予測PL (2025.04-)'!D35</f>
        <v>75349</v>
      </c>
      <c r="CD33" s="54">
        <f>'予測PL (2025.04-)'!E35</f>
        <v>74842</v>
      </c>
      <c r="CE33" s="54">
        <f>'予測PL (2025.04-)'!F35</f>
        <v>76493</v>
      </c>
      <c r="CF33" s="54">
        <f>'予測PL (2025.04-)'!G35</f>
        <v>49538</v>
      </c>
      <c r="CG33" s="54">
        <f>'予測PL (2025.04-)'!H35</f>
        <v>57097</v>
      </c>
      <c r="CH33" s="54">
        <f>'予測PL (2025.04-)'!I35</f>
        <v>48259</v>
      </c>
      <c r="CI33" s="54">
        <f>'予測PL (2025.04-)'!J35</f>
        <v>49243</v>
      </c>
      <c r="CJ33" s="54">
        <f>'予測PL (2025.04-)'!K35</f>
        <v>12907</v>
      </c>
      <c r="CK33" s="54">
        <f>'予測PL (2025.04-)'!L35</f>
        <v>9209</v>
      </c>
      <c r="CL33" s="54">
        <f>'予測PL (2025.04-)'!M35</f>
        <v>12660</v>
      </c>
      <c r="CM33" s="54">
        <f>'予測PL (2025.04-)'!N35</f>
        <v>125621</v>
      </c>
      <c r="CN33" s="54"/>
      <c r="CO33" s="54"/>
    </row>
    <row r="34" ht="14.25" customHeight="1">
      <c r="A34" s="143">
        <v>2758.0</v>
      </c>
      <c r="B34" s="144" t="s">
        <v>24</v>
      </c>
      <c r="C34" s="123"/>
      <c r="D34" s="123"/>
      <c r="E34" s="19"/>
      <c r="F34" s="51"/>
      <c r="G34" s="127" t="s">
        <v>37</v>
      </c>
      <c r="H34" s="52" t="str">
        <f t="shared" ref="H34:I34" si="46">IF($F$4&gt;=H$3,AO34,BA34)</f>
        <v>#REF!</v>
      </c>
      <c r="I34" s="53" t="str">
        <f t="shared" si="46"/>
        <v>#REF!</v>
      </c>
      <c r="J34" s="53">
        <v>2783.0</v>
      </c>
      <c r="K34" s="53">
        <v>2783.0</v>
      </c>
      <c r="L34" s="53">
        <v>2783.0</v>
      </c>
      <c r="M34" s="53">
        <v>2783.0</v>
      </c>
      <c r="N34" s="54" t="str">
        <f t="shared" si="43"/>
        <v>#REF!</v>
      </c>
      <c r="O34" s="53">
        <v>2783.0</v>
      </c>
      <c r="P34" s="53">
        <v>2783.0</v>
      </c>
      <c r="Q34" s="55">
        <v>2783.0</v>
      </c>
      <c r="R34" s="53">
        <v>2783.0</v>
      </c>
      <c r="S34" s="142">
        <v>2783.0</v>
      </c>
      <c r="T34" s="57">
        <v>2363.0</v>
      </c>
      <c r="U34" s="53">
        <v>2363.0</v>
      </c>
      <c r="V34" s="53">
        <v>2363.0</v>
      </c>
      <c r="W34" s="53">
        <v>2363.0</v>
      </c>
      <c r="X34" s="53">
        <v>2363.0</v>
      </c>
      <c r="Y34" s="53"/>
      <c r="Z34" s="53"/>
      <c r="AA34" s="54"/>
      <c r="AB34" s="54">
        <v>71758.0</v>
      </c>
      <c r="AC34" s="54">
        <f>'予測PL'!L17*1.1</f>
        <v>0</v>
      </c>
      <c r="AD34" s="54">
        <f>'予測PL'!M17*1.1</f>
        <v>0</v>
      </c>
      <c r="AE34" s="54">
        <f>'予測PL'!N17*1.1</f>
        <v>0</v>
      </c>
      <c r="AF34" s="54"/>
      <c r="AG34" s="54"/>
      <c r="AH34" s="54"/>
      <c r="AI34" s="54"/>
      <c r="AJ34" s="54"/>
      <c r="AK34" s="54"/>
      <c r="AL34" s="54"/>
      <c r="AM34" s="54"/>
      <c r="AN34" s="54"/>
      <c r="AO34" s="54"/>
      <c r="AP34" s="54"/>
      <c r="AQ34" s="54"/>
      <c r="AR34" s="54" t="str">
        <f>'予測PL (2021)'!C14</f>
        <v/>
      </c>
      <c r="AS34" s="54" t="str">
        <f>'予測PL (2021)'!D14</f>
        <v/>
      </c>
      <c r="AT34" s="54" t="str">
        <f>'予測PL (2021)'!E14</f>
        <v/>
      </c>
      <c r="AU34" s="54" t="str">
        <f>'予測PL (2021)'!F14</f>
        <v/>
      </c>
      <c r="AV34" s="54" t="str">
        <f>'予測PL (2021)'!G14</f>
        <v/>
      </c>
      <c r="AW34" s="54" t="str">
        <f>'予測PL (2021)'!H14</f>
        <v/>
      </c>
      <c r="AX34" s="54" t="str">
        <f>'予測PL (2021)'!I14</f>
        <v/>
      </c>
      <c r="AY34" s="54" t="str">
        <f>'予測PL (2021)'!J14</f>
        <v/>
      </c>
      <c r="AZ34" s="54" t="str">
        <f>'予測PL (2021)'!K14</f>
        <v/>
      </c>
      <c r="BA34" s="54" t="str">
        <f>'予測PL (2021)'!L14</f>
        <v/>
      </c>
      <c r="BB34" s="54" t="str">
        <f>'予測PL (2021)'!M14</f>
        <v/>
      </c>
      <c r="BC34" s="54" t="str">
        <f>'予測PL (2021)'!N14</f>
        <v/>
      </c>
      <c r="BD34" s="54"/>
      <c r="BE34" s="54"/>
      <c r="BF34" s="54"/>
      <c r="BG34" s="54"/>
      <c r="BH34" s="54"/>
      <c r="BI34" s="54"/>
      <c r="BJ34" s="54"/>
      <c r="BK34" s="54"/>
      <c r="BL34" s="54"/>
      <c r="BM34" s="54"/>
      <c r="BN34" s="54"/>
      <c r="BO34" s="54"/>
      <c r="BP34" s="54">
        <f>'予測PL (2024)'!C39</f>
        <v>30000</v>
      </c>
      <c r="BQ34" s="54">
        <f>'予測PL (2024)'!D39</f>
        <v>30000</v>
      </c>
      <c r="BR34" s="54">
        <f>'予測PL (2024)'!E39</f>
        <v>150000</v>
      </c>
      <c r="BS34" s="54">
        <f>'予測PL (2024)'!F39</f>
        <v>50000</v>
      </c>
      <c r="BT34" s="54">
        <f>'予測PL (2024)'!G39</f>
        <v>50000</v>
      </c>
      <c r="BU34" s="54">
        <f>'予測PL (2024)'!H39</f>
        <v>50000</v>
      </c>
      <c r="BV34" s="54">
        <f>'予測PL (2024)'!I39</f>
        <v>50000</v>
      </c>
      <c r="BW34" s="54">
        <f>'予測PL (2024)'!J39</f>
        <v>69000</v>
      </c>
      <c r="BX34" s="54">
        <f>'予測PL (2024)'!K39</f>
        <v>62000</v>
      </c>
      <c r="BY34" s="54" t="str">
        <f>'予測PL (2024)'!L39</f>
        <v/>
      </c>
      <c r="BZ34" s="54" t="str">
        <f>'予測PL (2024)'!M39</f>
        <v/>
      </c>
      <c r="CA34" s="54" t="str">
        <f>'予測PL (2024)'!N39</f>
        <v/>
      </c>
      <c r="CB34" s="54">
        <f>'予測PL (2025.04-)'!C38</f>
        <v>418897</v>
      </c>
      <c r="CC34" s="54">
        <f>'予測PL (2025.04-)'!D38</f>
        <v>533082</v>
      </c>
      <c r="CD34" s="54">
        <f>'予測PL (2025.04-)'!E38</f>
        <v>687721</v>
      </c>
      <c r="CE34" s="59">
        <v>565597.0</v>
      </c>
      <c r="CF34" s="54">
        <f>'予測PL (2025.04-)'!G38</f>
        <v>541642</v>
      </c>
      <c r="CG34" s="54">
        <f>'予測PL (2025.04-)'!H38</f>
        <v>553455</v>
      </c>
      <c r="CH34" s="54">
        <f>'予測PL (2025.04-)'!I38</f>
        <v>553479</v>
      </c>
      <c r="CI34" s="54">
        <f>'予測PL (2025.04-)'!J38</f>
        <v>414542</v>
      </c>
      <c r="CJ34" s="54">
        <f>'予測PL (2025.04-)'!K38</f>
        <v>549875</v>
      </c>
      <c r="CK34" s="54">
        <f>'予測PL (2025.04-)'!L38</f>
        <v>694845</v>
      </c>
      <c r="CL34" s="54">
        <f>'予測PL (2025.04-)'!M38</f>
        <v>481502</v>
      </c>
      <c r="CM34" s="54">
        <f>'予測PL (2025.04-)'!N38</f>
        <v>625266</v>
      </c>
      <c r="CN34" s="54"/>
      <c r="CO34" s="54"/>
    </row>
    <row r="35" ht="14.25" customHeight="1">
      <c r="A35" s="143">
        <v>265.0</v>
      </c>
      <c r="B35" s="144" t="s">
        <v>24</v>
      </c>
      <c r="C35" s="123"/>
      <c r="D35" s="123"/>
      <c r="E35" s="19"/>
      <c r="F35" s="51"/>
      <c r="G35" s="127"/>
      <c r="H35" s="52" t="str">
        <f t="shared" ref="H35:I35" si="47">IF($F$4&gt;=H$3,AO35,BA35)</f>
        <v>#REF!</v>
      </c>
      <c r="I35" s="53" t="str">
        <f t="shared" si="47"/>
        <v>#REF!</v>
      </c>
      <c r="J35" s="53">
        <v>317.0</v>
      </c>
      <c r="K35" s="53">
        <v>307.0</v>
      </c>
      <c r="L35" s="53">
        <v>324.0</v>
      </c>
      <c r="M35" s="53">
        <v>324.0</v>
      </c>
      <c r="N35" s="54" t="str">
        <f t="shared" si="43"/>
        <v>#REF!</v>
      </c>
      <c r="O35" s="53">
        <v>273.0</v>
      </c>
      <c r="P35" s="53">
        <v>273.0</v>
      </c>
      <c r="Q35" s="55">
        <v>230.0</v>
      </c>
      <c r="R35" s="53">
        <v>336.0</v>
      </c>
      <c r="S35" s="142">
        <v>255.0</v>
      </c>
      <c r="T35" s="57">
        <v>334.0</v>
      </c>
      <c r="U35" s="53">
        <v>299.0</v>
      </c>
      <c r="V35" s="53">
        <v>295.0</v>
      </c>
      <c r="W35" s="53">
        <v>295.0</v>
      </c>
      <c r="X35" s="53">
        <v>308.0</v>
      </c>
      <c r="Y35" s="53"/>
      <c r="Z35" s="53"/>
      <c r="AA35" s="54"/>
      <c r="AB35" s="54">
        <v>7480.0</v>
      </c>
      <c r="AC35" s="54">
        <f>'予測PL'!L30*1.1</f>
        <v>6380</v>
      </c>
      <c r="AD35" s="54">
        <f>'予測PL'!M30*1.1</f>
        <v>8360</v>
      </c>
      <c r="AE35" s="54">
        <f>'予測PL'!N30*1.1</f>
        <v>6490</v>
      </c>
      <c r="AF35" s="54">
        <f>'予測PL'!C30</f>
        <v>5200</v>
      </c>
      <c r="AG35" s="54">
        <f>'予測PL'!D30</f>
        <v>5200</v>
      </c>
      <c r="AH35" s="54">
        <f>'予測PL'!E30</f>
        <v>5400</v>
      </c>
      <c r="AI35" s="54">
        <f>'予測PL'!F30</f>
        <v>5700</v>
      </c>
      <c r="AJ35" s="54">
        <f>'予測PL'!G30</f>
        <v>8100</v>
      </c>
      <c r="AK35" s="54">
        <f>'予測PL'!H30</f>
        <v>5200</v>
      </c>
      <c r="AL35" s="54">
        <f>'予測PL'!I30</f>
        <v>11127</v>
      </c>
      <c r="AM35" s="54">
        <f>'予測PL'!J30</f>
        <v>5900</v>
      </c>
      <c r="AN35" s="54">
        <f>'予測PL'!K30</f>
        <v>7700</v>
      </c>
      <c r="AO35" s="54">
        <f>'予測PL'!L30</f>
        <v>5800</v>
      </c>
      <c r="AP35" s="54">
        <f>'予測PL'!M30</f>
        <v>7600</v>
      </c>
      <c r="AQ35" s="54">
        <f>'予測PL'!N30</f>
        <v>5900</v>
      </c>
      <c r="AR35" s="54">
        <f>'予測PL (2021)'!C30</f>
        <v>5800</v>
      </c>
      <c r="AS35" s="54">
        <f>'予測PL (2021)'!D30</f>
        <v>5600</v>
      </c>
      <c r="AT35" s="54">
        <f>'予測PL (2021)'!E30</f>
        <v>5900</v>
      </c>
      <c r="AU35" s="54">
        <f>'予測PL (2021)'!F30</f>
        <v>3350</v>
      </c>
      <c r="AV35" s="54">
        <f>'予測PL (2021)'!G30</f>
        <v>2600</v>
      </c>
      <c r="AW35" s="54">
        <f>'予測PL (2021)'!H30</f>
        <v>2300</v>
      </c>
      <c r="AX35" s="54">
        <f>'予測PL (2021)'!I30</f>
        <v>2150</v>
      </c>
      <c r="AY35" s="54">
        <f>'予測PL (2021)'!J30</f>
        <v>2150</v>
      </c>
      <c r="AZ35" s="54">
        <f>'予測PL (2021)'!K30</f>
        <v>1800</v>
      </c>
      <c r="BA35" s="54">
        <f>'予測PL (2021)'!L30</f>
        <v>2200</v>
      </c>
      <c r="BB35" s="54">
        <f>'予測PL (2021)'!M30</f>
        <v>2850</v>
      </c>
      <c r="BC35" s="54">
        <f>'予測PL (2021)'!N30</f>
        <v>2400</v>
      </c>
      <c r="BD35" s="54">
        <f>'予測PL (2023)'!C30</f>
        <v>32650</v>
      </c>
      <c r="BE35" s="54">
        <f>'予測PL (2023)'!D30</f>
        <v>32300</v>
      </c>
      <c r="BF35" s="54">
        <f>'予測PL (2023)'!E30</f>
        <v>31800</v>
      </c>
      <c r="BG35" s="54">
        <f>'予測PL (2023)'!F30</f>
        <v>2100</v>
      </c>
      <c r="BH35" s="54">
        <f>'予測PL (2023)'!G30</f>
        <v>2100</v>
      </c>
      <c r="BI35" s="54">
        <f>'予測PL (2023)'!H30</f>
        <v>92709</v>
      </c>
      <c r="BJ35" s="54">
        <f>'予測PL (2023)'!I30</f>
        <v>1400</v>
      </c>
      <c r="BK35" s="54">
        <f>'予測PL (2023)'!J30</f>
        <v>1400</v>
      </c>
      <c r="BL35" s="54">
        <f>'予測PL (2023)'!K30</f>
        <v>1400</v>
      </c>
      <c r="BM35" s="54">
        <f>'予測PL (2023)'!L30</f>
        <v>40950</v>
      </c>
      <c r="BN35" s="54">
        <f>'予測PL (2023)'!M30</f>
        <v>1400</v>
      </c>
      <c r="BO35" s="54"/>
      <c r="BP35" s="54"/>
      <c r="BQ35" s="54"/>
      <c r="BR35" s="54"/>
      <c r="BS35" s="54"/>
      <c r="BT35" s="54"/>
      <c r="BU35" s="54"/>
      <c r="BV35" s="54"/>
      <c r="BW35" s="54"/>
      <c r="BX35" s="54"/>
      <c r="BY35" s="54"/>
      <c r="BZ35" s="54"/>
      <c r="CA35" s="54"/>
      <c r="CB35" s="54"/>
      <c r="CC35" s="54"/>
      <c r="CD35" s="54"/>
      <c r="CE35" s="59"/>
      <c r="CF35" s="54"/>
      <c r="CG35" s="54"/>
      <c r="CH35" s="54"/>
      <c r="CI35" s="54"/>
      <c r="CJ35" s="54"/>
      <c r="CK35" s="54"/>
      <c r="CL35" s="54"/>
      <c r="CM35" s="54"/>
      <c r="CN35" s="54"/>
      <c r="CO35" s="54"/>
    </row>
    <row r="36" ht="14.25" customHeight="1">
      <c r="A36" s="143">
        <v>332.0</v>
      </c>
      <c r="B36" s="144" t="s">
        <v>24</v>
      </c>
      <c r="C36" s="123"/>
      <c r="D36" s="123"/>
      <c r="E36" s="19"/>
      <c r="F36" s="51"/>
      <c r="G36" s="93"/>
      <c r="H36" s="52" t="str">
        <f t="shared" ref="H36:I36" si="48">IF($F$4&gt;=H$3,AO36,BA36)</f>
        <v>#REF!</v>
      </c>
      <c r="I36" s="53" t="str">
        <f t="shared" si="48"/>
        <v>#REF!</v>
      </c>
      <c r="J36" s="53">
        <v>189.0</v>
      </c>
      <c r="K36" s="53">
        <v>189.0</v>
      </c>
      <c r="L36" s="53">
        <v>209.0</v>
      </c>
      <c r="M36" s="53">
        <v>189.0</v>
      </c>
      <c r="N36" s="54" t="str">
        <f t="shared" si="43"/>
        <v>#REF!</v>
      </c>
      <c r="O36" s="53">
        <v>189.0</v>
      </c>
      <c r="P36" s="53">
        <v>189.0</v>
      </c>
      <c r="Q36" s="55">
        <v>189.0</v>
      </c>
      <c r="R36" s="53">
        <v>189.0</v>
      </c>
      <c r="S36" s="142">
        <v>189.0</v>
      </c>
      <c r="T36" s="57">
        <v>169.0</v>
      </c>
      <c r="U36" s="53">
        <v>169.0</v>
      </c>
      <c r="V36" s="53">
        <v>169.0</v>
      </c>
      <c r="W36" s="53">
        <v>169.0</v>
      </c>
      <c r="X36" s="53">
        <v>169.0</v>
      </c>
      <c r="Y36" s="53"/>
      <c r="Z36" s="53"/>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4"/>
      <c r="CG36" s="54"/>
      <c r="CH36" s="54"/>
      <c r="CI36" s="54"/>
      <c r="CJ36" s="54"/>
      <c r="CK36" s="54"/>
      <c r="CL36" s="54"/>
      <c r="CM36" s="54"/>
      <c r="CN36" s="54"/>
      <c r="CO36" s="54"/>
    </row>
    <row r="37" ht="14.25" customHeight="1">
      <c r="A37" s="145">
        <v>1800.0</v>
      </c>
      <c r="B37" s="146" t="s">
        <v>24</v>
      </c>
      <c r="C37" s="123"/>
      <c r="D37" s="123"/>
      <c r="E37" s="19"/>
      <c r="F37" s="51"/>
      <c r="G37" s="132" t="s">
        <v>38</v>
      </c>
      <c r="H37" s="68" t="str">
        <f t="shared" ref="H37:I37" si="49">+H38-#REF!</f>
        <v>#REF!</v>
      </c>
      <c r="I37" s="69" t="str">
        <f t="shared" si="49"/>
        <v>#REF!</v>
      </c>
      <c r="J37" s="69">
        <v>3073.0</v>
      </c>
      <c r="K37" s="69">
        <v>3358.0</v>
      </c>
      <c r="L37" s="69">
        <v>3576.0</v>
      </c>
      <c r="M37" s="69">
        <v>3668.0</v>
      </c>
      <c r="N37" s="70" t="str">
        <f>+N38-#REF!</f>
        <v>#REF!</v>
      </c>
      <c r="O37" s="69">
        <v>3014.0</v>
      </c>
      <c r="P37" s="69">
        <v>3737.0</v>
      </c>
      <c r="Q37" s="71">
        <v>3244.0</v>
      </c>
      <c r="R37" s="69">
        <v>2082.0</v>
      </c>
      <c r="S37" s="147">
        <v>3349.0</v>
      </c>
      <c r="T37" s="73">
        <v>2535.0</v>
      </c>
      <c r="U37" s="69">
        <v>2918.0</v>
      </c>
      <c r="V37" s="69">
        <v>2550.0</v>
      </c>
      <c r="W37" s="69">
        <v>2375.0</v>
      </c>
      <c r="X37" s="69">
        <v>2460.0</v>
      </c>
      <c r="Y37" s="69"/>
      <c r="Z37" s="69"/>
      <c r="AA37" s="70"/>
      <c r="AB37" s="70">
        <v>79824.0</v>
      </c>
      <c r="AC37" s="70">
        <f>'予測PL'!L37-'収支予測'!AC29-'収支予測'!AC32-'収支予測'!AC33-'収支予測'!AC34-'収支予測'!AC35</f>
        <v>364602</v>
      </c>
      <c r="AD37" s="70">
        <f>'予測PL'!M37-'収支予測'!AD29-'収支予測'!AD32-'収支予測'!AD33-'収支予測'!AD34-'収支予測'!AD35</f>
        <v>360785</v>
      </c>
      <c r="AE37" s="70">
        <f>'予測PL'!N37-'収支予測'!AE29-'収支予測'!AE32-'収支予測'!AE33-'収支予測'!AE34-'収支予測'!AE35</f>
        <v>364264</v>
      </c>
      <c r="AF37" s="70">
        <f t="shared" ref="AF37:AQ37" si="50">AF39-AF29-AF32-AF33-AF35</f>
        <v>23091</v>
      </c>
      <c r="AG37" s="70">
        <f t="shared" si="50"/>
        <v>24182</v>
      </c>
      <c r="AH37" s="70">
        <f t="shared" si="50"/>
        <v>350</v>
      </c>
      <c r="AI37" s="70">
        <f t="shared" si="50"/>
        <v>36298</v>
      </c>
      <c r="AJ37" s="70">
        <f t="shared" si="50"/>
        <v>215236</v>
      </c>
      <c r="AK37" s="70">
        <f t="shared" si="50"/>
        <v>206182</v>
      </c>
      <c r="AL37" s="70">
        <f t="shared" si="50"/>
        <v>240116</v>
      </c>
      <c r="AM37" s="70">
        <f t="shared" si="50"/>
        <v>569982</v>
      </c>
      <c r="AN37" s="70">
        <f t="shared" si="50"/>
        <v>330000</v>
      </c>
      <c r="AO37" s="70">
        <f t="shared" si="50"/>
        <v>370182</v>
      </c>
      <c r="AP37" s="70">
        <f t="shared" si="50"/>
        <v>366545</v>
      </c>
      <c r="AQ37" s="70">
        <f t="shared" si="50"/>
        <v>369854</v>
      </c>
      <c r="AR37" s="70">
        <f>'予測PL (2021)'!C37-'収支予測'!AR29-'収支予測'!AR34-'収支予測'!AR35</f>
        <v>0</v>
      </c>
      <c r="AS37" s="70">
        <f>'予測PL (2021)'!D37-'収支予測'!AS29-'収支予測'!AS34-'収支予測'!AS35</f>
        <v>4000</v>
      </c>
      <c r="AT37" s="70">
        <f>'予測PL (2021)'!E37-'収支予測'!AT29-'収支予測'!AT34-'収支予測'!AT35</f>
        <v>0</v>
      </c>
      <c r="AU37" s="70">
        <f>'予測PL (2021)'!F37-'収支予測'!AU29-'収支予測'!AU34-'収支予測'!AU35</f>
        <v>1000</v>
      </c>
      <c r="AV37" s="70">
        <f>'予測PL (2021)'!G37-'収支予測'!AV29-'収支予測'!AV34-'収支予測'!AV35</f>
        <v>0</v>
      </c>
      <c r="AW37" s="70">
        <f>'予測PL (2021)'!H37-'収支予測'!AW29-'収支予測'!AW34-'収支予測'!AW35</f>
        <v>0</v>
      </c>
      <c r="AX37" s="70">
        <f>'予測PL (2021)'!I37-'収支予測'!AX29-'収支予測'!AX34-'収支予測'!AX35</f>
        <v>0</v>
      </c>
      <c r="AY37" s="70">
        <f>'予測PL (2021)'!J37-'収支予測'!AY29-'収支予測'!AY34-'収支予測'!AY35</f>
        <v>0</v>
      </c>
      <c r="AZ37" s="70">
        <f>'予測PL (2021)'!K37-'収支予測'!AZ29-'収支予測'!AZ34-'収支予測'!AZ35</f>
        <v>600</v>
      </c>
      <c r="BA37" s="70">
        <f>'予測PL (2021)'!L37-'収支予測'!BA29-'収支予測'!BA34-'収支予測'!BA35</f>
        <v>81935</v>
      </c>
      <c r="BB37" s="70">
        <f>'予測PL (2021)'!M37-'収支予測'!BB29-'収支予測'!BB34-'収支予測'!BB35</f>
        <v>10207</v>
      </c>
      <c r="BC37" s="70">
        <f>'予測PL (2021)'!N37-'収支予測'!BC29-'収支予測'!BC34-'収支予測'!BC35</f>
        <v>9232</v>
      </c>
      <c r="BD37" s="70">
        <f>'予測PL (2023)'!C37-'収支予測'!BD29-'収支予測'!BD33-'収支予測'!BD34-'収支予測'!BD35</f>
        <v>45454</v>
      </c>
      <c r="BE37" s="70">
        <f>'予測PL (2023)'!D37-'収支予測'!BE29-'収支予測'!BE33-'収支予測'!BE34-'収支予測'!BE35</f>
        <v>90994</v>
      </c>
      <c r="BF37" s="70">
        <f>'予測PL (2023)'!E37-'収支予測'!BF29-'収支予測'!BF33-'収支予測'!BF34-'収支予測'!BF35</f>
        <v>90909</v>
      </c>
      <c r="BG37" s="70">
        <f>'予測PL (2023)'!F37-'収支予測'!BG29-'収支予測'!BG33-'収支予測'!BG34-'収支予測'!BG35</f>
        <v>90909</v>
      </c>
      <c r="BH37" s="70">
        <f>'予測PL (2023)'!G37-'収支予測'!BH29-'収支予測'!BH33-'収支予測'!BH34-'収支予測'!BH35</f>
        <v>90909</v>
      </c>
      <c r="BI37" s="70">
        <f>'予測PL (2023)'!H37-'収支予測'!BI29-'収支予測'!BI33-'収支予測'!BI34-'収支予測'!BI35</f>
        <v>90909</v>
      </c>
      <c r="BJ37" s="70">
        <f>'予測PL (2023)'!I37-'収支予測'!BJ29-'収支予測'!BJ33-'収支予測'!BJ34-'収支予測'!BJ35</f>
        <v>-272727</v>
      </c>
      <c r="BK37" s="70">
        <f>'予測PL (2023)'!J37-'収支予測'!BK29-'収支予測'!BK33-'収支予測'!BK34-'収支予測'!BK35</f>
        <v>-272727</v>
      </c>
      <c r="BL37" s="70">
        <f>'予測PL (2023)'!K37-'収支予測'!BL29-'収支予測'!BL33-'収支予測'!BL34-'収支予測'!BL35</f>
        <v>-272727</v>
      </c>
      <c r="BM37" s="70">
        <f>'予測PL (2023)'!L37-'収支予測'!BM29-'収支予測'!BM33-'収支予測'!BM34-'収支予測'!BM35</f>
        <v>53235</v>
      </c>
      <c r="BN37" s="70">
        <f>'予測PL (2023)'!M37-'収支予測'!BN29-'収支予測'!BN33-'収支予測'!BN34-'収支予測'!BN35</f>
        <v>24940</v>
      </c>
      <c r="BO37" s="70"/>
      <c r="BP37" s="70">
        <f>'予測PL (2024)'!C42-'収支予測'!BP29-SUM('収支予測'!BP30:BP36)</f>
        <v>84199</v>
      </c>
      <c r="BQ37" s="70">
        <f>'予測PL (2024)'!D42-'収支予測'!BQ29-SUM('収支予測'!BQ30:BQ36)</f>
        <v>62289</v>
      </c>
      <c r="BR37" s="70">
        <f>'予測PL (2024)'!E42-'収支予測'!BR29-SUM('収支予測'!BR30:BR36)</f>
        <v>90014</v>
      </c>
      <c r="BS37" s="70">
        <f>'予測PL (2024)'!F42-'収支予測'!BS29-SUM('収支予測'!BS30:BS36)</f>
        <v>132989</v>
      </c>
      <c r="BT37" s="70">
        <f>'予測PL (2024)'!G42-'収支予測'!BT29-SUM('収支予測'!BT30:BT36)</f>
        <v>34691</v>
      </c>
      <c r="BU37" s="70">
        <f>'予測PL (2024)'!H42-'収支予測'!BU29-SUM('収支予測'!BU30:BU36)</f>
        <v>32429</v>
      </c>
      <c r="BV37" s="70">
        <f>'予測PL (2024)'!I42-'収支予測'!BV29-SUM('収支予測'!BV30:BV36)</f>
        <v>66194</v>
      </c>
      <c r="BW37" s="70">
        <f>'予測PL (2024)'!J42-'収支予測'!BW29-SUM('収支予測'!BW30:BW36)</f>
        <v>87541</v>
      </c>
      <c r="BX37" s="70">
        <f>'予測PL (2024)'!K42-'収支予測'!BX29-SUM('収支予測'!BX30:BX36)</f>
        <v>85251</v>
      </c>
      <c r="BY37" s="70">
        <f>'予測PL (2024)'!L42-'収支予測'!BY29-SUM('収支予測'!BY30:BY36)</f>
        <v>0</v>
      </c>
      <c r="BZ37" s="70">
        <f>'予測PL (2024)'!M42-'収支予測'!BZ29-SUM('収支予測'!BZ30:BZ36)</f>
        <v>0</v>
      </c>
      <c r="CA37" s="70">
        <f>'予測PL (2024)'!N42-'収支予測'!CA29-SUM('収支予測'!CA30:CA36)</f>
        <v>0</v>
      </c>
      <c r="CB37" s="70">
        <f>'予測PL (2025.04-)'!C42-'収支予測'!CB30-'収支予測'!CB31-'収支予測'!CB32-'収支予測'!CB33-'収支予測'!CB34-'収支予測'!CB35-'収支予測'!CB36-CB29</f>
        <v>71180</v>
      </c>
      <c r="CC37" s="70">
        <f>'予測PL (2025.04-)'!D42-'収支予測'!CC30-'収支予測'!CC31-'収支予測'!CC32-'収支予測'!CC33-'収支予測'!CC34-'収支予測'!CC35-'収支予測'!CC36-CC29</f>
        <v>86030</v>
      </c>
      <c r="CD37" s="70">
        <f>'予測PL (2025.04-)'!E42-'収支予測'!CD30-'収支予測'!CD31-'収支予測'!CD32-'収支予測'!CD33-'収支予測'!CD34-'収支予測'!CD35-'収支予測'!CD36-CD29</f>
        <v>396015</v>
      </c>
      <c r="CE37" s="70">
        <f>54000+'予測PL (2025.04-)'!F42-'収支予測'!CE30-'収支予測'!CE31-'収支予測'!CE32-'収支予測'!CE33-'収支予測'!CE34-'収支予測'!CE35-'収支予測'!CE36-CE29</f>
        <v>139887</v>
      </c>
      <c r="CF37" s="70">
        <f>158000+'予測PL (2025.04-)'!G42-'収支予測'!CF30-'収支予測'!CF31-'収支予測'!CF32-'収支予測'!CF33-'収支予測'!CF34-'収支予測'!CF35-'収支予測'!CF36-CF29</f>
        <v>87123</v>
      </c>
      <c r="CG37" s="70">
        <f>158000+'予測PL (2025.04-)'!H42-'収支予測'!CG30-'収支予測'!CG31-'収支予測'!CG32-'収支予測'!CG33-'収支予測'!CG34-'収支予測'!CG35-'収支予測'!CG36-CG29</f>
        <v>77821</v>
      </c>
      <c r="CH37" s="70">
        <f>10000+49491+6135</f>
        <v>65626</v>
      </c>
      <c r="CI37" s="148">
        <v>106774.0</v>
      </c>
      <c r="CJ37" s="148">
        <v>98369.0</v>
      </c>
      <c r="CK37" s="148">
        <v>95634.0</v>
      </c>
      <c r="CL37" s="148">
        <v>76535.0</v>
      </c>
      <c r="CM37" s="148">
        <v>79997.0</v>
      </c>
      <c r="CN37" s="70"/>
      <c r="CO37" s="70"/>
    </row>
    <row r="38" ht="14.25" customHeight="1">
      <c r="A38" s="149"/>
      <c r="B38" s="150"/>
      <c r="C38" s="123"/>
      <c r="D38" s="123"/>
      <c r="E38" s="1"/>
      <c r="F38" s="96"/>
      <c r="G38" s="151" t="s">
        <v>31</v>
      </c>
      <c r="H38" s="98" t="str">
        <f t="shared" ref="H38:I38" si="51">+H39-H29</f>
        <v>#REF!</v>
      </c>
      <c r="I38" s="99" t="str">
        <f t="shared" si="51"/>
        <v>#REF!</v>
      </c>
      <c r="J38" s="99">
        <v>8507.0</v>
      </c>
      <c r="K38" s="99">
        <v>8865.0</v>
      </c>
      <c r="L38" s="99">
        <v>9506.0</v>
      </c>
      <c r="M38" s="99">
        <v>9705.0</v>
      </c>
      <c r="N38" s="100" t="str">
        <f>+N39-N29</f>
        <v>#REF!</v>
      </c>
      <c r="O38" s="99">
        <v>9129.0</v>
      </c>
      <c r="P38" s="99">
        <v>9503.0</v>
      </c>
      <c r="Q38" s="101">
        <v>8787.0</v>
      </c>
      <c r="R38" s="99">
        <v>8456.0</v>
      </c>
      <c r="S38" s="152">
        <v>8528.0</v>
      </c>
      <c r="T38" s="103">
        <v>7449.0</v>
      </c>
      <c r="U38" s="99">
        <v>7966.0</v>
      </c>
      <c r="V38" s="99">
        <v>7346.0</v>
      </c>
      <c r="W38" s="99">
        <v>6886.0</v>
      </c>
      <c r="X38" s="99">
        <v>7359.0</v>
      </c>
      <c r="Y38" s="99"/>
      <c r="Z38" s="99"/>
      <c r="AA38" s="100">
        <f t="shared" ref="AA38:CO38" si="52">SUM(AA30:AA37)</f>
        <v>0</v>
      </c>
      <c r="AB38" s="100">
        <f t="shared" si="52"/>
        <v>206651</v>
      </c>
      <c r="AC38" s="100">
        <f t="shared" si="52"/>
        <v>370982</v>
      </c>
      <c r="AD38" s="100">
        <f t="shared" si="52"/>
        <v>369145</v>
      </c>
      <c r="AE38" s="100">
        <f t="shared" si="52"/>
        <v>370754</v>
      </c>
      <c r="AF38" s="100">
        <f t="shared" si="52"/>
        <v>48566</v>
      </c>
      <c r="AG38" s="100">
        <f t="shared" si="52"/>
        <v>29382</v>
      </c>
      <c r="AH38" s="100">
        <f t="shared" si="52"/>
        <v>28841</v>
      </c>
      <c r="AI38" s="100">
        <f t="shared" si="52"/>
        <v>42471</v>
      </c>
      <c r="AJ38" s="100">
        <f t="shared" si="52"/>
        <v>223336</v>
      </c>
      <c r="AK38" s="100">
        <f t="shared" si="52"/>
        <v>211382</v>
      </c>
      <c r="AL38" s="100">
        <f t="shared" si="52"/>
        <v>251243</v>
      </c>
      <c r="AM38" s="100">
        <f t="shared" si="52"/>
        <v>575882</v>
      </c>
      <c r="AN38" s="100">
        <f t="shared" si="52"/>
        <v>337700</v>
      </c>
      <c r="AO38" s="100">
        <f t="shared" si="52"/>
        <v>375982</v>
      </c>
      <c r="AP38" s="100">
        <f t="shared" si="52"/>
        <v>374145</v>
      </c>
      <c r="AQ38" s="100">
        <f t="shared" si="52"/>
        <v>375754</v>
      </c>
      <c r="AR38" s="100">
        <f t="shared" si="52"/>
        <v>5800</v>
      </c>
      <c r="AS38" s="100">
        <f t="shared" si="52"/>
        <v>9600.004708</v>
      </c>
      <c r="AT38" s="100">
        <f t="shared" si="52"/>
        <v>5900</v>
      </c>
      <c r="AU38" s="100">
        <f t="shared" si="52"/>
        <v>4350</v>
      </c>
      <c r="AV38" s="100">
        <f t="shared" si="52"/>
        <v>2600</v>
      </c>
      <c r="AW38" s="100">
        <f t="shared" si="52"/>
        <v>2300</v>
      </c>
      <c r="AX38" s="100">
        <f t="shared" si="52"/>
        <v>2150</v>
      </c>
      <c r="AY38" s="100">
        <f t="shared" si="52"/>
        <v>2150</v>
      </c>
      <c r="AZ38" s="100">
        <f t="shared" si="52"/>
        <v>2400</v>
      </c>
      <c r="BA38" s="100">
        <f t="shared" si="52"/>
        <v>84135</v>
      </c>
      <c r="BB38" s="100">
        <f t="shared" si="52"/>
        <v>13057</v>
      </c>
      <c r="BC38" s="100">
        <f t="shared" si="52"/>
        <v>11632</v>
      </c>
      <c r="BD38" s="100">
        <f t="shared" si="52"/>
        <v>86841</v>
      </c>
      <c r="BE38" s="100">
        <f t="shared" si="52"/>
        <v>123294</v>
      </c>
      <c r="BF38" s="100">
        <f t="shared" si="52"/>
        <v>128649</v>
      </c>
      <c r="BG38" s="100">
        <f t="shared" si="52"/>
        <v>138789</v>
      </c>
      <c r="BH38" s="100">
        <f t="shared" si="52"/>
        <v>93009</v>
      </c>
      <c r="BI38" s="100">
        <f t="shared" si="52"/>
        <v>183618</v>
      </c>
      <c r="BJ38" s="100">
        <f t="shared" si="52"/>
        <v>-271327</v>
      </c>
      <c r="BK38" s="100">
        <f t="shared" si="52"/>
        <v>-271327</v>
      </c>
      <c r="BL38" s="100">
        <f t="shared" si="52"/>
        <v>-271327</v>
      </c>
      <c r="BM38" s="100">
        <f t="shared" si="52"/>
        <v>94185</v>
      </c>
      <c r="BN38" s="100">
        <f t="shared" si="52"/>
        <v>39820</v>
      </c>
      <c r="BO38" s="100">
        <f t="shared" si="52"/>
        <v>0</v>
      </c>
      <c r="BP38" s="100">
        <f t="shared" si="52"/>
        <v>374699</v>
      </c>
      <c r="BQ38" s="100">
        <f t="shared" si="52"/>
        <v>356624</v>
      </c>
      <c r="BR38" s="100">
        <f t="shared" si="52"/>
        <v>487082</v>
      </c>
      <c r="BS38" s="100">
        <f t="shared" si="52"/>
        <v>429313</v>
      </c>
      <c r="BT38" s="100">
        <f t="shared" si="52"/>
        <v>481627</v>
      </c>
      <c r="BU38" s="100">
        <f t="shared" si="52"/>
        <v>479122</v>
      </c>
      <c r="BV38" s="100">
        <f t="shared" si="52"/>
        <v>529954</v>
      </c>
      <c r="BW38" s="100">
        <f t="shared" si="52"/>
        <v>572841</v>
      </c>
      <c r="BX38" s="100">
        <f t="shared" si="52"/>
        <v>575771</v>
      </c>
      <c r="BY38" s="100">
        <f t="shared" si="52"/>
        <v>0</v>
      </c>
      <c r="BZ38" s="100">
        <f t="shared" si="52"/>
        <v>0</v>
      </c>
      <c r="CA38" s="100">
        <f t="shared" si="52"/>
        <v>0</v>
      </c>
      <c r="CB38" s="100">
        <f t="shared" si="52"/>
        <v>910683</v>
      </c>
      <c r="CC38" s="100">
        <f t="shared" si="52"/>
        <v>1076785</v>
      </c>
      <c r="CD38" s="100">
        <f t="shared" si="52"/>
        <v>1562796</v>
      </c>
      <c r="CE38" s="100">
        <f t="shared" si="52"/>
        <v>1184045</v>
      </c>
      <c r="CF38" s="100">
        <f t="shared" si="52"/>
        <v>1061543</v>
      </c>
      <c r="CG38" s="100">
        <f t="shared" si="52"/>
        <v>1066813</v>
      </c>
      <c r="CH38" s="100">
        <f t="shared" si="52"/>
        <v>1059430</v>
      </c>
      <c r="CI38" s="100">
        <f t="shared" si="52"/>
        <v>957122</v>
      </c>
      <c r="CJ38" s="100">
        <f t="shared" si="52"/>
        <v>1044391</v>
      </c>
      <c r="CK38" s="100">
        <f t="shared" si="52"/>
        <v>1159744</v>
      </c>
      <c r="CL38" s="100">
        <f t="shared" si="52"/>
        <v>933426</v>
      </c>
      <c r="CM38" s="100">
        <f t="shared" si="52"/>
        <v>1199024</v>
      </c>
      <c r="CN38" s="100">
        <f t="shared" si="52"/>
        <v>0</v>
      </c>
      <c r="CO38" s="100">
        <f t="shared" si="52"/>
        <v>0</v>
      </c>
    </row>
    <row r="39" ht="14.25" customHeight="1">
      <c r="A39" s="149"/>
      <c r="B39" s="150"/>
      <c r="C39" s="123"/>
      <c r="D39" s="123"/>
      <c r="E39" s="19"/>
      <c r="F39" s="153" t="s">
        <v>39</v>
      </c>
      <c r="G39" s="154"/>
      <c r="H39" s="155" t="str">
        <f t="shared" ref="H39:I39" si="53">IF($F$4&gt;=H$3,AO39,BA39)</f>
        <v>#REF!</v>
      </c>
      <c r="I39" s="156" t="str">
        <f t="shared" si="53"/>
        <v>#REF!</v>
      </c>
      <c r="J39" s="156">
        <v>16502.0</v>
      </c>
      <c r="K39" s="156">
        <v>16704.0</v>
      </c>
      <c r="L39" s="156">
        <v>17434.0</v>
      </c>
      <c r="M39" s="156">
        <v>19913.0</v>
      </c>
      <c r="N39" s="157" t="str">
        <f>IF($F$4&gt;=N$3,AU39,BG39)</f>
        <v>#REF!</v>
      </c>
      <c r="O39" s="156">
        <v>16415.0</v>
      </c>
      <c r="P39" s="156">
        <v>19133.0</v>
      </c>
      <c r="Q39" s="158">
        <v>17434.0</v>
      </c>
      <c r="R39" s="156">
        <v>16749.0</v>
      </c>
      <c r="S39" s="159">
        <v>17507.0</v>
      </c>
      <c r="T39" s="160">
        <v>13889.0</v>
      </c>
      <c r="U39" s="156">
        <v>14764.0</v>
      </c>
      <c r="V39" s="156">
        <v>13938.0</v>
      </c>
      <c r="W39" s="156">
        <v>13608.0</v>
      </c>
      <c r="X39" s="156">
        <v>14131.0</v>
      </c>
      <c r="Y39" s="156"/>
      <c r="Z39" s="156"/>
      <c r="AA39" s="157">
        <f t="shared" ref="AA39:AE39" si="54">AA29+AA38</f>
        <v>0</v>
      </c>
      <c r="AB39" s="157">
        <f t="shared" si="54"/>
        <v>1534615</v>
      </c>
      <c r="AC39" s="157">
        <f t="shared" si="54"/>
        <v>1024056</v>
      </c>
      <c r="AD39" s="157">
        <f t="shared" si="54"/>
        <v>751306</v>
      </c>
      <c r="AE39" s="157">
        <f t="shared" si="54"/>
        <v>740545</v>
      </c>
      <c r="AF39" s="157">
        <f>'予測PL'!C37</f>
        <v>1027636</v>
      </c>
      <c r="AG39" s="157">
        <f>'予測PL'!D37</f>
        <v>902554</v>
      </c>
      <c r="AH39" s="157">
        <f>'予測PL'!E37</f>
        <v>913427</v>
      </c>
      <c r="AI39" s="157">
        <f>'予測PL'!F37</f>
        <v>973684</v>
      </c>
      <c r="AJ39" s="157">
        <f>'予測PL'!G37</f>
        <v>981754</v>
      </c>
      <c r="AK39" s="157">
        <f>'予測PL'!H37</f>
        <v>858504</v>
      </c>
      <c r="AL39" s="157">
        <f>'予測PL'!I37</f>
        <v>940434</v>
      </c>
      <c r="AM39" s="157">
        <f>'予測PL'!J37</f>
        <v>1208046</v>
      </c>
      <c r="AN39" s="157">
        <f>'予測PL'!K37</f>
        <v>1124363</v>
      </c>
      <c r="AO39" s="157">
        <f>'予測PL'!L37</f>
        <v>1024056</v>
      </c>
      <c r="AP39" s="157">
        <f>'予測PL'!M37</f>
        <v>751306</v>
      </c>
      <c r="AQ39" s="157">
        <f>'予測PL'!N37</f>
        <v>740545</v>
      </c>
      <c r="AR39" s="157">
        <f t="shared" ref="AR39:CO39" si="55">AR29+AR38</f>
        <v>292192</v>
      </c>
      <c r="AS39" s="157">
        <f t="shared" si="55"/>
        <v>221418.0047</v>
      </c>
      <c r="AT39" s="157">
        <f t="shared" si="55"/>
        <v>317718</v>
      </c>
      <c r="AU39" s="157">
        <f t="shared" si="55"/>
        <v>261623</v>
      </c>
      <c r="AV39" s="157">
        <f t="shared" si="55"/>
        <v>259873</v>
      </c>
      <c r="AW39" s="157">
        <f t="shared" si="55"/>
        <v>259573</v>
      </c>
      <c r="AX39" s="157">
        <f t="shared" si="55"/>
        <v>304877</v>
      </c>
      <c r="AY39" s="157">
        <f t="shared" si="55"/>
        <v>304877</v>
      </c>
      <c r="AZ39" s="157">
        <f t="shared" si="55"/>
        <v>305127</v>
      </c>
      <c r="BA39" s="157">
        <f t="shared" si="55"/>
        <v>386862</v>
      </c>
      <c r="BB39" s="157">
        <f t="shared" si="55"/>
        <v>315784</v>
      </c>
      <c r="BC39" s="157">
        <f t="shared" si="55"/>
        <v>314359</v>
      </c>
      <c r="BD39" s="157">
        <f t="shared" si="55"/>
        <v>344114</v>
      </c>
      <c r="BE39" s="157">
        <f t="shared" si="55"/>
        <v>380567</v>
      </c>
      <c r="BF39" s="157">
        <f t="shared" si="55"/>
        <v>485922</v>
      </c>
      <c r="BG39" s="157">
        <f t="shared" si="55"/>
        <v>396062</v>
      </c>
      <c r="BH39" s="157">
        <f t="shared" si="55"/>
        <v>350282</v>
      </c>
      <c r="BI39" s="157">
        <f t="shared" si="55"/>
        <v>440891</v>
      </c>
      <c r="BJ39" s="157">
        <f t="shared" si="55"/>
        <v>31400</v>
      </c>
      <c r="BK39" s="157">
        <f t="shared" si="55"/>
        <v>31400</v>
      </c>
      <c r="BL39" s="157">
        <f t="shared" si="55"/>
        <v>31400</v>
      </c>
      <c r="BM39" s="157">
        <f t="shared" si="55"/>
        <v>124185</v>
      </c>
      <c r="BN39" s="157">
        <f t="shared" si="55"/>
        <v>69820</v>
      </c>
      <c r="BO39" s="157">
        <f t="shared" si="55"/>
        <v>0</v>
      </c>
      <c r="BP39" s="157">
        <f t="shared" si="55"/>
        <v>3574569</v>
      </c>
      <c r="BQ39" s="157">
        <f t="shared" si="55"/>
        <v>3667371</v>
      </c>
      <c r="BR39" s="157">
        <f t="shared" si="55"/>
        <v>3601356</v>
      </c>
      <c r="BS39" s="157">
        <f t="shared" si="55"/>
        <v>4197394</v>
      </c>
      <c r="BT39" s="157">
        <f t="shared" si="55"/>
        <v>3982018</v>
      </c>
      <c r="BU39" s="157">
        <f t="shared" si="55"/>
        <v>3796108</v>
      </c>
      <c r="BV39" s="157">
        <f t="shared" si="55"/>
        <v>3258457</v>
      </c>
      <c r="BW39" s="157">
        <f t="shared" si="55"/>
        <v>3604547</v>
      </c>
      <c r="BX39" s="157">
        <f t="shared" si="55"/>
        <v>5368005</v>
      </c>
      <c r="BY39" s="157">
        <f t="shared" si="55"/>
        <v>0</v>
      </c>
      <c r="BZ39" s="157">
        <f t="shared" si="55"/>
        <v>0</v>
      </c>
      <c r="CA39" s="157">
        <f t="shared" si="55"/>
        <v>0</v>
      </c>
      <c r="CB39" s="157">
        <f t="shared" si="55"/>
        <v>4493510</v>
      </c>
      <c r="CC39" s="157">
        <f t="shared" si="55"/>
        <v>4413902</v>
      </c>
      <c r="CD39" s="157">
        <f t="shared" si="55"/>
        <v>5022515</v>
      </c>
      <c r="CE39" s="157">
        <f t="shared" si="55"/>
        <v>5706960</v>
      </c>
      <c r="CF39" s="157">
        <f t="shared" si="55"/>
        <v>4650873</v>
      </c>
      <c r="CG39" s="157">
        <f t="shared" si="55"/>
        <v>4582822</v>
      </c>
      <c r="CH39" s="157">
        <f t="shared" si="55"/>
        <v>4576471</v>
      </c>
      <c r="CI39" s="157">
        <f t="shared" si="55"/>
        <v>4047922</v>
      </c>
      <c r="CJ39" s="157">
        <f t="shared" si="55"/>
        <v>4105114</v>
      </c>
      <c r="CK39" s="157">
        <f t="shared" si="55"/>
        <v>4399115</v>
      </c>
      <c r="CL39" s="157">
        <f t="shared" si="55"/>
        <v>4073139</v>
      </c>
      <c r="CM39" s="157">
        <f t="shared" si="55"/>
        <v>4912207</v>
      </c>
      <c r="CN39" s="157">
        <f t="shared" si="55"/>
        <v>0</v>
      </c>
      <c r="CO39" s="157">
        <f t="shared" si="55"/>
        <v>0</v>
      </c>
    </row>
    <row r="40" ht="14.25" customHeight="1">
      <c r="A40" s="112" t="s">
        <v>23</v>
      </c>
      <c r="B40" s="113"/>
      <c r="C40" s="123"/>
      <c r="D40" s="123"/>
      <c r="E40" s="19"/>
      <c r="F40" s="161" t="s">
        <v>40</v>
      </c>
      <c r="G40" s="162"/>
      <c r="H40" s="163" t="str">
        <f t="shared" ref="H40:I40" si="56">+H22-H39</f>
        <v>#REF!</v>
      </c>
      <c r="I40" s="164" t="str">
        <f t="shared" si="56"/>
        <v>#REF!</v>
      </c>
      <c r="J40" s="164">
        <v>-1738.0</v>
      </c>
      <c r="K40" s="164">
        <v>-134.0</v>
      </c>
      <c r="L40" s="164">
        <v>209.0</v>
      </c>
      <c r="M40" s="164">
        <v>4933.0</v>
      </c>
      <c r="N40" s="165" t="str">
        <f>+N22-N39</f>
        <v>#REF!</v>
      </c>
      <c r="O40" s="164">
        <v>-481.0</v>
      </c>
      <c r="P40" s="164">
        <v>3479.0</v>
      </c>
      <c r="Q40" s="166">
        <v>-744.0</v>
      </c>
      <c r="R40" s="164">
        <v>-619.0</v>
      </c>
      <c r="S40" s="167">
        <v>-640.0</v>
      </c>
      <c r="T40" s="168">
        <v>-1385.0</v>
      </c>
      <c r="U40" s="164">
        <v>676.0</v>
      </c>
      <c r="V40" s="164">
        <v>422.0</v>
      </c>
      <c r="W40" s="164">
        <v>343.0</v>
      </c>
      <c r="X40" s="164">
        <v>-345.0</v>
      </c>
      <c r="Y40" s="164"/>
      <c r="Z40" s="164"/>
      <c r="AA40" s="165">
        <f t="shared" ref="AA40:CO40" si="57">+AA22-AA39</f>
        <v>0</v>
      </c>
      <c r="AB40" s="165">
        <f t="shared" si="57"/>
        <v>-307230</v>
      </c>
      <c r="AC40" s="165">
        <f t="shared" si="57"/>
        <v>-243903</v>
      </c>
      <c r="AD40" s="165">
        <f t="shared" si="57"/>
        <v>-237100</v>
      </c>
      <c r="AE40" s="165">
        <f t="shared" si="57"/>
        <v>-406190</v>
      </c>
      <c r="AF40" s="165">
        <f t="shared" si="57"/>
        <v>-72269</v>
      </c>
      <c r="AG40" s="165">
        <f t="shared" si="57"/>
        <v>-84248</v>
      </c>
      <c r="AH40" s="165">
        <f t="shared" si="57"/>
        <v>-152889</v>
      </c>
      <c r="AI40" s="165">
        <f t="shared" si="57"/>
        <v>-70507</v>
      </c>
      <c r="AJ40" s="165">
        <f t="shared" si="57"/>
        <v>-60071</v>
      </c>
      <c r="AK40" s="165">
        <f t="shared" si="57"/>
        <v>-51982</v>
      </c>
      <c r="AL40" s="165">
        <f t="shared" si="57"/>
        <v>-117948</v>
      </c>
      <c r="AM40" s="165">
        <f t="shared" si="57"/>
        <v>-414739</v>
      </c>
      <c r="AN40" s="165">
        <f t="shared" si="57"/>
        <v>-223749</v>
      </c>
      <c r="AO40" s="165">
        <f t="shared" si="57"/>
        <v>-243903</v>
      </c>
      <c r="AP40" s="165">
        <f t="shared" si="57"/>
        <v>-237100</v>
      </c>
      <c r="AQ40" s="165">
        <f t="shared" si="57"/>
        <v>-406190</v>
      </c>
      <c r="AR40" s="165">
        <f t="shared" si="57"/>
        <v>-292192</v>
      </c>
      <c r="AS40" s="165">
        <f t="shared" si="57"/>
        <v>-187409.0047</v>
      </c>
      <c r="AT40" s="165">
        <f t="shared" si="57"/>
        <v>-298582</v>
      </c>
      <c r="AU40" s="165">
        <f t="shared" si="57"/>
        <v>58216</v>
      </c>
      <c r="AV40" s="165">
        <f t="shared" si="57"/>
        <v>-6664</v>
      </c>
      <c r="AW40" s="165">
        <f t="shared" si="57"/>
        <v>8105</v>
      </c>
      <c r="AX40" s="165">
        <f t="shared" si="57"/>
        <v>47768</v>
      </c>
      <c r="AY40" s="165">
        <f t="shared" si="57"/>
        <v>-62679</v>
      </c>
      <c r="AZ40" s="165">
        <f t="shared" si="57"/>
        <v>8295</v>
      </c>
      <c r="BA40" s="165">
        <f t="shared" si="57"/>
        <v>-219821</v>
      </c>
      <c r="BB40" s="165">
        <f t="shared" si="57"/>
        <v>-93013</v>
      </c>
      <c r="BC40" s="165">
        <f t="shared" si="57"/>
        <v>-7060</v>
      </c>
      <c r="BD40" s="165">
        <f t="shared" si="57"/>
        <v>115383</v>
      </c>
      <c r="BE40" s="165">
        <f t="shared" si="57"/>
        <v>-34178</v>
      </c>
      <c r="BF40" s="165">
        <f t="shared" si="57"/>
        <v>-138324</v>
      </c>
      <c r="BG40" s="165">
        <f t="shared" si="57"/>
        <v>-74243</v>
      </c>
      <c r="BH40" s="165">
        <f t="shared" si="57"/>
        <v>-54259</v>
      </c>
      <c r="BI40" s="165">
        <f t="shared" si="57"/>
        <v>-166351</v>
      </c>
      <c r="BJ40" s="165">
        <f t="shared" si="57"/>
        <v>-31400</v>
      </c>
      <c r="BK40" s="165">
        <f t="shared" si="57"/>
        <v>-31400</v>
      </c>
      <c r="BL40" s="165">
        <f t="shared" si="57"/>
        <v>-31400</v>
      </c>
      <c r="BM40" s="165">
        <f t="shared" si="57"/>
        <v>193997</v>
      </c>
      <c r="BN40" s="165">
        <f t="shared" si="57"/>
        <v>-69820</v>
      </c>
      <c r="BO40" s="165">
        <f t="shared" si="57"/>
        <v>0</v>
      </c>
      <c r="BP40" s="165">
        <f t="shared" si="57"/>
        <v>-406972</v>
      </c>
      <c r="BQ40" s="165">
        <f t="shared" si="57"/>
        <v>-244843</v>
      </c>
      <c r="BR40" s="165">
        <f t="shared" si="57"/>
        <v>-746557</v>
      </c>
      <c r="BS40" s="165">
        <f t="shared" si="57"/>
        <v>-680451</v>
      </c>
      <c r="BT40" s="165">
        <f t="shared" si="57"/>
        <v>-1113282</v>
      </c>
      <c r="BU40" s="165">
        <f t="shared" si="57"/>
        <v>-1210636</v>
      </c>
      <c r="BV40" s="165">
        <f t="shared" si="57"/>
        <v>-748440</v>
      </c>
      <c r="BW40" s="165">
        <f t="shared" si="57"/>
        <v>-1078487</v>
      </c>
      <c r="BX40" s="165">
        <f t="shared" si="57"/>
        <v>-2247691</v>
      </c>
      <c r="BY40" s="165">
        <f t="shared" si="57"/>
        <v>0</v>
      </c>
      <c r="BZ40" s="165">
        <f t="shared" si="57"/>
        <v>0</v>
      </c>
      <c r="CA40" s="165">
        <f t="shared" si="57"/>
        <v>0</v>
      </c>
      <c r="CB40" s="165">
        <f t="shared" si="57"/>
        <v>-950897</v>
      </c>
      <c r="CC40" s="165">
        <f t="shared" si="57"/>
        <v>1411070</v>
      </c>
      <c r="CD40" s="165">
        <f t="shared" si="57"/>
        <v>-1487208</v>
      </c>
      <c r="CE40" s="165">
        <f t="shared" si="57"/>
        <v>-2102704</v>
      </c>
      <c r="CF40" s="165">
        <f t="shared" si="57"/>
        <v>-786704</v>
      </c>
      <c r="CG40" s="165">
        <f t="shared" si="57"/>
        <v>-1044271</v>
      </c>
      <c r="CH40" s="165">
        <f t="shared" si="57"/>
        <v>-940180</v>
      </c>
      <c r="CI40" s="165">
        <f t="shared" si="57"/>
        <v>488152</v>
      </c>
      <c r="CJ40" s="165">
        <f t="shared" si="57"/>
        <v>607948</v>
      </c>
      <c r="CK40" s="165">
        <f t="shared" si="57"/>
        <v>1318514</v>
      </c>
      <c r="CL40" s="165">
        <f t="shared" si="57"/>
        <v>-781165</v>
      </c>
      <c r="CM40" s="165">
        <f t="shared" si="57"/>
        <v>-735143</v>
      </c>
      <c r="CN40" s="165">
        <f t="shared" si="57"/>
        <v>0</v>
      </c>
      <c r="CO40" s="165">
        <f t="shared" si="57"/>
        <v>0</v>
      </c>
    </row>
    <row r="41" ht="14.25" customHeight="1">
      <c r="A41" s="143"/>
      <c r="B41" s="144" t="s">
        <v>24</v>
      </c>
      <c r="C41" s="123"/>
      <c r="D41" s="123"/>
      <c r="E41" s="19"/>
      <c r="F41" s="169" t="s">
        <v>41</v>
      </c>
      <c r="G41" s="170"/>
      <c r="H41" s="171" t="str">
        <f t="shared" ref="H41:I41" si="58">IF($F$4&gt;=H$3,AO41,+$A41+H42+H43)</f>
        <v>#REF!</v>
      </c>
      <c r="I41" s="172" t="str">
        <f t="shared" si="58"/>
        <v>#REF!</v>
      </c>
      <c r="J41" s="172">
        <v>0.0</v>
      </c>
      <c r="K41" s="172">
        <v>102.0</v>
      </c>
      <c r="L41" s="172">
        <v>570.0</v>
      </c>
      <c r="M41" s="172">
        <v>196.0</v>
      </c>
      <c r="N41" s="173" t="str">
        <f>IF($F$4&gt;=N$3,AU41,+$A41+N42+N43)</f>
        <v>#REF!</v>
      </c>
      <c r="O41" s="172">
        <v>180.0</v>
      </c>
      <c r="P41" s="172">
        <v>0.0</v>
      </c>
      <c r="Q41" s="174">
        <v>93.0</v>
      </c>
      <c r="R41" s="172">
        <v>0.0</v>
      </c>
      <c r="S41" s="175">
        <v>0.0</v>
      </c>
      <c r="T41" s="176">
        <v>38.0</v>
      </c>
      <c r="U41" s="172">
        <v>0.0</v>
      </c>
      <c r="V41" s="172">
        <v>0.0</v>
      </c>
      <c r="W41" s="172">
        <v>0.0</v>
      </c>
      <c r="X41" s="172">
        <v>0.0</v>
      </c>
      <c r="Y41" s="172"/>
      <c r="Z41" s="172"/>
      <c r="AA41" s="173"/>
      <c r="AB41" s="173" t="str">
        <f>'予測PL'!K39</f>
        <v/>
      </c>
      <c r="AC41" s="173" t="str">
        <f>'予測PL'!L39</f>
        <v/>
      </c>
      <c r="AD41" s="173" t="str">
        <f>'予測PL'!M39</f>
        <v/>
      </c>
      <c r="AE41" s="173" t="str">
        <f>'予測PL'!N39</f>
        <v/>
      </c>
      <c r="AF41" s="46">
        <f>'予測PL'!C41</f>
        <v>2019000</v>
      </c>
      <c r="AG41" s="46">
        <f>'予測PL'!D41</f>
        <v>7339</v>
      </c>
      <c r="AH41" s="46">
        <f>'予測PL'!E41</f>
        <v>149788</v>
      </c>
      <c r="AI41" s="46">
        <f>'予測PL'!F41</f>
        <v>100000</v>
      </c>
      <c r="AJ41" s="46" t="str">
        <f>'予測PL'!G41</f>
        <v/>
      </c>
      <c r="AK41" s="46" t="str">
        <f>'予測PL'!H41</f>
        <v/>
      </c>
      <c r="AL41" s="46" t="str">
        <f>'予測PL'!I41</f>
        <v/>
      </c>
      <c r="AM41" s="46">
        <f>'予測PL'!J41</f>
        <v>30</v>
      </c>
      <c r="AN41" s="46" t="str">
        <f>'予測PL'!K41</f>
        <v/>
      </c>
      <c r="AO41" s="46" t="str">
        <f>'予測PL'!L41</f>
        <v/>
      </c>
      <c r="AP41" s="46" t="str">
        <f>'予測PL'!M41</f>
        <v/>
      </c>
      <c r="AQ41" s="46" t="str">
        <f>'予測PL'!N41</f>
        <v/>
      </c>
      <c r="AR41" s="46">
        <f>'予測PL (2021)'!C41</f>
        <v>200000</v>
      </c>
      <c r="AS41" s="46">
        <f>'予測PL (2021)'!D41</f>
        <v>200034</v>
      </c>
      <c r="AT41" s="46">
        <f>'予測PL (2021)'!E41</f>
        <v>200000</v>
      </c>
      <c r="AU41" s="46">
        <f>'予測PL (2021)'!F41</f>
        <v>400000</v>
      </c>
      <c r="AV41" s="46" t="str">
        <f>'予測PL (2021)'!G41</f>
        <v/>
      </c>
      <c r="AW41" s="46" t="str">
        <f>'予測PL (2021)'!H41</f>
        <v/>
      </c>
      <c r="AX41" s="46" t="str">
        <f>'予測PL (2021)'!I41</f>
        <v/>
      </c>
      <c r="AY41" s="46">
        <f>'予測PL (2021)'!J41</f>
        <v>30</v>
      </c>
      <c r="AZ41" s="46" t="str">
        <f>'予測PL (2021)'!K41</f>
        <v/>
      </c>
      <c r="BA41" s="46" t="str">
        <f>'予測PL (2021)'!L41</f>
        <v/>
      </c>
      <c r="BB41" s="46">
        <f>'予測PL (2021)'!M41</f>
        <v>1000000</v>
      </c>
      <c r="BC41" s="46" t="str">
        <f>'予測PL (2021)'!N41</f>
        <v/>
      </c>
      <c r="BD41" s="46" t="str">
        <f>'予測PL'!AA41</f>
        <v/>
      </c>
      <c r="BE41" s="46" t="str">
        <f>'予測PL'!AB41</f>
        <v/>
      </c>
      <c r="BF41" s="46" t="str">
        <f>'予測PL'!AC41</f>
        <v/>
      </c>
      <c r="BG41" s="46" t="str">
        <f>'予測PL'!AD41</f>
        <v/>
      </c>
      <c r="BH41" s="46" t="str">
        <f>'予測PL'!AE41</f>
        <v/>
      </c>
      <c r="BI41" s="46" t="str">
        <f>'予測PL'!AF41</f>
        <v/>
      </c>
      <c r="BJ41" s="46" t="str">
        <f>'予測PL'!AG41</f>
        <v/>
      </c>
      <c r="BK41" s="46" t="str">
        <f>'予測PL'!AH41</f>
        <v/>
      </c>
      <c r="BL41" s="46" t="str">
        <f>'予測PL'!AI41</f>
        <v/>
      </c>
      <c r="BM41" s="46" t="str">
        <f>'予測PL'!AJ41</f>
        <v/>
      </c>
      <c r="BN41" s="46" t="str">
        <f>'予測PL'!AK41</f>
        <v/>
      </c>
      <c r="BO41" s="46">
        <v>54.0</v>
      </c>
      <c r="BP41" s="46">
        <f>'予測PL (2024)'!C46</f>
        <v>77636</v>
      </c>
      <c r="BQ41" s="46">
        <f>'予測PL (2024)'!D46</f>
        <v>78459</v>
      </c>
      <c r="BR41" s="46">
        <f>'予測PL (2024)'!E46</f>
        <v>67823</v>
      </c>
      <c r="BS41" s="46">
        <f>'予測PL (2024)'!F46</f>
        <v>75273</v>
      </c>
      <c r="BT41" s="46">
        <f>'予測PL (2024)'!G46</f>
        <v>67636</v>
      </c>
      <c r="BU41" s="46">
        <f>'予測PL (2024)'!H46</f>
        <v>63273</v>
      </c>
      <c r="BV41" s="46">
        <f>'予測PL (2024)'!I46</f>
        <v>59091</v>
      </c>
      <c r="BW41" s="46">
        <f>'予測PL (2024)'!J46</f>
        <v>51561</v>
      </c>
      <c r="BX41" s="46">
        <f>'予測PL (2024)'!K46</f>
        <v>63273</v>
      </c>
      <c r="BY41" s="46" t="str">
        <f>'予測PL (2024)'!L46</f>
        <v/>
      </c>
      <c r="BZ41" s="46" t="str">
        <f>'予測PL (2024)'!M46</f>
        <v/>
      </c>
      <c r="CA41" s="46" t="str">
        <f>'予測PL (2024)'!N46</f>
        <v/>
      </c>
      <c r="CB41" s="46">
        <f>'予測PL (2025.04-)'!C46</f>
        <v>19444</v>
      </c>
      <c r="CC41" s="46">
        <f>'予測PL (2025.04-)'!D46</f>
        <v>179264</v>
      </c>
      <c r="CD41" s="46">
        <f>'予測PL (2025.04-)'!E46</f>
        <v>155</v>
      </c>
      <c r="CE41" s="46">
        <f>'予測PL (2025.04-)'!F46</f>
        <v>101047</v>
      </c>
      <c r="CF41" s="46">
        <f>'予測PL (2025.04-)'!G46</f>
        <v>2783</v>
      </c>
      <c r="CG41" s="46">
        <f>'予測PL (2025.04-)'!H46</f>
        <v>0</v>
      </c>
      <c r="CH41" s="46">
        <f>'予測PL (2025.04-)'!I46</f>
        <v>0</v>
      </c>
      <c r="CI41" s="46">
        <f>'予測PL (2025.04-)'!J46</f>
        <v>0</v>
      </c>
      <c r="CJ41" s="46">
        <f>'予測PL (2025.04-)'!K46</f>
        <v>0</v>
      </c>
      <c r="CK41" s="46">
        <f>'予測PL (2025.04-)'!L46</f>
        <v>1400000</v>
      </c>
      <c r="CL41" s="46">
        <f>'予測PL (2025.04-)'!M46</f>
        <v>2033</v>
      </c>
      <c r="CM41" s="46">
        <f>'予測PL (2025.04-)'!N46</f>
        <v>0</v>
      </c>
      <c r="CN41" s="46"/>
      <c r="CO41" s="46"/>
    </row>
    <row r="42" ht="14.25" customHeight="1">
      <c r="A42" s="143"/>
      <c r="B42" s="144"/>
      <c r="C42" s="123"/>
      <c r="D42" s="123"/>
      <c r="E42" s="19"/>
      <c r="F42" s="177"/>
      <c r="G42" s="178"/>
      <c r="H42" s="179"/>
      <c r="I42" s="180"/>
      <c r="J42" s="180"/>
      <c r="K42" s="180"/>
      <c r="L42" s="180"/>
      <c r="M42" s="180"/>
      <c r="N42" s="181"/>
      <c r="O42" s="180"/>
      <c r="P42" s="180"/>
      <c r="Q42" s="182"/>
      <c r="R42" s="180"/>
      <c r="S42" s="183"/>
      <c r="T42" s="184">
        <v>0.0</v>
      </c>
      <c r="U42" s="180">
        <v>0.0</v>
      </c>
      <c r="V42" s="180">
        <v>0.0</v>
      </c>
      <c r="W42" s="180">
        <v>0.0</v>
      </c>
      <c r="X42" s="180">
        <v>0.0</v>
      </c>
      <c r="Y42" s="180"/>
      <c r="Z42" s="180"/>
      <c r="AA42" s="181">
        <v>0.0</v>
      </c>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row>
    <row r="43" ht="14.25" customHeight="1">
      <c r="A43" s="143"/>
      <c r="B43" s="144"/>
      <c r="C43" s="123"/>
      <c r="D43" s="123"/>
      <c r="E43" s="19"/>
      <c r="F43" s="177"/>
      <c r="G43" s="185"/>
      <c r="H43" s="186"/>
      <c r="I43" s="187"/>
      <c r="J43" s="187"/>
      <c r="K43" s="187"/>
      <c r="L43" s="187"/>
      <c r="M43" s="187"/>
      <c r="N43" s="188"/>
      <c r="O43" s="187"/>
      <c r="P43" s="187"/>
      <c r="Q43" s="189"/>
      <c r="R43" s="187"/>
      <c r="S43" s="190"/>
      <c r="T43" s="191">
        <v>0.0</v>
      </c>
      <c r="U43" s="187">
        <v>0.0</v>
      </c>
      <c r="V43" s="187">
        <v>0.0</v>
      </c>
      <c r="W43" s="187">
        <v>0.0</v>
      </c>
      <c r="X43" s="187">
        <v>0.0</v>
      </c>
      <c r="Y43" s="187"/>
      <c r="Z43" s="187"/>
      <c r="AA43" s="188">
        <v>0.0</v>
      </c>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c r="BQ43" s="188"/>
      <c r="BR43" s="188"/>
      <c r="BS43" s="188"/>
      <c r="BT43" s="188"/>
      <c r="BU43" s="188"/>
      <c r="BV43" s="188"/>
      <c r="BW43" s="188"/>
      <c r="BX43" s="188"/>
      <c r="BY43" s="188"/>
      <c r="BZ43" s="188"/>
      <c r="CA43" s="188"/>
      <c r="CB43" s="188"/>
      <c r="CC43" s="188"/>
      <c r="CD43" s="188"/>
      <c r="CE43" s="188"/>
      <c r="CF43" s="188"/>
      <c r="CG43" s="188"/>
      <c r="CH43" s="188"/>
      <c r="CI43" s="188"/>
      <c r="CJ43" s="188"/>
      <c r="CK43" s="188"/>
      <c r="CL43" s="188"/>
      <c r="CM43" s="188"/>
      <c r="CN43" s="188"/>
      <c r="CO43" s="188"/>
    </row>
    <row r="44" ht="14.25" customHeight="1">
      <c r="A44" s="145">
        <v>76.0</v>
      </c>
      <c r="B44" s="146" t="s">
        <v>24</v>
      </c>
      <c r="C44" s="123"/>
      <c r="D44" s="123"/>
      <c r="E44" s="19"/>
      <c r="F44" s="192" t="s">
        <v>42</v>
      </c>
      <c r="G44" s="193"/>
      <c r="H44" s="194" t="str">
        <f t="shared" ref="H44:I44" si="59">IF($F$4&gt;=H$3,AO44,+$A44)</f>
        <v>#REF!</v>
      </c>
      <c r="I44" s="195" t="str">
        <f t="shared" si="59"/>
        <v>#REF!</v>
      </c>
      <c r="J44" s="195">
        <v>58.0</v>
      </c>
      <c r="K44" s="195">
        <v>182.0</v>
      </c>
      <c r="L44" s="195">
        <v>55.0</v>
      </c>
      <c r="M44" s="195">
        <v>99.0</v>
      </c>
      <c r="N44" s="196" t="str">
        <f>IF($F$4&gt;=N$3,AU44,+$A44)</f>
        <v>#REF!</v>
      </c>
      <c r="O44" s="195">
        <v>59.0</v>
      </c>
      <c r="P44" s="195">
        <v>57.0</v>
      </c>
      <c r="Q44" s="197">
        <v>59.0</v>
      </c>
      <c r="R44" s="195">
        <v>44.0</v>
      </c>
      <c r="S44" s="198">
        <v>44.0</v>
      </c>
      <c r="T44" s="199">
        <v>79.0</v>
      </c>
      <c r="U44" s="195">
        <v>103.0</v>
      </c>
      <c r="V44" s="195">
        <v>321.0</v>
      </c>
      <c r="W44" s="195">
        <v>124.0</v>
      </c>
      <c r="X44" s="195">
        <v>77.0</v>
      </c>
      <c r="Y44" s="195"/>
      <c r="Z44" s="195"/>
      <c r="AA44" s="196"/>
      <c r="AB44" s="196"/>
      <c r="AC44" s="196"/>
      <c r="AD44" s="196"/>
      <c r="AE44" s="196"/>
      <c r="AF44" s="196"/>
      <c r="AG44" s="196"/>
      <c r="AH44" s="196"/>
      <c r="AI44" s="196"/>
      <c r="AJ44" s="196"/>
      <c r="AK44" s="196"/>
      <c r="AL44" s="196"/>
      <c r="AM44" s="196"/>
      <c r="AN44" s="196"/>
      <c r="AO44" s="196"/>
      <c r="AP44" s="196"/>
      <c r="AQ44" s="196"/>
      <c r="AR44" s="196">
        <f>'予測PL (2021)'!C39+'予測PL (2021)'!C40</f>
        <v>0</v>
      </c>
      <c r="AS44" s="196">
        <f>'予測PL (2021)'!D39+'予測PL (2021)'!D40</f>
        <v>0</v>
      </c>
      <c r="AT44" s="196">
        <f>'予測PL (2021)'!E39+'予測PL (2021)'!E40</f>
        <v>0</v>
      </c>
      <c r="AU44" s="196">
        <f>'予測PL (2021)'!F39+'予測PL (2021)'!F40</f>
        <v>0</v>
      </c>
      <c r="AV44" s="196">
        <f>'予測PL (2021)'!G39+'予測PL (2021)'!G40</f>
        <v>0</v>
      </c>
      <c r="AW44" s="196">
        <f>'予測PL (2021)'!H39+'予測PL (2021)'!H40</f>
        <v>0</v>
      </c>
      <c r="AX44" s="196">
        <f>'予測PL (2021)'!I39+'予測PL (2021)'!I40</f>
        <v>0</v>
      </c>
      <c r="AY44" s="196">
        <f>'予測PL (2021)'!J39+'予測PL (2021)'!J40</f>
        <v>0</v>
      </c>
      <c r="AZ44" s="196">
        <f>'予測PL (2021)'!K39+'予測PL (2021)'!K40</f>
        <v>0</v>
      </c>
      <c r="BA44" s="196">
        <f>'予測PL (2021)'!L39+'予測PL (2021)'!L40</f>
        <v>0</v>
      </c>
      <c r="BB44" s="196">
        <f>'予測PL (2021)'!M39+'予測PL (2021)'!M40</f>
        <v>0</v>
      </c>
      <c r="BC44" s="196">
        <f>'予測PL (2021)'!N39+'予測PL (2021)'!N40</f>
        <v>0</v>
      </c>
      <c r="BD44" s="196"/>
      <c r="BE44" s="196"/>
      <c r="BF44" s="196"/>
      <c r="BG44" s="196"/>
      <c r="BH44" s="196"/>
      <c r="BI44" s="196"/>
      <c r="BJ44" s="196"/>
      <c r="BK44" s="196"/>
      <c r="BL44" s="196"/>
      <c r="BM44" s="196"/>
      <c r="BN44" s="196"/>
      <c r="BO44" s="196"/>
      <c r="BP44" s="196">
        <f>'予測PL (2024)'!C44+'予測PL (2024)'!C45</f>
        <v>10355</v>
      </c>
      <c r="BQ44" s="196">
        <f>'予測PL (2024)'!D44+'予測PL (2024)'!D45</f>
        <v>0</v>
      </c>
      <c r="BR44" s="196">
        <f>'予測PL (2024)'!E44+'予測PL (2024)'!E45</f>
        <v>9697</v>
      </c>
      <c r="BS44" s="196">
        <f>'予測PL (2024)'!F44+'予測PL (2024)'!F45</f>
        <v>5260</v>
      </c>
      <c r="BT44" s="196">
        <f>'予測PL (2024)'!G44+'予測PL (2024)'!G45</f>
        <v>0</v>
      </c>
      <c r="BU44" s="196">
        <f>'予測PL (2024)'!H44+'予測PL (2024)'!H45</f>
        <v>5753</v>
      </c>
      <c r="BV44" s="196">
        <f>'予測PL (2024)'!I44+'予測PL (2024)'!I45</f>
        <v>8711</v>
      </c>
      <c r="BW44" s="196">
        <f>'予測PL (2024)'!J44+'予測PL (2024)'!J45</f>
        <v>5095</v>
      </c>
      <c r="BX44" s="196">
        <f>'予測PL (2024)'!K44+'予測PL (2024)'!K45</f>
        <v>4931</v>
      </c>
      <c r="BY44" s="196">
        <f>'予測PL (2024)'!L44+'予測PL (2024)'!L45</f>
        <v>0</v>
      </c>
      <c r="BZ44" s="196">
        <f>'予測PL (2024)'!M44+'予測PL (2024)'!M45</f>
        <v>0</v>
      </c>
      <c r="CA44" s="196">
        <f>'予測PL (2024)'!N44+'予測PL (2024)'!N45</f>
        <v>0</v>
      </c>
      <c r="CB44" s="196">
        <f>'予測PL (2025.04-)'!C44</f>
        <v>5424</v>
      </c>
      <c r="CC44" s="196">
        <f>'予測PL (2025.04-)'!D44</f>
        <v>0</v>
      </c>
      <c r="CD44" s="196">
        <f>'予測PL (2025.04-)'!E44</f>
        <v>9697</v>
      </c>
      <c r="CE44" s="196">
        <f>'予測PL (2025.04-)'!F44</f>
        <v>5260</v>
      </c>
      <c r="CF44" s="196">
        <f>'予測PL (2025.04-)'!G44</f>
        <v>0</v>
      </c>
      <c r="CG44" s="196">
        <f>'予測PL (2025.04-)'!H44</f>
        <v>9862</v>
      </c>
      <c r="CH44" s="196">
        <f>'予測PL (2025.04-)'!I44</f>
        <v>5095</v>
      </c>
      <c r="CI44" s="196">
        <f>'予測PL (2025.04-)'!J44</f>
        <v>0</v>
      </c>
      <c r="CJ44" s="196">
        <f>'予測PL (2025.04-)'!K44</f>
        <v>5753</v>
      </c>
      <c r="CK44" s="196">
        <f>'予測PL (2025.04-)'!L44</f>
        <v>4525</v>
      </c>
      <c r="CL44" s="196">
        <f>'予測PL (2025.04-)'!M44</f>
        <v>4448</v>
      </c>
      <c r="CM44" s="196">
        <f>'予測PL (2025.04-)'!N44</f>
        <v>9126</v>
      </c>
      <c r="CN44" s="196"/>
      <c r="CO44" s="196"/>
    </row>
    <row r="45" ht="14.25" customHeight="1">
      <c r="A45" s="112" t="s">
        <v>23</v>
      </c>
      <c r="B45" s="113"/>
      <c r="C45" s="123"/>
      <c r="D45" s="123"/>
      <c r="E45" s="19"/>
      <c r="F45" s="161" t="s">
        <v>43</v>
      </c>
      <c r="G45" s="162"/>
      <c r="H45" s="163" t="str">
        <f t="shared" ref="H45:I45" si="60">+H40+H41-H44</f>
        <v>#REF!</v>
      </c>
      <c r="I45" s="164" t="str">
        <f t="shared" si="60"/>
        <v>#REF!</v>
      </c>
      <c r="J45" s="164">
        <v>-1796.0</v>
      </c>
      <c r="K45" s="164">
        <v>-214.0</v>
      </c>
      <c r="L45" s="164">
        <v>724.0</v>
      </c>
      <c r="M45" s="164">
        <v>5030.0</v>
      </c>
      <c r="N45" s="165" t="str">
        <f>+N40+N41-N44</f>
        <v>#REF!</v>
      </c>
      <c r="O45" s="164">
        <v>-360.0</v>
      </c>
      <c r="P45" s="164">
        <v>3422.0</v>
      </c>
      <c r="Q45" s="166">
        <v>-710.0</v>
      </c>
      <c r="R45" s="164">
        <v>-663.0</v>
      </c>
      <c r="S45" s="167">
        <v>-684.0</v>
      </c>
      <c r="T45" s="168">
        <v>-1426.0</v>
      </c>
      <c r="U45" s="164">
        <v>573.0</v>
      </c>
      <c r="V45" s="164">
        <v>101.0</v>
      </c>
      <c r="W45" s="164">
        <v>219.0</v>
      </c>
      <c r="X45" s="164">
        <v>-422.0</v>
      </c>
      <c r="Y45" s="164"/>
      <c r="Z45" s="164"/>
      <c r="AA45" s="165">
        <f t="shared" ref="AA45:CO45" si="61">+AA40+AA41-AA44</f>
        <v>0</v>
      </c>
      <c r="AB45" s="165">
        <f t="shared" si="61"/>
        <v>-307230</v>
      </c>
      <c r="AC45" s="165">
        <f t="shared" si="61"/>
        <v>-243903</v>
      </c>
      <c r="AD45" s="165">
        <f t="shared" si="61"/>
        <v>-237100</v>
      </c>
      <c r="AE45" s="165">
        <f t="shared" si="61"/>
        <v>-406190</v>
      </c>
      <c r="AF45" s="165">
        <f t="shared" si="61"/>
        <v>1946731</v>
      </c>
      <c r="AG45" s="165">
        <f t="shared" si="61"/>
        <v>-76909</v>
      </c>
      <c r="AH45" s="165">
        <f t="shared" si="61"/>
        <v>-3101</v>
      </c>
      <c r="AI45" s="165">
        <f t="shared" si="61"/>
        <v>29493</v>
      </c>
      <c r="AJ45" s="165">
        <f t="shared" si="61"/>
        <v>-60071</v>
      </c>
      <c r="AK45" s="165">
        <f t="shared" si="61"/>
        <v>-51982</v>
      </c>
      <c r="AL45" s="165">
        <f t="shared" si="61"/>
        <v>-117948</v>
      </c>
      <c r="AM45" s="165">
        <f t="shared" si="61"/>
        <v>-414709</v>
      </c>
      <c r="AN45" s="165">
        <f t="shared" si="61"/>
        <v>-223749</v>
      </c>
      <c r="AO45" s="165">
        <f t="shared" si="61"/>
        <v>-243903</v>
      </c>
      <c r="AP45" s="165">
        <f t="shared" si="61"/>
        <v>-237100</v>
      </c>
      <c r="AQ45" s="165">
        <f t="shared" si="61"/>
        <v>-406190</v>
      </c>
      <c r="AR45" s="165">
        <f t="shared" si="61"/>
        <v>-92192</v>
      </c>
      <c r="AS45" s="165">
        <f t="shared" si="61"/>
        <v>12624.99529</v>
      </c>
      <c r="AT45" s="165">
        <f t="shared" si="61"/>
        <v>-98582</v>
      </c>
      <c r="AU45" s="165">
        <f t="shared" si="61"/>
        <v>458216</v>
      </c>
      <c r="AV45" s="165">
        <f t="shared" si="61"/>
        <v>-6664</v>
      </c>
      <c r="AW45" s="165">
        <f t="shared" si="61"/>
        <v>8105</v>
      </c>
      <c r="AX45" s="165">
        <f t="shared" si="61"/>
        <v>47768</v>
      </c>
      <c r="AY45" s="165">
        <f t="shared" si="61"/>
        <v>-62649</v>
      </c>
      <c r="AZ45" s="165">
        <f t="shared" si="61"/>
        <v>8295</v>
      </c>
      <c r="BA45" s="165">
        <f t="shared" si="61"/>
        <v>-219821</v>
      </c>
      <c r="BB45" s="165">
        <f t="shared" si="61"/>
        <v>906987</v>
      </c>
      <c r="BC45" s="165">
        <f t="shared" si="61"/>
        <v>-7060</v>
      </c>
      <c r="BD45" s="165">
        <f t="shared" si="61"/>
        <v>115383</v>
      </c>
      <c r="BE45" s="165">
        <f t="shared" si="61"/>
        <v>-34178</v>
      </c>
      <c r="BF45" s="165">
        <f t="shared" si="61"/>
        <v>-138324</v>
      </c>
      <c r="BG45" s="165">
        <f t="shared" si="61"/>
        <v>-74243</v>
      </c>
      <c r="BH45" s="165">
        <f t="shared" si="61"/>
        <v>-54259</v>
      </c>
      <c r="BI45" s="165">
        <f t="shared" si="61"/>
        <v>-166351</v>
      </c>
      <c r="BJ45" s="165">
        <f t="shared" si="61"/>
        <v>-31400</v>
      </c>
      <c r="BK45" s="165">
        <f t="shared" si="61"/>
        <v>-31400</v>
      </c>
      <c r="BL45" s="165">
        <f t="shared" si="61"/>
        <v>-31400</v>
      </c>
      <c r="BM45" s="165">
        <f t="shared" si="61"/>
        <v>193997</v>
      </c>
      <c r="BN45" s="165">
        <f t="shared" si="61"/>
        <v>-69820</v>
      </c>
      <c r="BO45" s="165">
        <f t="shared" si="61"/>
        <v>54</v>
      </c>
      <c r="BP45" s="165">
        <f t="shared" si="61"/>
        <v>-339691</v>
      </c>
      <c r="BQ45" s="165">
        <f t="shared" si="61"/>
        <v>-166384</v>
      </c>
      <c r="BR45" s="165">
        <f t="shared" si="61"/>
        <v>-688431</v>
      </c>
      <c r="BS45" s="165">
        <f t="shared" si="61"/>
        <v>-610438</v>
      </c>
      <c r="BT45" s="165">
        <f t="shared" si="61"/>
        <v>-1045646</v>
      </c>
      <c r="BU45" s="165">
        <f t="shared" si="61"/>
        <v>-1153116</v>
      </c>
      <c r="BV45" s="165">
        <f t="shared" si="61"/>
        <v>-698060</v>
      </c>
      <c r="BW45" s="165">
        <f t="shared" si="61"/>
        <v>-1032021</v>
      </c>
      <c r="BX45" s="165">
        <f t="shared" si="61"/>
        <v>-2189349</v>
      </c>
      <c r="BY45" s="165">
        <f t="shared" si="61"/>
        <v>0</v>
      </c>
      <c r="BZ45" s="165">
        <f t="shared" si="61"/>
        <v>0</v>
      </c>
      <c r="CA45" s="165">
        <f t="shared" si="61"/>
        <v>0</v>
      </c>
      <c r="CB45" s="165">
        <f t="shared" si="61"/>
        <v>-936877</v>
      </c>
      <c r="CC45" s="165">
        <f t="shared" si="61"/>
        <v>1590334</v>
      </c>
      <c r="CD45" s="165">
        <f t="shared" si="61"/>
        <v>-1496750</v>
      </c>
      <c r="CE45" s="165">
        <f t="shared" si="61"/>
        <v>-2006917</v>
      </c>
      <c r="CF45" s="165">
        <f t="shared" si="61"/>
        <v>-783921</v>
      </c>
      <c r="CG45" s="165">
        <f t="shared" si="61"/>
        <v>-1054133</v>
      </c>
      <c r="CH45" s="165">
        <f t="shared" si="61"/>
        <v>-945275</v>
      </c>
      <c r="CI45" s="165">
        <f t="shared" si="61"/>
        <v>488152</v>
      </c>
      <c r="CJ45" s="165">
        <f t="shared" si="61"/>
        <v>602195</v>
      </c>
      <c r="CK45" s="165">
        <f t="shared" si="61"/>
        <v>2713989</v>
      </c>
      <c r="CL45" s="165">
        <f t="shared" si="61"/>
        <v>-783580</v>
      </c>
      <c r="CM45" s="165">
        <f t="shared" si="61"/>
        <v>-744269</v>
      </c>
      <c r="CN45" s="165">
        <f t="shared" si="61"/>
        <v>0</v>
      </c>
      <c r="CO45" s="165">
        <f t="shared" si="61"/>
        <v>0</v>
      </c>
    </row>
    <row r="46" ht="14.25" customHeight="1">
      <c r="A46" s="143"/>
      <c r="B46" s="144" t="s">
        <v>24</v>
      </c>
      <c r="C46" s="123"/>
      <c r="D46" s="123"/>
      <c r="E46" s="19"/>
      <c r="F46" s="200" t="s">
        <v>44</v>
      </c>
      <c r="G46" s="201"/>
      <c r="H46" s="202" t="str">
        <f t="shared" ref="H46:I46" si="62">IF($F$4&gt;=H$3,AO46,+$A46)</f>
        <v>#REF!</v>
      </c>
      <c r="I46" s="203" t="str">
        <f t="shared" si="62"/>
        <v>#REF!</v>
      </c>
      <c r="J46" s="203">
        <v>0.0</v>
      </c>
      <c r="K46" s="203">
        <v>0.0</v>
      </c>
      <c r="L46" s="203">
        <v>0.0</v>
      </c>
      <c r="M46" s="203">
        <v>3.0</v>
      </c>
      <c r="N46" s="204" t="str">
        <f t="shared" ref="N46:N47" si="64">IF($F$4&gt;=N$3,AU46,+$A46)</f>
        <v>#REF!</v>
      </c>
      <c r="O46" s="203">
        <v>0.0</v>
      </c>
      <c r="P46" s="203">
        <v>0.0</v>
      </c>
      <c r="Q46" s="205">
        <v>0.0</v>
      </c>
      <c r="R46" s="203">
        <v>0.0</v>
      </c>
      <c r="S46" s="206">
        <v>0.0</v>
      </c>
      <c r="T46" s="207">
        <v>0.0</v>
      </c>
      <c r="U46" s="203">
        <v>0.0</v>
      </c>
      <c r="V46" s="203">
        <v>200.0</v>
      </c>
      <c r="W46" s="203">
        <v>0.0</v>
      </c>
      <c r="X46" s="203">
        <v>65.0</v>
      </c>
      <c r="Y46" s="203"/>
      <c r="Z46" s="203"/>
      <c r="AA46" s="204">
        <v>0.0</v>
      </c>
      <c r="AB46" s="204" t="str">
        <f>'予測PL'!K43</f>
        <v/>
      </c>
      <c r="AC46" s="204" t="str">
        <f>'予測PL'!L43</f>
        <v/>
      </c>
      <c r="AD46" s="204" t="str">
        <f>'予測PL'!M43</f>
        <v/>
      </c>
      <c r="AE46" s="204" t="str">
        <f>'予測PL'!N43</f>
        <v/>
      </c>
      <c r="AF46" s="204">
        <f>'予測PL'!O43</f>
        <v>11810</v>
      </c>
      <c r="AG46" s="204" t="str">
        <f>'予測PL'!P43</f>
        <v/>
      </c>
      <c r="AH46" s="204" t="str">
        <f>'予測PL'!Q43</f>
        <v/>
      </c>
      <c r="AI46" s="204" t="str">
        <f>'予測PL'!R43</f>
        <v/>
      </c>
      <c r="AJ46" s="204" t="str">
        <f>'予測PL'!S43</f>
        <v/>
      </c>
      <c r="AK46" s="204" t="str">
        <f>'予測PL'!T43</f>
        <v/>
      </c>
      <c r="AL46" s="204" t="str">
        <f>'予測PL'!U43</f>
        <v/>
      </c>
      <c r="AM46" s="204" t="str">
        <f>'予測PL'!V43</f>
        <v/>
      </c>
      <c r="AN46" s="204" t="str">
        <f>'予測PL'!W43</f>
        <v/>
      </c>
      <c r="AO46" s="204" t="str">
        <f>'予測PL'!X43</f>
        <v/>
      </c>
      <c r="AP46" s="204" t="str">
        <f>'予測PL'!Y43</f>
        <v/>
      </c>
      <c r="AQ46" s="204" t="str">
        <f>'予測PL (2021)'!C43</f>
        <v/>
      </c>
      <c r="AR46" s="204" t="str">
        <f>'予測PL'!AA43</f>
        <v/>
      </c>
      <c r="AS46" s="204" t="str">
        <f>'予測PL'!AB43</f>
        <v/>
      </c>
      <c r="AT46" s="204" t="str">
        <f>'予測PL'!AC43</f>
        <v/>
      </c>
      <c r="AU46" s="204" t="str">
        <f>'予測PL'!AD43</f>
        <v/>
      </c>
      <c r="AV46" s="204" t="str">
        <f>'予測PL'!AE43</f>
        <v/>
      </c>
      <c r="AW46" s="204" t="str">
        <f>'予測PL'!AF43</f>
        <v/>
      </c>
      <c r="AX46" s="204" t="str">
        <f>'予測PL'!AG43</f>
        <v/>
      </c>
      <c r="AY46" s="204" t="str">
        <f>'予測PL'!AH43</f>
        <v/>
      </c>
      <c r="AZ46" s="204" t="str">
        <f>'予測PL'!AI43</f>
        <v/>
      </c>
      <c r="BA46" s="204" t="str">
        <f>'予測PL'!AJ43</f>
        <v/>
      </c>
      <c r="BB46" s="204" t="str">
        <f>'予測PL'!AK43</f>
        <v/>
      </c>
      <c r="BC46" s="204" t="str">
        <f>'予測PL'!AL43</f>
        <v/>
      </c>
      <c r="BD46" s="204" t="str">
        <f>'予測PL'!AM43</f>
        <v/>
      </c>
      <c r="BE46" s="204" t="str">
        <f>'予測PL'!AN43</f>
        <v/>
      </c>
      <c r="BF46" s="204" t="str">
        <f>'予測PL'!AO43</f>
        <v/>
      </c>
      <c r="BG46" s="204" t="str">
        <f>'予測PL'!AP43</f>
        <v/>
      </c>
      <c r="BH46" s="204" t="str">
        <f>'予測PL'!AQ43</f>
        <v/>
      </c>
      <c r="BI46" s="204" t="str">
        <f>'予測PL'!AR43</f>
        <v/>
      </c>
      <c r="BJ46" s="204" t="str">
        <f>'予測PL'!AS43</f>
        <v/>
      </c>
      <c r="BK46" s="204" t="str">
        <f>'予測PL'!AT43</f>
        <v/>
      </c>
      <c r="BL46" s="204" t="str">
        <f>'予測PL'!AU43</f>
        <v/>
      </c>
      <c r="BM46" s="204" t="str">
        <f>'予測PL'!AV43</f>
        <v/>
      </c>
      <c r="BN46" s="204" t="str">
        <f>'予測PL'!AW43</f>
        <v/>
      </c>
      <c r="BO46" s="204" t="str">
        <f>'予測PL'!AX43</f>
        <v/>
      </c>
      <c r="BP46" s="204" t="str">
        <f>'予測PL'!AY43</f>
        <v/>
      </c>
      <c r="BQ46" s="204" t="str">
        <f>'予測PL'!AZ43</f>
        <v/>
      </c>
      <c r="BR46" s="204" t="str">
        <f>'予測PL'!BA43</f>
        <v/>
      </c>
      <c r="BS46" s="204" t="str">
        <f>'予測PL'!BB43</f>
        <v/>
      </c>
      <c r="BT46" s="204" t="str">
        <f>'予測PL'!BC43</f>
        <v/>
      </c>
      <c r="BU46" s="204" t="str">
        <f>'予測PL'!BD43</f>
        <v/>
      </c>
      <c r="BV46" s="204" t="str">
        <f>'予測PL'!BE43</f>
        <v/>
      </c>
      <c r="BW46" s="204" t="str">
        <f>'予測PL'!BF43</f>
        <v/>
      </c>
      <c r="BX46" s="204" t="str">
        <f>'予測PL'!BG43</f>
        <v/>
      </c>
      <c r="BY46" s="204" t="str">
        <f>'予測PL'!BH43</f>
        <v/>
      </c>
      <c r="BZ46" s="204" t="str">
        <f>'予測PL'!BI43</f>
        <v/>
      </c>
      <c r="CA46" s="204" t="str">
        <f>'予測PL'!BJ43</f>
        <v/>
      </c>
      <c r="CB46" s="204" t="str">
        <f>'予測PL'!BK43</f>
        <v/>
      </c>
      <c r="CC46" s="204" t="str">
        <f>'予測PL'!BL43</f>
        <v/>
      </c>
      <c r="CD46" s="204" t="str">
        <f>'予測PL'!BM43</f>
        <v/>
      </c>
      <c r="CE46" s="204" t="str">
        <f>'予測PL'!BN43</f>
        <v/>
      </c>
      <c r="CF46" s="204" t="str">
        <f>'予測PL'!BO43</f>
        <v/>
      </c>
      <c r="CG46" s="204" t="str">
        <f>'予測PL'!BP43</f>
        <v/>
      </c>
      <c r="CH46" s="204" t="str">
        <f>'予測PL'!BQ43</f>
        <v/>
      </c>
      <c r="CI46" s="204" t="str">
        <f>'予測PL'!BR43</f>
        <v/>
      </c>
      <c r="CJ46" s="204" t="str">
        <f>'予測PL'!BS43</f>
        <v/>
      </c>
      <c r="CK46" s="204" t="str">
        <f>'予測PL'!BT43</f>
        <v/>
      </c>
      <c r="CL46" s="204" t="str">
        <f>'予測PL'!BU43</f>
        <v/>
      </c>
      <c r="CM46" s="204" t="str">
        <f>'予測PL'!BV43</f>
        <v/>
      </c>
      <c r="CN46" s="204"/>
      <c r="CO46" s="204"/>
    </row>
    <row r="47" ht="14.25" customHeight="1">
      <c r="A47" s="145"/>
      <c r="B47" s="146" t="s">
        <v>24</v>
      </c>
      <c r="C47" s="123"/>
      <c r="D47" s="123"/>
      <c r="E47" s="19"/>
      <c r="F47" s="208" t="s">
        <v>45</v>
      </c>
      <c r="G47" s="209"/>
      <c r="H47" s="210" t="str">
        <f t="shared" ref="H47:I47" si="63">IF($F$4&gt;=H$3,AO47,+$A47)</f>
        <v>#REF!</v>
      </c>
      <c r="I47" s="211" t="str">
        <f t="shared" si="63"/>
        <v>#REF!</v>
      </c>
      <c r="J47" s="211">
        <v>0.0</v>
      </c>
      <c r="K47" s="211">
        <v>87.0</v>
      </c>
      <c r="L47" s="211">
        <v>0.0</v>
      </c>
      <c r="M47" s="211">
        <v>0.0</v>
      </c>
      <c r="N47" s="212" t="str">
        <f t="shared" si="64"/>
        <v>#REF!</v>
      </c>
      <c r="O47" s="211">
        <v>858.0</v>
      </c>
      <c r="P47" s="211">
        <v>167.0</v>
      </c>
      <c r="Q47" s="213">
        <v>0.0</v>
      </c>
      <c r="R47" s="211">
        <v>0.0</v>
      </c>
      <c r="S47" s="214">
        <v>0.0</v>
      </c>
      <c r="T47" s="215">
        <v>10.0</v>
      </c>
      <c r="U47" s="211">
        <v>0.0</v>
      </c>
      <c r="V47" s="211">
        <v>0.0</v>
      </c>
      <c r="W47" s="211">
        <v>30.0</v>
      </c>
      <c r="X47" s="211">
        <v>30.0</v>
      </c>
      <c r="Y47" s="211"/>
      <c r="Z47" s="211"/>
      <c r="AA47" s="212">
        <v>0.0</v>
      </c>
      <c r="AB47" s="212" t="str">
        <f>'予測PL'!K44</f>
        <v/>
      </c>
      <c r="AC47" s="212" t="str">
        <f>'予測PL'!L44</f>
        <v/>
      </c>
      <c r="AD47" s="212" t="str">
        <f>'予測PL'!M44</f>
        <v/>
      </c>
      <c r="AE47" s="212" t="str">
        <f>'予測PL'!N44</f>
        <v/>
      </c>
      <c r="AF47" s="212">
        <f>'予測PL'!O44</f>
        <v>0</v>
      </c>
      <c r="AG47" s="212" t="str">
        <f>'予測PL'!P44</f>
        <v/>
      </c>
      <c r="AH47" s="212" t="str">
        <f>'予測PL'!Q44</f>
        <v/>
      </c>
      <c r="AI47" s="212" t="str">
        <f>'予測PL'!R44</f>
        <v/>
      </c>
      <c r="AJ47" s="212" t="str">
        <f>'予測PL'!S44</f>
        <v/>
      </c>
      <c r="AK47" s="212" t="str">
        <f>'予測PL'!T44</f>
        <v/>
      </c>
      <c r="AL47" s="212" t="str">
        <f>'予測PL'!U44</f>
        <v/>
      </c>
      <c r="AM47" s="212" t="str">
        <f>'予測PL'!V44</f>
        <v/>
      </c>
      <c r="AN47" s="212" t="str">
        <f>'予測PL'!W44</f>
        <v/>
      </c>
      <c r="AO47" s="212" t="str">
        <f>'予測PL'!X44</f>
        <v/>
      </c>
      <c r="AP47" s="212" t="str">
        <f>'予測PL'!Y44</f>
        <v/>
      </c>
      <c r="AQ47" s="212" t="str">
        <f>'予測PL'!Z44</f>
        <v/>
      </c>
      <c r="AR47" s="204" t="str">
        <f>'予測PL'!AA44</f>
        <v/>
      </c>
      <c r="AS47" s="204" t="str">
        <f>'予測PL'!AB44</f>
        <v/>
      </c>
      <c r="AT47" s="204" t="str">
        <f>'予測PL'!AC44</f>
        <v/>
      </c>
      <c r="AU47" s="204" t="str">
        <f>'予測PL'!AD44</f>
        <v/>
      </c>
      <c r="AV47" s="204" t="str">
        <f>'予測PL'!AE44</f>
        <v/>
      </c>
      <c r="AW47" s="204" t="str">
        <f>'予測PL'!AF44</f>
        <v/>
      </c>
      <c r="AX47" s="204" t="str">
        <f>'予測PL'!AG44</f>
        <v/>
      </c>
      <c r="AY47" s="204" t="str">
        <f>'予測PL'!AH44</f>
        <v/>
      </c>
      <c r="AZ47" s="204" t="str">
        <f>'予測PL'!AI44</f>
        <v/>
      </c>
      <c r="BA47" s="204" t="str">
        <f>'予測PL'!AJ44</f>
        <v/>
      </c>
      <c r="BB47" s="204" t="str">
        <f>'予測PL'!AK44</f>
        <v/>
      </c>
      <c r="BC47" s="204" t="str">
        <f>'予測PL'!AL44</f>
        <v/>
      </c>
      <c r="BD47" s="212" t="str">
        <f>'予測PL'!AM44</f>
        <v/>
      </c>
      <c r="BE47" s="212" t="str">
        <f>'予測PL'!AN44</f>
        <v/>
      </c>
      <c r="BF47" s="212" t="str">
        <f>'予測PL'!AO44</f>
        <v/>
      </c>
      <c r="BG47" s="212" t="str">
        <f>'予測PL'!AP44</f>
        <v/>
      </c>
      <c r="BH47" s="212" t="str">
        <f>'予測PL'!AQ44</f>
        <v/>
      </c>
      <c r="BI47" s="212" t="str">
        <f>'予測PL'!AR44</f>
        <v/>
      </c>
      <c r="BJ47" s="212" t="str">
        <f>'予測PL'!AS44</f>
        <v/>
      </c>
      <c r="BK47" s="212" t="str">
        <f>'予測PL'!AT44</f>
        <v/>
      </c>
      <c r="BL47" s="212" t="str">
        <f>'予測PL'!AU44</f>
        <v/>
      </c>
      <c r="BM47" s="212" t="str">
        <f>'予測PL'!AV44</f>
        <v/>
      </c>
      <c r="BN47" s="212" t="str">
        <f>'予測PL'!AW44</f>
        <v/>
      </c>
      <c r="BO47" s="212" t="str">
        <f>'予測PL'!AX44</f>
        <v/>
      </c>
      <c r="BP47" s="212" t="str">
        <f>'予測PL'!AY44</f>
        <v/>
      </c>
      <c r="BQ47" s="212" t="str">
        <f>'予測PL'!AZ44</f>
        <v/>
      </c>
      <c r="BR47" s="212" t="str">
        <f>'予測PL'!BA44</f>
        <v/>
      </c>
      <c r="BS47" s="212" t="str">
        <f>'予測PL'!BB44</f>
        <v/>
      </c>
      <c r="BT47" s="212" t="str">
        <f>'予測PL'!BC44</f>
        <v/>
      </c>
      <c r="BU47" s="212" t="str">
        <f>'予測PL'!BD44</f>
        <v/>
      </c>
      <c r="BV47" s="212" t="str">
        <f>'予測PL'!BE44</f>
        <v/>
      </c>
      <c r="BW47" s="212" t="str">
        <f>'予測PL'!BF44</f>
        <v/>
      </c>
      <c r="BX47" s="212" t="str">
        <f>'予測PL'!BG44</f>
        <v/>
      </c>
      <c r="BY47" s="212" t="str">
        <f>'予測PL'!BH44</f>
        <v/>
      </c>
      <c r="BZ47" s="212" t="str">
        <f>'予測PL'!BI44</f>
        <v/>
      </c>
      <c r="CA47" s="212" t="str">
        <f>'予測PL'!BJ44</f>
        <v/>
      </c>
      <c r="CB47" s="212" t="str">
        <f>'予測PL'!BK44</f>
        <v/>
      </c>
      <c r="CC47" s="212" t="str">
        <f>'予測PL'!BL44</f>
        <v/>
      </c>
      <c r="CD47" s="212" t="str">
        <f>'予測PL'!BM44</f>
        <v/>
      </c>
      <c r="CE47" s="212" t="str">
        <f>'予測PL'!BN44</f>
        <v/>
      </c>
      <c r="CF47" s="212" t="str">
        <f>'予測PL'!BO44</f>
        <v/>
      </c>
      <c r="CG47" s="212" t="str">
        <f>'予測PL'!BP44</f>
        <v/>
      </c>
      <c r="CH47" s="212" t="str">
        <f>'予測PL'!BQ44</f>
        <v/>
      </c>
      <c r="CI47" s="212" t="str">
        <f>'予測PL'!BR44</f>
        <v/>
      </c>
      <c r="CJ47" s="212" t="str">
        <f>'予測PL'!BS44</f>
        <v/>
      </c>
      <c r="CK47" s="212" t="str">
        <f>'予測PL'!BT44</f>
        <v/>
      </c>
      <c r="CL47" s="212" t="str">
        <f>'予測PL'!BU44</f>
        <v/>
      </c>
      <c r="CM47" s="212" t="str">
        <f>'予測PL'!BV44</f>
        <v/>
      </c>
      <c r="CN47" s="212"/>
      <c r="CO47" s="212"/>
    </row>
    <row r="48" ht="14.25" customHeight="1">
      <c r="A48" s="1"/>
      <c r="B48" s="1"/>
      <c r="C48" s="1"/>
      <c r="D48" s="1"/>
      <c r="E48" s="1"/>
      <c r="F48" s="161" t="s">
        <v>46</v>
      </c>
      <c r="G48" s="162"/>
      <c r="H48" s="163" t="str">
        <f t="shared" ref="H48:I48" si="65">+H45+H46-H47</f>
        <v>#REF!</v>
      </c>
      <c r="I48" s="164" t="str">
        <f t="shared" si="65"/>
        <v>#REF!</v>
      </c>
      <c r="J48" s="164">
        <v>-1796.0</v>
      </c>
      <c r="K48" s="164">
        <v>-301.0</v>
      </c>
      <c r="L48" s="164">
        <v>724.0</v>
      </c>
      <c r="M48" s="164">
        <v>5033.0</v>
      </c>
      <c r="N48" s="165" t="str">
        <f>+N45+N46-N47</f>
        <v>#REF!</v>
      </c>
      <c r="O48" s="164">
        <v>-1218.0</v>
      </c>
      <c r="P48" s="164">
        <v>3255.0</v>
      </c>
      <c r="Q48" s="166">
        <v>-710.0</v>
      </c>
      <c r="R48" s="164">
        <v>-663.0</v>
      </c>
      <c r="S48" s="167">
        <v>-684.0</v>
      </c>
      <c r="T48" s="168">
        <v>-1436.0</v>
      </c>
      <c r="U48" s="164">
        <v>573.0</v>
      </c>
      <c r="V48" s="164">
        <v>301.0</v>
      </c>
      <c r="W48" s="164">
        <v>189.0</v>
      </c>
      <c r="X48" s="216">
        <v>-387.0</v>
      </c>
      <c r="Y48" s="164"/>
      <c r="Z48" s="164"/>
      <c r="AA48" s="165">
        <f t="shared" ref="AA48:CO48" si="66">+AA45+AA46-AA47</f>
        <v>0</v>
      </c>
      <c r="AB48" s="165">
        <f t="shared" si="66"/>
        <v>-307230</v>
      </c>
      <c r="AC48" s="165">
        <f t="shared" si="66"/>
        <v>-243903</v>
      </c>
      <c r="AD48" s="165">
        <f t="shared" si="66"/>
        <v>-237100</v>
      </c>
      <c r="AE48" s="165">
        <f t="shared" si="66"/>
        <v>-406190</v>
      </c>
      <c r="AF48" s="165">
        <f t="shared" si="66"/>
        <v>1958541</v>
      </c>
      <c r="AG48" s="165">
        <f t="shared" si="66"/>
        <v>-76909</v>
      </c>
      <c r="AH48" s="165">
        <f t="shared" si="66"/>
        <v>-3101</v>
      </c>
      <c r="AI48" s="165">
        <f t="shared" si="66"/>
        <v>29493</v>
      </c>
      <c r="AJ48" s="165">
        <f t="shared" si="66"/>
        <v>-60071</v>
      </c>
      <c r="AK48" s="165">
        <f t="shared" si="66"/>
        <v>-51982</v>
      </c>
      <c r="AL48" s="165">
        <f t="shared" si="66"/>
        <v>-117948</v>
      </c>
      <c r="AM48" s="165">
        <f t="shared" si="66"/>
        <v>-414709</v>
      </c>
      <c r="AN48" s="165">
        <f t="shared" si="66"/>
        <v>-223749</v>
      </c>
      <c r="AO48" s="165">
        <f t="shared" si="66"/>
        <v>-243903</v>
      </c>
      <c r="AP48" s="165">
        <f t="shared" si="66"/>
        <v>-237100</v>
      </c>
      <c r="AQ48" s="165">
        <f t="shared" si="66"/>
        <v>-406190</v>
      </c>
      <c r="AR48" s="165">
        <f t="shared" si="66"/>
        <v>-92192</v>
      </c>
      <c r="AS48" s="165">
        <f t="shared" si="66"/>
        <v>12624.99529</v>
      </c>
      <c r="AT48" s="165">
        <f t="shared" si="66"/>
        <v>-98582</v>
      </c>
      <c r="AU48" s="165">
        <f t="shared" si="66"/>
        <v>458216</v>
      </c>
      <c r="AV48" s="165">
        <f t="shared" si="66"/>
        <v>-6664</v>
      </c>
      <c r="AW48" s="165">
        <f t="shared" si="66"/>
        <v>8105</v>
      </c>
      <c r="AX48" s="165">
        <f t="shared" si="66"/>
        <v>47768</v>
      </c>
      <c r="AY48" s="165">
        <f t="shared" si="66"/>
        <v>-62649</v>
      </c>
      <c r="AZ48" s="165">
        <f t="shared" si="66"/>
        <v>8295</v>
      </c>
      <c r="BA48" s="165">
        <f t="shared" si="66"/>
        <v>-219821</v>
      </c>
      <c r="BB48" s="165">
        <f t="shared" si="66"/>
        <v>906987</v>
      </c>
      <c r="BC48" s="165">
        <f t="shared" si="66"/>
        <v>-7060</v>
      </c>
      <c r="BD48" s="165">
        <f t="shared" si="66"/>
        <v>115383</v>
      </c>
      <c r="BE48" s="165">
        <f t="shared" si="66"/>
        <v>-34178</v>
      </c>
      <c r="BF48" s="165">
        <f t="shared" si="66"/>
        <v>-138324</v>
      </c>
      <c r="BG48" s="165">
        <f t="shared" si="66"/>
        <v>-74243</v>
      </c>
      <c r="BH48" s="165">
        <f t="shared" si="66"/>
        <v>-54259</v>
      </c>
      <c r="BI48" s="165">
        <f t="shared" si="66"/>
        <v>-166351</v>
      </c>
      <c r="BJ48" s="165">
        <f t="shared" si="66"/>
        <v>-31400</v>
      </c>
      <c r="BK48" s="165">
        <f t="shared" si="66"/>
        <v>-31400</v>
      </c>
      <c r="BL48" s="165">
        <f t="shared" si="66"/>
        <v>-31400</v>
      </c>
      <c r="BM48" s="165">
        <f t="shared" si="66"/>
        <v>193997</v>
      </c>
      <c r="BN48" s="165">
        <f t="shared" si="66"/>
        <v>-69820</v>
      </c>
      <c r="BO48" s="165">
        <f t="shared" si="66"/>
        <v>54</v>
      </c>
      <c r="BP48" s="165">
        <f t="shared" si="66"/>
        <v>-339691</v>
      </c>
      <c r="BQ48" s="165">
        <f t="shared" si="66"/>
        <v>-166384</v>
      </c>
      <c r="BR48" s="165">
        <f t="shared" si="66"/>
        <v>-688431</v>
      </c>
      <c r="BS48" s="165">
        <f t="shared" si="66"/>
        <v>-610438</v>
      </c>
      <c r="BT48" s="165">
        <f t="shared" si="66"/>
        <v>-1045646</v>
      </c>
      <c r="BU48" s="165">
        <f t="shared" si="66"/>
        <v>-1153116</v>
      </c>
      <c r="BV48" s="165">
        <f t="shared" si="66"/>
        <v>-698060</v>
      </c>
      <c r="BW48" s="165">
        <f t="shared" si="66"/>
        <v>-1032021</v>
      </c>
      <c r="BX48" s="165">
        <f t="shared" si="66"/>
        <v>-2189349</v>
      </c>
      <c r="BY48" s="165">
        <f t="shared" si="66"/>
        <v>0</v>
      </c>
      <c r="BZ48" s="165">
        <f t="shared" si="66"/>
        <v>0</v>
      </c>
      <c r="CA48" s="165">
        <f t="shared" si="66"/>
        <v>0</v>
      </c>
      <c r="CB48" s="165">
        <f t="shared" si="66"/>
        <v>-936877</v>
      </c>
      <c r="CC48" s="165">
        <f t="shared" si="66"/>
        <v>1590334</v>
      </c>
      <c r="CD48" s="165">
        <f t="shared" si="66"/>
        <v>-1496750</v>
      </c>
      <c r="CE48" s="165">
        <f t="shared" si="66"/>
        <v>-2006917</v>
      </c>
      <c r="CF48" s="165">
        <f t="shared" si="66"/>
        <v>-783921</v>
      </c>
      <c r="CG48" s="165">
        <f t="shared" si="66"/>
        <v>-1054133</v>
      </c>
      <c r="CH48" s="165">
        <f t="shared" si="66"/>
        <v>-945275</v>
      </c>
      <c r="CI48" s="165">
        <f t="shared" si="66"/>
        <v>488152</v>
      </c>
      <c r="CJ48" s="165">
        <f t="shared" si="66"/>
        <v>602195</v>
      </c>
      <c r="CK48" s="165">
        <f t="shared" si="66"/>
        <v>2713989</v>
      </c>
      <c r="CL48" s="165">
        <f t="shared" si="66"/>
        <v>-783580</v>
      </c>
      <c r="CM48" s="165">
        <f t="shared" si="66"/>
        <v>-744269</v>
      </c>
      <c r="CN48" s="165">
        <f t="shared" si="66"/>
        <v>0</v>
      </c>
      <c r="CO48" s="165">
        <f t="shared" si="66"/>
        <v>0</v>
      </c>
    </row>
    <row r="49" ht="48.0" customHeight="1">
      <c r="A49" s="1"/>
      <c r="B49" s="1"/>
      <c r="C49" s="1"/>
      <c r="D49" s="1"/>
      <c r="E49" s="1"/>
      <c r="F49" s="217" t="s">
        <v>47</v>
      </c>
      <c r="G49" s="218"/>
      <c r="H49" s="219" t="str">
        <f t="shared" ref="H49:I49" si="67">+G49+H48</f>
        <v>#REF!</v>
      </c>
      <c r="I49" s="220" t="str">
        <f t="shared" si="67"/>
        <v>#REF!</v>
      </c>
      <c r="J49" s="220">
        <v>-765.0</v>
      </c>
      <c r="K49" s="220">
        <v>-1066.0</v>
      </c>
      <c r="L49" s="220">
        <v>-342.0</v>
      </c>
      <c r="M49" s="220">
        <v>4691.0</v>
      </c>
      <c r="N49" s="221" t="str">
        <f>+M49+N48</f>
        <v>#REF!</v>
      </c>
      <c r="O49" s="220">
        <v>2327.0</v>
      </c>
      <c r="P49" s="220">
        <v>5582.0</v>
      </c>
      <c r="Q49" s="222">
        <v>4872.0</v>
      </c>
      <c r="R49" s="220">
        <v>4209.0</v>
      </c>
      <c r="S49" s="223">
        <v>3525.0</v>
      </c>
      <c r="T49" s="224">
        <v>-1436.0</v>
      </c>
      <c r="U49" s="220">
        <v>-863.0</v>
      </c>
      <c r="V49" s="220">
        <v>-562.0</v>
      </c>
      <c r="W49" s="220">
        <v>-373.0</v>
      </c>
      <c r="X49" s="225">
        <v>-760.0</v>
      </c>
      <c r="Y49" s="220"/>
      <c r="Z49" s="220"/>
      <c r="AA49" s="221">
        <v>2468240.0</v>
      </c>
      <c r="AB49" s="221">
        <f t="shared" ref="AB49:AE49" si="68">+AA49+AB48</f>
        <v>2161010</v>
      </c>
      <c r="AC49" s="221">
        <f t="shared" si="68"/>
        <v>1917107</v>
      </c>
      <c r="AD49" s="221">
        <f t="shared" si="68"/>
        <v>1680007</v>
      </c>
      <c r="AE49" s="226">
        <f t="shared" si="68"/>
        <v>1273817</v>
      </c>
      <c r="AF49" s="227">
        <f>+AF48</f>
        <v>1958541</v>
      </c>
      <c r="AG49" s="221">
        <f t="shared" ref="AG49:AP49" si="69">+AF49+AG48</f>
        <v>1881632</v>
      </c>
      <c r="AH49" s="221">
        <f t="shared" si="69"/>
        <v>1878531</v>
      </c>
      <c r="AI49" s="221">
        <f t="shared" si="69"/>
        <v>1908024</v>
      </c>
      <c r="AJ49" s="221">
        <f t="shared" si="69"/>
        <v>1847953</v>
      </c>
      <c r="AK49" s="221">
        <f t="shared" si="69"/>
        <v>1795971</v>
      </c>
      <c r="AL49" s="221">
        <f t="shared" si="69"/>
        <v>1678023</v>
      </c>
      <c r="AM49" s="221">
        <f t="shared" si="69"/>
        <v>1263314</v>
      </c>
      <c r="AN49" s="221">
        <f t="shared" si="69"/>
        <v>1039565</v>
      </c>
      <c r="AO49" s="221">
        <f t="shared" si="69"/>
        <v>795662</v>
      </c>
      <c r="AP49" s="221">
        <f t="shared" si="69"/>
        <v>558562</v>
      </c>
      <c r="AQ49" s="221">
        <v>106918.0</v>
      </c>
      <c r="AR49" s="221">
        <f>AR48</f>
        <v>-92192</v>
      </c>
      <c r="AS49" s="221">
        <f t="shared" ref="AS49:BA49" si="70">+AR49+AS48</f>
        <v>-79567.00471</v>
      </c>
      <c r="AT49" s="221">
        <f t="shared" si="70"/>
        <v>-178149.0047</v>
      </c>
      <c r="AU49" s="221">
        <f t="shared" si="70"/>
        <v>280066.9953</v>
      </c>
      <c r="AV49" s="221">
        <f t="shared" si="70"/>
        <v>273402.9953</v>
      </c>
      <c r="AW49" s="221">
        <f t="shared" si="70"/>
        <v>281507.9953</v>
      </c>
      <c r="AX49" s="221">
        <f t="shared" si="70"/>
        <v>329275.9953</v>
      </c>
      <c r="AY49" s="221">
        <f t="shared" si="70"/>
        <v>266626.9953</v>
      </c>
      <c r="AZ49" s="221">
        <f t="shared" si="70"/>
        <v>274921.9953</v>
      </c>
      <c r="BA49" s="221">
        <f t="shared" si="70"/>
        <v>55100.99529</v>
      </c>
      <c r="BB49" s="221">
        <v>960688.0</v>
      </c>
      <c r="BC49" s="221">
        <f>+BB49+BC48</f>
        <v>953628</v>
      </c>
      <c r="BD49" s="221">
        <f>BD48</f>
        <v>115383</v>
      </c>
      <c r="BE49" s="221">
        <f t="shared" ref="BE49:BO49" si="71">+BD49+BE48</f>
        <v>81205</v>
      </c>
      <c r="BF49" s="221">
        <f t="shared" si="71"/>
        <v>-57119</v>
      </c>
      <c r="BG49" s="221">
        <f t="shared" si="71"/>
        <v>-131362</v>
      </c>
      <c r="BH49" s="221">
        <f t="shared" si="71"/>
        <v>-185621</v>
      </c>
      <c r="BI49" s="221">
        <f t="shared" si="71"/>
        <v>-351972</v>
      </c>
      <c r="BJ49" s="221">
        <f t="shared" si="71"/>
        <v>-383372</v>
      </c>
      <c r="BK49" s="221">
        <f t="shared" si="71"/>
        <v>-414772</v>
      </c>
      <c r="BL49" s="221">
        <f t="shared" si="71"/>
        <v>-446172</v>
      </c>
      <c r="BM49" s="221">
        <f t="shared" si="71"/>
        <v>-252175</v>
      </c>
      <c r="BN49" s="221">
        <f t="shared" si="71"/>
        <v>-321995</v>
      </c>
      <c r="BO49" s="221">
        <f t="shared" si="71"/>
        <v>-321941</v>
      </c>
      <c r="BP49" s="221">
        <f>BP48</f>
        <v>-339691</v>
      </c>
      <c r="BQ49" s="221">
        <f t="shared" ref="BQ49:CA49" si="72">+BP49+BQ48</f>
        <v>-506075</v>
      </c>
      <c r="BR49" s="221">
        <f t="shared" si="72"/>
        <v>-1194506</v>
      </c>
      <c r="BS49" s="221">
        <f t="shared" si="72"/>
        <v>-1804944</v>
      </c>
      <c r="BT49" s="221">
        <f t="shared" si="72"/>
        <v>-2850590</v>
      </c>
      <c r="BU49" s="221">
        <f t="shared" si="72"/>
        <v>-4003706</v>
      </c>
      <c r="BV49" s="221">
        <f t="shared" si="72"/>
        <v>-4701766</v>
      </c>
      <c r="BW49" s="221">
        <f t="shared" si="72"/>
        <v>-5733787</v>
      </c>
      <c r="BX49" s="221">
        <f t="shared" si="72"/>
        <v>-7923136</v>
      </c>
      <c r="BY49" s="221">
        <f t="shared" si="72"/>
        <v>-7923136</v>
      </c>
      <c r="BZ49" s="221">
        <f t="shared" si="72"/>
        <v>-7923136</v>
      </c>
      <c r="CA49" s="221">
        <f t="shared" si="72"/>
        <v>-7923136</v>
      </c>
      <c r="CB49" s="221">
        <f>CB48</f>
        <v>-936877</v>
      </c>
      <c r="CC49" s="221">
        <f t="shared" ref="CC49:CM49" si="73">+CB49+CC48</f>
        <v>653457</v>
      </c>
      <c r="CD49" s="221">
        <f t="shared" si="73"/>
        <v>-843293</v>
      </c>
      <c r="CE49" s="221">
        <f t="shared" si="73"/>
        <v>-2850210</v>
      </c>
      <c r="CF49" s="221">
        <f t="shared" si="73"/>
        <v>-3634131</v>
      </c>
      <c r="CG49" s="221">
        <f t="shared" si="73"/>
        <v>-4688264</v>
      </c>
      <c r="CH49" s="221">
        <f t="shared" si="73"/>
        <v>-5633539</v>
      </c>
      <c r="CI49" s="221">
        <f t="shared" si="73"/>
        <v>-5145387</v>
      </c>
      <c r="CJ49" s="221">
        <f t="shared" si="73"/>
        <v>-4543192</v>
      </c>
      <c r="CK49" s="221">
        <f t="shared" si="73"/>
        <v>-1829203</v>
      </c>
      <c r="CL49" s="221">
        <f t="shared" si="73"/>
        <v>-2612783</v>
      </c>
      <c r="CM49" s="221">
        <f t="shared" si="73"/>
        <v>-3357052</v>
      </c>
      <c r="CN49" s="221"/>
      <c r="CO49" s="221"/>
    </row>
    <row r="50" ht="6.0" customHeight="1">
      <c r="A50" s="1"/>
      <c r="B50" s="1"/>
      <c r="C50" s="1"/>
      <c r="D50" s="1"/>
      <c r="E50" s="1"/>
      <c r="F50" s="228"/>
      <c r="G50" s="228"/>
      <c r="H50" s="229"/>
      <c r="I50" s="229"/>
      <c r="J50" s="229"/>
      <c r="K50" s="230"/>
      <c r="L50" s="230"/>
      <c r="M50" s="229"/>
      <c r="N50" s="231"/>
      <c r="O50" s="229"/>
      <c r="P50" s="229"/>
      <c r="Q50" s="232"/>
      <c r="R50" s="230"/>
      <c r="S50" s="229"/>
      <c r="T50" s="229"/>
      <c r="U50" s="229"/>
      <c r="V50" s="230"/>
      <c r="W50" s="229"/>
      <c r="X50" s="230"/>
      <c r="Y50" s="229"/>
      <c r="Z50" s="229"/>
      <c r="AA50" s="231"/>
      <c r="AB50" s="231"/>
      <c r="AC50" s="231"/>
      <c r="AD50" s="231"/>
      <c r="AE50" s="231"/>
      <c r="AF50" s="231"/>
      <c r="AG50" s="231"/>
      <c r="AH50" s="231"/>
      <c r="AI50" s="231"/>
      <c r="AJ50" s="231"/>
      <c r="AK50" s="231"/>
      <c r="AL50" s="231"/>
      <c r="AM50" s="231"/>
      <c r="AN50" s="231"/>
      <c r="AO50" s="231"/>
      <c r="AP50" s="231"/>
      <c r="AQ50" s="231"/>
      <c r="AR50" s="231"/>
      <c r="AS50" s="231"/>
      <c r="AT50" s="231"/>
      <c r="AU50" s="231"/>
      <c r="AV50" s="231"/>
      <c r="AW50" s="231"/>
      <c r="AX50" s="231"/>
      <c r="AY50" s="231"/>
      <c r="AZ50" s="231"/>
      <c r="BA50" s="231"/>
      <c r="BB50" s="231"/>
      <c r="BC50" s="231"/>
      <c r="BD50" s="231"/>
      <c r="BE50" s="231"/>
      <c r="BF50" s="231"/>
      <c r="BG50" s="231"/>
      <c r="BH50" s="231"/>
      <c r="BI50" s="231"/>
      <c r="BJ50" s="231"/>
      <c r="BK50" s="231"/>
      <c r="BL50" s="231"/>
      <c r="BM50" s="231"/>
      <c r="BN50" s="231"/>
      <c r="BO50" s="231"/>
      <c r="BP50" s="231"/>
      <c r="BQ50" s="231"/>
      <c r="BR50" s="231"/>
      <c r="BS50" s="231"/>
      <c r="BT50" s="231"/>
      <c r="BU50" s="231"/>
      <c r="BV50" s="231"/>
      <c r="BW50" s="231"/>
      <c r="BX50" s="231"/>
      <c r="BY50" s="231"/>
      <c r="BZ50" s="231"/>
      <c r="CA50" s="231"/>
      <c r="CB50" s="231"/>
      <c r="CC50" s="231"/>
      <c r="CD50" s="231"/>
      <c r="CE50" s="231"/>
      <c r="CF50" s="231"/>
      <c r="CG50" s="231"/>
      <c r="CH50" s="231"/>
      <c r="CI50" s="231"/>
      <c r="CJ50" s="231"/>
      <c r="CK50" s="231"/>
      <c r="CL50" s="231"/>
      <c r="CM50" s="231"/>
      <c r="CN50" s="231"/>
      <c r="CO50" s="231"/>
    </row>
    <row r="51" ht="12.75" customHeight="1">
      <c r="A51" s="1"/>
      <c r="B51" s="1"/>
      <c r="C51" s="1"/>
      <c r="D51" s="1"/>
      <c r="E51" s="1"/>
      <c r="F51" s="233" t="s">
        <v>48</v>
      </c>
      <c r="G51" s="105"/>
      <c r="H51" s="234" t="str">
        <f>+H21+H29</f>
        <v>#REF!</v>
      </c>
      <c r="I51" s="235">
        <v>17047.0</v>
      </c>
      <c r="J51" s="235">
        <v>14815.0</v>
      </c>
      <c r="K51" s="236">
        <v>17135.0</v>
      </c>
      <c r="L51" s="236">
        <v>16997.0</v>
      </c>
      <c r="M51" s="235">
        <v>24013.0</v>
      </c>
      <c r="N51" s="237">
        <v>17459.0</v>
      </c>
      <c r="O51" s="235">
        <v>16153.0</v>
      </c>
      <c r="P51" s="235">
        <v>20536.0</v>
      </c>
      <c r="Q51" s="238">
        <v>17329.0</v>
      </c>
      <c r="R51" s="236">
        <v>17286.0</v>
      </c>
      <c r="S51" s="239">
        <v>17444.0</v>
      </c>
      <c r="T51" s="240">
        <v>13523.0</v>
      </c>
      <c r="U51" s="235">
        <v>13763.0</v>
      </c>
      <c r="V51" s="236">
        <v>13287.0</v>
      </c>
      <c r="W51" s="235">
        <v>12702.0</v>
      </c>
      <c r="X51" s="236">
        <v>13134.0</v>
      </c>
      <c r="Y51" s="235">
        <v>15471.0</v>
      </c>
      <c r="Z51" s="235">
        <v>13458.0</v>
      </c>
      <c r="AA51" s="237">
        <f t="shared" ref="AA51:CO51" si="74">+AA21+AA29</f>
        <v>0</v>
      </c>
      <c r="AB51" s="237">
        <f t="shared" si="74"/>
        <v>1327964</v>
      </c>
      <c r="AC51" s="237">
        <f t="shared" si="74"/>
        <v>653074</v>
      </c>
      <c r="AD51" s="237">
        <f t="shared" si="74"/>
        <v>382161</v>
      </c>
      <c r="AE51" s="241">
        <f t="shared" si="74"/>
        <v>369791</v>
      </c>
      <c r="AF51" s="237">
        <f t="shared" si="74"/>
        <v>979070</v>
      </c>
      <c r="AG51" s="237">
        <f t="shared" si="74"/>
        <v>873172</v>
      </c>
      <c r="AH51" s="237">
        <f t="shared" si="74"/>
        <v>884586</v>
      </c>
      <c r="AI51" s="237">
        <f t="shared" si="74"/>
        <v>931213</v>
      </c>
      <c r="AJ51" s="237">
        <f t="shared" si="74"/>
        <v>758418</v>
      </c>
      <c r="AK51" s="237">
        <f t="shared" si="74"/>
        <v>647122</v>
      </c>
      <c r="AL51" s="237">
        <f t="shared" si="74"/>
        <v>689191</v>
      </c>
      <c r="AM51" s="237">
        <f t="shared" si="74"/>
        <v>632164</v>
      </c>
      <c r="AN51" s="237">
        <f t="shared" si="74"/>
        <v>786663</v>
      </c>
      <c r="AO51" s="237">
        <f t="shared" si="74"/>
        <v>648074</v>
      </c>
      <c r="AP51" s="237">
        <f t="shared" si="74"/>
        <v>377161</v>
      </c>
      <c r="AQ51" s="237">
        <f t="shared" si="74"/>
        <v>364791</v>
      </c>
      <c r="AR51" s="237">
        <f t="shared" si="74"/>
        <v>286392</v>
      </c>
      <c r="AS51" s="237">
        <f t="shared" si="74"/>
        <v>259809</v>
      </c>
      <c r="AT51" s="237">
        <f t="shared" si="74"/>
        <v>412045</v>
      </c>
      <c r="AU51" s="237">
        <f t="shared" si="74"/>
        <v>325541</v>
      </c>
      <c r="AV51" s="237">
        <f t="shared" si="74"/>
        <v>301942</v>
      </c>
      <c r="AW51" s="237">
        <f t="shared" si="74"/>
        <v>310929</v>
      </c>
      <c r="AX51" s="237">
        <f t="shared" si="74"/>
        <v>276938</v>
      </c>
      <c r="AY51" s="237">
        <f t="shared" si="74"/>
        <v>370742</v>
      </c>
      <c r="AZ51" s="237">
        <f t="shared" si="74"/>
        <v>312469</v>
      </c>
      <c r="BA51" s="237">
        <f t="shared" si="74"/>
        <v>455880</v>
      </c>
      <c r="BB51" s="237">
        <f t="shared" si="74"/>
        <v>382178</v>
      </c>
      <c r="BC51" s="237">
        <f t="shared" si="74"/>
        <v>312095</v>
      </c>
      <c r="BD51" s="237">
        <f t="shared" si="74"/>
        <v>305049</v>
      </c>
      <c r="BE51" s="237">
        <f t="shared" si="74"/>
        <v>278086</v>
      </c>
      <c r="BF51" s="237">
        <f t="shared" si="74"/>
        <v>364849</v>
      </c>
      <c r="BG51" s="237">
        <f t="shared" si="74"/>
        <v>279132</v>
      </c>
      <c r="BH51" s="237">
        <f t="shared" si="74"/>
        <v>271991</v>
      </c>
      <c r="BI51" s="237">
        <f t="shared" si="74"/>
        <v>288659</v>
      </c>
      <c r="BJ51" s="237">
        <f t="shared" si="74"/>
        <v>501107</v>
      </c>
      <c r="BK51" s="237">
        <f t="shared" si="74"/>
        <v>302727</v>
      </c>
      <c r="BL51" s="237">
        <f t="shared" si="74"/>
        <v>302727</v>
      </c>
      <c r="BM51" s="237">
        <f t="shared" si="74"/>
        <v>30000</v>
      </c>
      <c r="BN51" s="237">
        <f t="shared" si="74"/>
        <v>30000</v>
      </c>
      <c r="BO51" s="237">
        <f t="shared" si="74"/>
        <v>0</v>
      </c>
      <c r="BP51" s="237">
        <f t="shared" si="74"/>
        <v>3199870</v>
      </c>
      <c r="BQ51" s="237">
        <f t="shared" si="74"/>
        <v>3313247</v>
      </c>
      <c r="BR51" s="237">
        <f t="shared" si="74"/>
        <v>3169974</v>
      </c>
      <c r="BS51" s="237">
        <f t="shared" si="74"/>
        <v>3868776</v>
      </c>
      <c r="BT51" s="237">
        <f t="shared" si="74"/>
        <v>3505929</v>
      </c>
      <c r="BU51" s="237">
        <f t="shared" si="74"/>
        <v>3332398</v>
      </c>
      <c r="BV51" s="237">
        <f t="shared" si="74"/>
        <v>2753547</v>
      </c>
      <c r="BW51" s="237">
        <f t="shared" si="74"/>
        <v>3049554</v>
      </c>
      <c r="BX51" s="237">
        <f t="shared" si="74"/>
        <v>4823669</v>
      </c>
      <c r="BY51" s="237">
        <f t="shared" si="74"/>
        <v>0</v>
      </c>
      <c r="BZ51" s="237">
        <f t="shared" si="74"/>
        <v>0</v>
      </c>
      <c r="CA51" s="237">
        <f t="shared" si="74"/>
        <v>0</v>
      </c>
      <c r="CB51" s="237">
        <f t="shared" si="74"/>
        <v>3603657</v>
      </c>
      <c r="CC51" s="237">
        <f t="shared" si="74"/>
        <v>3456920</v>
      </c>
      <c r="CD51" s="237">
        <f t="shared" si="74"/>
        <v>3500321</v>
      </c>
      <c r="CE51" s="237">
        <f t="shared" si="74"/>
        <v>4557065</v>
      </c>
      <c r="CF51" s="237">
        <f t="shared" si="74"/>
        <v>3609577</v>
      </c>
      <c r="CG51" s="237">
        <f t="shared" si="74"/>
        <v>3560509</v>
      </c>
      <c r="CH51" s="237">
        <f t="shared" si="74"/>
        <v>3596428</v>
      </c>
      <c r="CI51" s="237">
        <f t="shared" si="74"/>
        <v>3096977</v>
      </c>
      <c r="CJ51" s="237">
        <f t="shared" si="74"/>
        <v>3060723</v>
      </c>
      <c r="CK51" s="237">
        <f t="shared" si="74"/>
        <v>3290767</v>
      </c>
      <c r="CL51" s="237">
        <f t="shared" si="74"/>
        <v>3183422</v>
      </c>
      <c r="CM51" s="237">
        <f t="shared" si="74"/>
        <v>3763649</v>
      </c>
      <c r="CN51" s="237">
        <f t="shared" si="74"/>
        <v>0</v>
      </c>
      <c r="CO51" s="237">
        <f t="shared" si="74"/>
        <v>0</v>
      </c>
    </row>
    <row r="52" ht="12.75" customHeight="1">
      <c r="A52" s="1"/>
      <c r="B52" s="1"/>
      <c r="C52" s="1"/>
      <c r="D52" s="1"/>
      <c r="E52" s="1"/>
      <c r="F52" s="242"/>
      <c r="G52" s="31"/>
      <c r="H52" s="243" t="str">
        <f>+H51/H16</f>
        <v>#REF!</v>
      </c>
      <c r="I52" s="244">
        <v>0.6371153321112368</v>
      </c>
      <c r="J52" s="244">
        <v>0.6371153321112368</v>
      </c>
      <c r="K52" s="245">
        <v>0.6371153321112368</v>
      </c>
      <c r="L52" s="245">
        <v>0.6371153321112368</v>
      </c>
      <c r="M52" s="244">
        <v>0.6371153321112368</v>
      </c>
      <c r="N52" s="246">
        <v>0.6371153321112368</v>
      </c>
      <c r="O52" s="244">
        <v>0.6371153321112368</v>
      </c>
      <c r="P52" s="244">
        <v>0.6371153321112368</v>
      </c>
      <c r="Q52" s="247">
        <v>0.6371153321112368</v>
      </c>
      <c r="R52" s="245">
        <v>0.6371153321112368</v>
      </c>
      <c r="S52" s="248">
        <v>0.6371153321112368</v>
      </c>
      <c r="T52" s="249">
        <v>0.6904069025373972</v>
      </c>
      <c r="U52" s="244">
        <v>0.6142825262218254</v>
      </c>
      <c r="V52" s="245">
        <v>0.6310615055806221</v>
      </c>
      <c r="W52" s="244">
        <v>0.637298680447544</v>
      </c>
      <c r="X52" s="245">
        <v>0.6518761167361524</v>
      </c>
      <c r="Y52" s="244">
        <v>0.5390592334494774</v>
      </c>
      <c r="Z52" s="244">
        <v>0.6502391650963908</v>
      </c>
      <c r="AA52" s="246" t="str">
        <f t="shared" ref="AA52:CO52" si="75">+AA51/AA16</f>
        <v>#DIV/0!</v>
      </c>
      <c r="AB52" s="246">
        <f t="shared" si="75"/>
        <v>1.081945763</v>
      </c>
      <c r="AC52" s="246">
        <f t="shared" si="75"/>
        <v>0.8371101566</v>
      </c>
      <c r="AD52" s="246">
        <f t="shared" si="75"/>
        <v>0.7432060303</v>
      </c>
      <c r="AE52" s="250">
        <f t="shared" si="75"/>
        <v>1.105983162</v>
      </c>
      <c r="AF52" s="246">
        <f t="shared" si="75"/>
        <v>1.024810361</v>
      </c>
      <c r="AG52" s="246">
        <f t="shared" si="75"/>
        <v>1.067048268</v>
      </c>
      <c r="AH52" s="246">
        <f t="shared" si="75"/>
        <v>1.163105591</v>
      </c>
      <c r="AI52" s="246">
        <f t="shared" si="75"/>
        <v>1.031041534</v>
      </c>
      <c r="AJ52" s="246">
        <f t="shared" si="75"/>
        <v>0.8228620903</v>
      </c>
      <c r="AK52" s="246">
        <f t="shared" si="75"/>
        <v>0.8023612499</v>
      </c>
      <c r="AL52" s="246">
        <f t="shared" si="75"/>
        <v>0.8379364512</v>
      </c>
      <c r="AM52" s="246">
        <f t="shared" si="75"/>
        <v>0.7968718289</v>
      </c>
      <c r="AN52" s="246">
        <f t="shared" si="75"/>
        <v>0.8734740966</v>
      </c>
      <c r="AO52" s="246">
        <f t="shared" si="75"/>
        <v>0.8307011573</v>
      </c>
      <c r="AP52" s="246">
        <f t="shared" si="75"/>
        <v>0.7334823009</v>
      </c>
      <c r="AQ52" s="246">
        <f t="shared" si="75"/>
        <v>1.091028996</v>
      </c>
      <c r="AR52" s="246" t="str">
        <f t="shared" si="75"/>
        <v>#DIV/0!</v>
      </c>
      <c r="AS52" s="246">
        <f t="shared" si="75"/>
        <v>3.168402439</v>
      </c>
      <c r="AT52" s="246">
        <f t="shared" si="75"/>
        <v>3.452032875</v>
      </c>
      <c r="AU52" s="246">
        <f t="shared" si="75"/>
        <v>0.8387918796</v>
      </c>
      <c r="AV52" s="246">
        <f t="shared" si="75"/>
        <v>1.013643169</v>
      </c>
      <c r="AW52" s="246">
        <f t="shared" si="75"/>
        <v>0.9676193618</v>
      </c>
      <c r="AX52" s="246">
        <f t="shared" si="75"/>
        <v>0.8472783122</v>
      </c>
      <c r="AY52" s="246">
        <f t="shared" si="75"/>
        <v>1.195120772</v>
      </c>
      <c r="AZ52" s="246">
        <f t="shared" si="75"/>
        <v>0.9669053484</v>
      </c>
      <c r="BA52" s="246">
        <f t="shared" si="75"/>
        <v>1.423761844</v>
      </c>
      <c r="BB52" s="246">
        <f t="shared" si="75"/>
        <v>1.264560489</v>
      </c>
      <c r="BC52" s="246">
        <f t="shared" si="75"/>
        <v>0.9855621205</v>
      </c>
      <c r="BD52" s="246">
        <f t="shared" si="75"/>
        <v>0.601350752</v>
      </c>
      <c r="BE52" s="246">
        <f t="shared" si="75"/>
        <v>0.75731069</v>
      </c>
      <c r="BF52" s="246">
        <f t="shared" si="75"/>
        <v>1.02724017</v>
      </c>
      <c r="BG52" s="246">
        <f t="shared" si="75"/>
        <v>0.8121904806</v>
      </c>
      <c r="BH52" s="246">
        <f t="shared" si="75"/>
        <v>0.8752980778</v>
      </c>
      <c r="BI52" s="246">
        <f t="shared" si="75"/>
        <v>0.9435582461</v>
      </c>
      <c r="BJ52" s="246">
        <f t="shared" si="75"/>
        <v>2.525995564</v>
      </c>
      <c r="BK52" s="246" t="str">
        <f t="shared" si="75"/>
        <v>#DIV/0!</v>
      </c>
      <c r="BL52" s="246" t="str">
        <f t="shared" si="75"/>
        <v>#DIV/0!</v>
      </c>
      <c r="BM52" s="246">
        <f t="shared" si="75"/>
        <v>0.09428566041</v>
      </c>
      <c r="BN52" s="246" t="str">
        <f t="shared" si="75"/>
        <v>#DIV/0!</v>
      </c>
      <c r="BO52" s="246" t="str">
        <f t="shared" si="75"/>
        <v>#DIV/0!</v>
      </c>
      <c r="BP52" s="246">
        <f t="shared" si="75"/>
        <v>1.01018848</v>
      </c>
      <c r="BQ52" s="246">
        <f t="shared" si="75"/>
        <v>0.9673634785</v>
      </c>
      <c r="BR52" s="246">
        <f t="shared" si="75"/>
        <v>1.089151379</v>
      </c>
      <c r="BS52" s="246">
        <f t="shared" si="75"/>
        <v>1.069420434</v>
      </c>
      <c r="BT52" s="246">
        <f t="shared" si="75"/>
        <v>1.219761582</v>
      </c>
      <c r="BU52" s="246">
        <f t="shared" si="75"/>
        <v>1.281255911</v>
      </c>
      <c r="BV52" s="246">
        <f t="shared" si="75"/>
        <v>1.086185697</v>
      </c>
      <c r="BW52" s="246">
        <f t="shared" si="75"/>
        <v>1.198767408</v>
      </c>
      <c r="BX52" s="246">
        <f t="shared" si="75"/>
        <v>1.530473715</v>
      </c>
      <c r="BY52" s="246" t="str">
        <f t="shared" si="75"/>
        <v>#DIV/0!</v>
      </c>
      <c r="BZ52" s="246" t="str">
        <f t="shared" si="75"/>
        <v>#DIV/0!</v>
      </c>
      <c r="CA52" s="246" t="str">
        <f t="shared" si="75"/>
        <v>#DIV/0!</v>
      </c>
      <c r="CB52" s="246">
        <f t="shared" si="75"/>
        <v>1.011285153</v>
      </c>
      <c r="CC52" s="246">
        <f t="shared" si="75"/>
        <v>0.5815056079</v>
      </c>
      <c r="CD52" s="246">
        <f t="shared" si="75"/>
        <v>0.9788618782</v>
      </c>
      <c r="CE52" s="246">
        <f t="shared" si="75"/>
        <v>1.252489414</v>
      </c>
      <c r="CF52" s="246">
        <f t="shared" si="75"/>
        <v>0.9292457348</v>
      </c>
      <c r="CG52" s="246">
        <f t="shared" si="75"/>
        <v>0.9937087136</v>
      </c>
      <c r="CH52" s="246">
        <f t="shared" si="75"/>
        <v>0.967906261</v>
      </c>
      <c r="CI52" s="246">
        <f t="shared" si="75"/>
        <v>0.6818154699</v>
      </c>
      <c r="CJ52" s="246">
        <f t="shared" si="75"/>
        <v>0.6494128446</v>
      </c>
      <c r="CK52" s="246">
        <f t="shared" si="75"/>
        <v>0.5704199583</v>
      </c>
      <c r="CL52" s="246">
        <f t="shared" si="75"/>
        <v>0.954353876</v>
      </c>
      <c r="CM52" s="246">
        <f t="shared" si="75"/>
        <v>0.8902713878</v>
      </c>
      <c r="CN52" s="246" t="str">
        <f t="shared" si="75"/>
        <v>#DIV/0!</v>
      </c>
      <c r="CO52" s="246" t="str">
        <f t="shared" si="75"/>
        <v>#DIV/0!</v>
      </c>
    </row>
    <row r="53" ht="12.75" hidden="1" customHeight="1">
      <c r="A53" s="1"/>
      <c r="B53" s="1"/>
      <c r="C53" s="1"/>
      <c r="D53" s="1"/>
      <c r="E53" s="1"/>
      <c r="F53" s="19"/>
      <c r="G53" s="19"/>
      <c r="H53" s="19"/>
      <c r="I53" s="20"/>
      <c r="J53" s="20"/>
      <c r="K53" s="251"/>
      <c r="L53" s="20"/>
      <c r="M53" s="20"/>
      <c r="N53" s="19"/>
      <c r="O53" s="20"/>
      <c r="P53" s="20"/>
      <c r="Q53" s="19"/>
      <c r="R53" s="20"/>
      <c r="S53" s="20"/>
      <c r="T53" s="251"/>
      <c r="U53" s="251"/>
      <c r="V53" s="20"/>
      <c r="W53" s="251"/>
      <c r="X53" s="20"/>
      <c r="Y53" s="252"/>
      <c r="Z53" s="251"/>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row>
    <row r="54" ht="12.75" hidden="1" customHeight="1">
      <c r="A54" s="1"/>
      <c r="B54" s="1"/>
      <c r="C54" s="1"/>
      <c r="D54" s="1"/>
      <c r="E54" s="1"/>
      <c r="F54" s="19"/>
      <c r="G54" s="19"/>
      <c r="H54" s="19"/>
      <c r="I54" s="20"/>
      <c r="J54" s="20"/>
      <c r="K54" s="251"/>
      <c r="L54" s="20"/>
      <c r="M54" s="20"/>
      <c r="N54" s="19"/>
      <c r="O54" s="20"/>
      <c r="P54" s="20"/>
      <c r="Q54" s="19"/>
      <c r="R54" s="20"/>
      <c r="S54" s="20"/>
      <c r="T54" s="251"/>
      <c r="U54" s="251"/>
      <c r="V54" s="20"/>
      <c r="W54" s="251"/>
      <c r="X54" s="20"/>
      <c r="Y54" s="252"/>
      <c r="Z54" s="251"/>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row>
    <row r="55" ht="16.5" customHeight="1">
      <c r="A55" s="1"/>
      <c r="B55" s="1"/>
      <c r="C55" s="1"/>
      <c r="D55" s="1"/>
      <c r="E55" s="1"/>
      <c r="F55" s="253" t="s">
        <v>49</v>
      </c>
      <c r="G55" s="253"/>
      <c r="H55" s="19"/>
      <c r="I55" s="20"/>
      <c r="J55" s="20"/>
      <c r="K55" s="251"/>
      <c r="L55" s="20"/>
      <c r="M55" s="20"/>
      <c r="N55" s="19"/>
      <c r="O55" s="20"/>
      <c r="P55" s="20"/>
      <c r="Q55" s="19"/>
      <c r="R55" s="20"/>
      <c r="S55" s="20"/>
      <c r="T55" s="251"/>
      <c r="U55" s="251"/>
      <c r="V55" s="20"/>
      <c r="W55" s="251"/>
      <c r="X55" s="20"/>
      <c r="Y55" s="252"/>
      <c r="Z55" s="251"/>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row>
    <row r="56" ht="18.0" customHeight="1">
      <c r="A56" s="1"/>
      <c r="B56" s="1"/>
      <c r="C56" s="1"/>
      <c r="D56" s="1"/>
      <c r="E56" s="1"/>
      <c r="F56" s="254" t="s">
        <v>50</v>
      </c>
      <c r="G56" s="22"/>
      <c r="H56" s="255" t="str">
        <f t="shared" ref="H56:H57" si="78">+H9</f>
        <v>#REF!</v>
      </c>
      <c r="I56" s="256" t="s">
        <v>2</v>
      </c>
      <c r="J56" s="256" t="s">
        <v>2</v>
      </c>
      <c r="K56" s="256" t="s">
        <v>2</v>
      </c>
      <c r="L56" s="256" t="s">
        <v>2</v>
      </c>
      <c r="M56" s="256" t="s">
        <v>2</v>
      </c>
      <c r="N56" s="257" t="str">
        <f t="shared" ref="N56:O56" si="76">+N9</f>
        <v>#REF!</v>
      </c>
      <c r="O56" s="256">
        <f t="shared" si="76"/>
        <v>8</v>
      </c>
      <c r="P56" s="256" t="s">
        <v>2</v>
      </c>
      <c r="Q56" s="257" t="s">
        <v>2</v>
      </c>
      <c r="R56" s="256" t="s">
        <v>2</v>
      </c>
      <c r="S56" s="258" t="s">
        <v>2</v>
      </c>
      <c r="T56" s="259" t="s">
        <v>2</v>
      </c>
      <c r="U56" s="256" t="s">
        <v>2</v>
      </c>
      <c r="V56" s="256" t="s">
        <v>2</v>
      </c>
      <c r="W56" s="256" t="s">
        <v>2</v>
      </c>
      <c r="X56" s="256" t="s">
        <v>2</v>
      </c>
      <c r="Y56" s="256" t="s">
        <v>2</v>
      </c>
      <c r="Z56" s="256" t="s">
        <v>2</v>
      </c>
      <c r="AA56" s="257" t="str">
        <f t="shared" ref="AA56:CO56" si="77">+AA9</f>
        <v>実績</v>
      </c>
      <c r="AB56" s="257" t="str">
        <f t="shared" si="77"/>
        <v>予算</v>
      </c>
      <c r="AC56" s="257" t="str">
        <f t="shared" si="77"/>
        <v>予算</v>
      </c>
      <c r="AD56" s="257" t="str">
        <f t="shared" si="77"/>
        <v>予算</v>
      </c>
      <c r="AE56" s="260" t="str">
        <f t="shared" si="77"/>
        <v>予算</v>
      </c>
      <c r="AF56" s="261" t="str">
        <f t="shared" si="77"/>
        <v>手入力</v>
      </c>
      <c r="AG56" s="262" t="str">
        <f t="shared" si="77"/>
        <v>手入力</v>
      </c>
      <c r="AH56" s="262" t="str">
        <f t="shared" si="77"/>
        <v>手入力</v>
      </c>
      <c r="AI56" s="262" t="str">
        <f t="shared" si="77"/>
        <v>手入力</v>
      </c>
      <c r="AJ56" s="262" t="str">
        <f t="shared" si="77"/>
        <v>手入力</v>
      </c>
      <c r="AK56" s="262" t="str">
        <f t="shared" si="77"/>
        <v>手入力</v>
      </c>
      <c r="AL56" s="262" t="str">
        <f t="shared" si="77"/>
        <v>手入力</v>
      </c>
      <c r="AM56" s="262" t="str">
        <f t="shared" si="77"/>
        <v>手入力</v>
      </c>
      <c r="AN56" s="262" t="str">
        <f t="shared" si="77"/>
        <v>手入力</v>
      </c>
      <c r="AO56" s="262" t="str">
        <f t="shared" si="77"/>
        <v>手入力</v>
      </c>
      <c r="AP56" s="262" t="str">
        <f t="shared" si="77"/>
        <v>手入力</v>
      </c>
      <c r="AQ56" s="262" t="str">
        <f t="shared" si="77"/>
        <v>手入力</v>
      </c>
      <c r="AR56" s="262" t="str">
        <f t="shared" si="77"/>
        <v>手入力</v>
      </c>
      <c r="AS56" s="262" t="str">
        <f t="shared" si="77"/>
        <v>手入力</v>
      </c>
      <c r="AT56" s="262" t="str">
        <f t="shared" si="77"/>
        <v>手入力</v>
      </c>
      <c r="AU56" s="262" t="str">
        <f t="shared" si="77"/>
        <v>手入力</v>
      </c>
      <c r="AV56" s="262" t="str">
        <f t="shared" si="77"/>
        <v>手入力</v>
      </c>
      <c r="AW56" s="262" t="str">
        <f t="shared" si="77"/>
        <v>手入力</v>
      </c>
      <c r="AX56" s="262" t="str">
        <f t="shared" si="77"/>
        <v>手入力</v>
      </c>
      <c r="AY56" s="262" t="str">
        <f t="shared" si="77"/>
        <v>手入力</v>
      </c>
      <c r="AZ56" s="262" t="str">
        <f t="shared" si="77"/>
        <v>手入力</v>
      </c>
      <c r="BA56" s="262" t="str">
        <f t="shared" si="77"/>
        <v>手入力</v>
      </c>
      <c r="BB56" s="262" t="str">
        <f t="shared" si="77"/>
        <v>手入力</v>
      </c>
      <c r="BC56" s="262" t="str">
        <f t="shared" si="77"/>
        <v>手入力</v>
      </c>
      <c r="BD56" s="262" t="str">
        <f t="shared" si="77"/>
        <v>手入力</v>
      </c>
      <c r="BE56" s="262" t="str">
        <f t="shared" si="77"/>
        <v>手入力</v>
      </c>
      <c r="BF56" s="262" t="str">
        <f t="shared" si="77"/>
        <v>手入力</v>
      </c>
      <c r="BG56" s="262" t="str">
        <f t="shared" si="77"/>
        <v>手入力</v>
      </c>
      <c r="BH56" s="262" t="str">
        <f t="shared" si="77"/>
        <v>手入力</v>
      </c>
      <c r="BI56" s="262" t="str">
        <f t="shared" si="77"/>
        <v>手入力</v>
      </c>
      <c r="BJ56" s="262" t="str">
        <f t="shared" si="77"/>
        <v>手入力</v>
      </c>
      <c r="BK56" s="262" t="str">
        <f t="shared" si="77"/>
        <v>手入力</v>
      </c>
      <c r="BL56" s="262" t="str">
        <f t="shared" si="77"/>
        <v>手入力</v>
      </c>
      <c r="BM56" s="262" t="str">
        <f t="shared" si="77"/>
        <v>手入力</v>
      </c>
      <c r="BN56" s="262" t="str">
        <f t="shared" si="77"/>
        <v>手入力</v>
      </c>
      <c r="BO56" s="262" t="str">
        <f t="shared" si="77"/>
        <v>手入力</v>
      </c>
      <c r="BP56" s="262" t="str">
        <f t="shared" si="77"/>
        <v/>
      </c>
      <c r="BQ56" s="262" t="str">
        <f t="shared" si="77"/>
        <v/>
      </c>
      <c r="BR56" s="262" t="str">
        <f t="shared" si="77"/>
        <v/>
      </c>
      <c r="BS56" s="262" t="str">
        <f t="shared" si="77"/>
        <v/>
      </c>
      <c r="BT56" s="262" t="str">
        <f t="shared" si="77"/>
        <v/>
      </c>
      <c r="BU56" s="262" t="str">
        <f t="shared" si="77"/>
        <v/>
      </c>
      <c r="BV56" s="262" t="str">
        <f t="shared" si="77"/>
        <v/>
      </c>
      <c r="BW56" s="262" t="str">
        <f t="shared" si="77"/>
        <v/>
      </c>
      <c r="BX56" s="262" t="str">
        <f t="shared" si="77"/>
        <v/>
      </c>
      <c r="BY56" s="262" t="str">
        <f t="shared" si="77"/>
        <v/>
      </c>
      <c r="BZ56" s="262" t="str">
        <f t="shared" si="77"/>
        <v/>
      </c>
      <c r="CA56" s="262" t="str">
        <f t="shared" si="77"/>
        <v/>
      </c>
      <c r="CB56" s="262" t="str">
        <f t="shared" si="77"/>
        <v/>
      </c>
      <c r="CC56" s="262" t="str">
        <f t="shared" si="77"/>
        <v/>
      </c>
      <c r="CD56" s="262" t="str">
        <f t="shared" si="77"/>
        <v/>
      </c>
      <c r="CE56" s="262" t="str">
        <f t="shared" si="77"/>
        <v/>
      </c>
      <c r="CF56" s="262" t="str">
        <f t="shared" si="77"/>
        <v/>
      </c>
      <c r="CG56" s="262" t="str">
        <f t="shared" si="77"/>
        <v/>
      </c>
      <c r="CH56" s="262" t="str">
        <f t="shared" si="77"/>
        <v/>
      </c>
      <c r="CI56" s="262" t="str">
        <f t="shared" si="77"/>
        <v/>
      </c>
      <c r="CJ56" s="262" t="str">
        <f t="shared" si="77"/>
        <v/>
      </c>
      <c r="CK56" s="262" t="str">
        <f t="shared" si="77"/>
        <v/>
      </c>
      <c r="CL56" s="262" t="str">
        <f t="shared" si="77"/>
        <v/>
      </c>
      <c r="CM56" s="262" t="str">
        <f t="shared" si="77"/>
        <v/>
      </c>
      <c r="CN56" s="262" t="str">
        <f t="shared" si="77"/>
        <v/>
      </c>
      <c r="CO56" s="262" t="str">
        <f t="shared" si="77"/>
        <v/>
      </c>
    </row>
    <row r="57" ht="18.0" customHeight="1">
      <c r="A57" s="1"/>
      <c r="B57" s="1"/>
      <c r="C57" s="1"/>
      <c r="D57" s="1"/>
      <c r="E57" s="1"/>
      <c r="F57" s="30"/>
      <c r="G57" s="31"/>
      <c r="H57" s="263" t="str">
        <f t="shared" si="78"/>
        <v>#REF!</v>
      </c>
      <c r="I57" s="264" t="str">
        <f>+I10</f>
        <v>#REF!</v>
      </c>
      <c r="J57" s="264">
        <v>30.09</v>
      </c>
      <c r="K57" s="264">
        <f>+K10</f>
        <v>30.1</v>
      </c>
      <c r="L57" s="264">
        <v>30.11</v>
      </c>
      <c r="M57" s="264">
        <v>30.12</v>
      </c>
      <c r="N57" s="265">
        <f t="shared" ref="N57:O57" si="79">+N10</f>
        <v>31.01</v>
      </c>
      <c r="O57" s="264">
        <f t="shared" si="79"/>
        <v>31.02</v>
      </c>
      <c r="P57" s="264">
        <v>31.03</v>
      </c>
      <c r="Q57" s="265">
        <v>31.04</v>
      </c>
      <c r="R57" s="264">
        <v>31.05</v>
      </c>
      <c r="S57" s="266">
        <v>31.06</v>
      </c>
      <c r="T57" s="267">
        <v>31.07</v>
      </c>
      <c r="U57" s="264">
        <v>31.08</v>
      </c>
      <c r="V57" s="264">
        <v>31.09</v>
      </c>
      <c r="W57" s="264">
        <v>31.1</v>
      </c>
      <c r="X57" s="264">
        <v>31.11</v>
      </c>
      <c r="Y57" s="264">
        <v>31.12</v>
      </c>
      <c r="Z57" s="264">
        <v>32.01</v>
      </c>
      <c r="AA57" s="265">
        <f t="shared" ref="AA57:AG57" si="80">+AA10</f>
        <v>32.02</v>
      </c>
      <c r="AB57" s="265">
        <f t="shared" si="80"/>
        <v>32.03</v>
      </c>
      <c r="AC57" s="265">
        <f t="shared" si="80"/>
        <v>32.04</v>
      </c>
      <c r="AD57" s="265">
        <f t="shared" si="80"/>
        <v>32.05</v>
      </c>
      <c r="AE57" s="268">
        <f t="shared" si="80"/>
        <v>32.06</v>
      </c>
      <c r="AF57" s="269">
        <f t="shared" si="80"/>
        <v>32.07</v>
      </c>
      <c r="AG57" s="265">
        <f t="shared" si="80"/>
        <v>32.08</v>
      </c>
      <c r="AH57" s="270">
        <f t="shared" ref="AH57:CO57" si="81">AH10</f>
        <v>32.09</v>
      </c>
      <c r="AI57" s="270">
        <f t="shared" si="81"/>
        <v>32.1</v>
      </c>
      <c r="AJ57" s="270">
        <f t="shared" si="81"/>
        <v>32.11</v>
      </c>
      <c r="AK57" s="270">
        <f t="shared" si="81"/>
        <v>32.12</v>
      </c>
      <c r="AL57" s="270">
        <f t="shared" si="81"/>
        <v>33.01</v>
      </c>
      <c r="AM57" s="270">
        <f t="shared" si="81"/>
        <v>33.02</v>
      </c>
      <c r="AN57" s="270">
        <f t="shared" si="81"/>
        <v>33.03</v>
      </c>
      <c r="AO57" s="270">
        <f t="shared" si="81"/>
        <v>33.04</v>
      </c>
      <c r="AP57" s="270">
        <f t="shared" si="81"/>
        <v>33.05</v>
      </c>
      <c r="AQ57" s="270">
        <f t="shared" si="81"/>
        <v>33.06</v>
      </c>
      <c r="AR57" s="270">
        <f t="shared" si="81"/>
        <v>33.07</v>
      </c>
      <c r="AS57" s="270">
        <f t="shared" si="81"/>
        <v>33.08</v>
      </c>
      <c r="AT57" s="270">
        <f t="shared" si="81"/>
        <v>33.09</v>
      </c>
      <c r="AU57" s="270">
        <f t="shared" si="81"/>
        <v>33.1</v>
      </c>
      <c r="AV57" s="270">
        <f t="shared" si="81"/>
        <v>33.11</v>
      </c>
      <c r="AW57" s="270">
        <f t="shared" si="81"/>
        <v>33.12</v>
      </c>
      <c r="AX57" s="270">
        <f t="shared" si="81"/>
        <v>34.01</v>
      </c>
      <c r="AY57" s="270">
        <f t="shared" si="81"/>
        <v>34.02</v>
      </c>
      <c r="AZ57" s="270">
        <f t="shared" si="81"/>
        <v>34.03</v>
      </c>
      <c r="BA57" s="270">
        <f t="shared" si="81"/>
        <v>34.04</v>
      </c>
      <c r="BB57" s="270">
        <f t="shared" si="81"/>
        <v>34.05</v>
      </c>
      <c r="BC57" s="270">
        <f t="shared" si="81"/>
        <v>34.06</v>
      </c>
      <c r="BD57" s="270">
        <f t="shared" si="81"/>
        <v>34.07</v>
      </c>
      <c r="BE57" s="270">
        <f t="shared" si="81"/>
        <v>34.08</v>
      </c>
      <c r="BF57" s="270">
        <f t="shared" si="81"/>
        <v>34.09</v>
      </c>
      <c r="BG57" s="270">
        <f t="shared" si="81"/>
        <v>34.1</v>
      </c>
      <c r="BH57" s="270">
        <f t="shared" si="81"/>
        <v>34.11</v>
      </c>
      <c r="BI57" s="270">
        <f t="shared" si="81"/>
        <v>34.12</v>
      </c>
      <c r="BJ57" s="270">
        <f t="shared" si="81"/>
        <v>35.01</v>
      </c>
      <c r="BK57" s="270">
        <f t="shared" si="81"/>
        <v>35.02</v>
      </c>
      <c r="BL57" s="270">
        <f t="shared" si="81"/>
        <v>35.03</v>
      </c>
      <c r="BM57" s="270">
        <f t="shared" si="81"/>
        <v>35.04</v>
      </c>
      <c r="BN57" s="270">
        <f t="shared" si="81"/>
        <v>35.05</v>
      </c>
      <c r="BO57" s="270">
        <f t="shared" si="81"/>
        <v>35.06</v>
      </c>
      <c r="BP57" s="270">
        <f t="shared" si="81"/>
        <v>2024.07</v>
      </c>
      <c r="BQ57" s="270">
        <f t="shared" si="81"/>
        <v>2024.08</v>
      </c>
      <c r="BR57" s="270">
        <f t="shared" si="81"/>
        <v>2024.09</v>
      </c>
      <c r="BS57" s="270" t="str">
        <f t="shared" si="81"/>
        <v>2024.10.</v>
      </c>
      <c r="BT57" s="270" t="str">
        <f t="shared" si="81"/>
        <v>2024.11.</v>
      </c>
      <c r="BU57" s="270" t="str">
        <f t="shared" si="81"/>
        <v>2024.12.</v>
      </c>
      <c r="BV57" s="270">
        <f t="shared" si="81"/>
        <v>2025.01</v>
      </c>
      <c r="BW57" s="270">
        <f t="shared" si="81"/>
        <v>2025.02</v>
      </c>
      <c r="BX57" s="270">
        <f t="shared" si="81"/>
        <v>2025.03</v>
      </c>
      <c r="BY57" s="270">
        <f t="shared" si="81"/>
        <v>2025.04</v>
      </c>
      <c r="BZ57" s="270">
        <f t="shared" si="81"/>
        <v>2025.05</v>
      </c>
      <c r="CA57" s="270">
        <f t="shared" si="81"/>
        <v>2025.06</v>
      </c>
      <c r="CB57" s="270">
        <f t="shared" si="81"/>
        <v>2025.04</v>
      </c>
      <c r="CC57" s="270">
        <f t="shared" si="81"/>
        <v>2025.05</v>
      </c>
      <c r="CD57" s="270">
        <f t="shared" si="81"/>
        <v>2025.06</v>
      </c>
      <c r="CE57" s="270">
        <f t="shared" si="81"/>
        <v>2025.07</v>
      </c>
      <c r="CF57" s="270">
        <f t="shared" si="81"/>
        <v>2025.08</v>
      </c>
      <c r="CG57" s="270">
        <f t="shared" si="81"/>
        <v>2025.09</v>
      </c>
      <c r="CH57" s="270" t="str">
        <f t="shared" si="81"/>
        <v>2025.10.</v>
      </c>
      <c r="CI57" s="270">
        <f t="shared" si="81"/>
        <v>2025.11</v>
      </c>
      <c r="CJ57" s="270">
        <f t="shared" si="81"/>
        <v>2025.12</v>
      </c>
      <c r="CK57" s="270">
        <f t="shared" si="81"/>
        <v>2026.01</v>
      </c>
      <c r="CL57" s="270">
        <f t="shared" si="81"/>
        <v>2026.02</v>
      </c>
      <c r="CM57" s="270">
        <f t="shared" si="81"/>
        <v>2026.03</v>
      </c>
      <c r="CN57" s="270">
        <f t="shared" si="81"/>
        <v>2026.04</v>
      </c>
      <c r="CO57" s="270">
        <f t="shared" si="81"/>
        <v>2026.05</v>
      </c>
    </row>
    <row r="58" ht="18.0" customHeight="1">
      <c r="A58" s="1"/>
      <c r="B58" s="1"/>
      <c r="C58" s="1"/>
      <c r="D58" s="1"/>
      <c r="E58" s="1"/>
      <c r="F58" s="271" t="s">
        <v>51</v>
      </c>
      <c r="G58" s="272"/>
      <c r="H58" s="273">
        <v>12372.0</v>
      </c>
      <c r="I58" s="274">
        <f>+H87</f>
        <v>14277</v>
      </c>
      <c r="J58" s="274">
        <v>5700.398333333331</v>
      </c>
      <c r="K58" s="274">
        <v>6047.934999999998</v>
      </c>
      <c r="L58" s="274">
        <v>5625.629999999997</v>
      </c>
      <c r="M58" s="274">
        <v>11196.060000000001</v>
      </c>
      <c r="N58" s="275">
        <f>+M87</f>
        <v>20592.465</v>
      </c>
      <c r="O58" s="274">
        <v>12140.360000000004</v>
      </c>
      <c r="P58" s="274">
        <v>12286.67000000001</v>
      </c>
      <c r="Q58" s="274">
        <v>18233.83500000001</v>
      </c>
      <c r="R58" s="274">
        <v>14652.17500000001</v>
      </c>
      <c r="S58" s="276">
        <v>11925.215000000015</v>
      </c>
      <c r="T58" s="277">
        <v>12755.850000000017</v>
      </c>
      <c r="U58" s="274">
        <v>10625.870000000017</v>
      </c>
      <c r="V58" s="274">
        <v>8173.610000000019</v>
      </c>
      <c r="W58" s="274">
        <v>4154.460000000017</v>
      </c>
      <c r="X58" s="274">
        <v>3899.835000000021</v>
      </c>
      <c r="Y58" s="274"/>
      <c r="Z58" s="274"/>
      <c r="AA58" s="278"/>
      <c r="AB58" s="278">
        <f>+AA87</f>
        <v>4057182</v>
      </c>
      <c r="AC58" s="278">
        <f t="shared" ref="AC58:AE58" si="82">+AB87+AB89</f>
        <v>3968109</v>
      </c>
      <c r="AD58" s="278">
        <f t="shared" si="82"/>
        <v>3610744</v>
      </c>
      <c r="AE58" s="278">
        <f t="shared" si="82"/>
        <v>3158494</v>
      </c>
      <c r="AF58" s="278">
        <v>3144196.0</v>
      </c>
      <c r="AG58" s="278">
        <f t="shared" ref="AG58:AH58" si="83">AF88</f>
        <v>5335921</v>
      </c>
      <c r="AH58" s="278">
        <f t="shared" si="83"/>
        <v>4697613</v>
      </c>
      <c r="AI58" s="278">
        <v>4913932.0</v>
      </c>
      <c r="AJ58" s="278">
        <v>4865910.0</v>
      </c>
      <c r="AK58" s="279">
        <v>9861214.0</v>
      </c>
      <c r="AL58" s="278">
        <v>9424607.0</v>
      </c>
      <c r="AM58" s="279">
        <v>9466929.0</v>
      </c>
      <c r="AN58" s="278">
        <v>8954292.0</v>
      </c>
      <c r="AO58" s="278">
        <v>8736916.0</v>
      </c>
      <c r="AP58" s="278">
        <v>8576078.0</v>
      </c>
      <c r="AQ58" s="278">
        <f>AP88</f>
        <v>8285812</v>
      </c>
      <c r="AR58" s="278">
        <v>8066768.0</v>
      </c>
      <c r="AS58" s="278">
        <f t="shared" ref="AS58:BE58" si="84">+AR87+AR89</f>
        <v>7636804</v>
      </c>
      <c r="AT58" s="278">
        <f t="shared" si="84"/>
        <v>6810608</v>
      </c>
      <c r="AU58" s="278">
        <f t="shared" si="84"/>
        <v>6122905</v>
      </c>
      <c r="AV58" s="278">
        <f t="shared" si="84"/>
        <v>6380845</v>
      </c>
      <c r="AW58" s="278">
        <f t="shared" si="84"/>
        <v>6926730</v>
      </c>
      <c r="AX58" s="278">
        <f t="shared" si="84"/>
        <v>6836565</v>
      </c>
      <c r="AY58" s="278">
        <f t="shared" si="84"/>
        <v>6852150</v>
      </c>
      <c r="AZ58" s="278">
        <f t="shared" si="84"/>
        <v>6964034</v>
      </c>
      <c r="BA58" s="278">
        <f t="shared" si="84"/>
        <v>6950471</v>
      </c>
      <c r="BB58" s="278">
        <f t="shared" si="84"/>
        <v>4118885</v>
      </c>
      <c r="BC58" s="278">
        <f t="shared" si="84"/>
        <v>7619143</v>
      </c>
      <c r="BD58" s="278">
        <f t="shared" si="84"/>
        <v>7560325</v>
      </c>
      <c r="BE58" s="278">
        <f t="shared" si="84"/>
        <v>7641687</v>
      </c>
      <c r="BF58" s="278">
        <v>7290061.0</v>
      </c>
      <c r="BG58" s="278">
        <f t="shared" ref="BG58:BO58" si="85">+BF87+BF89</f>
        <v>7282296</v>
      </c>
      <c r="BH58" s="278">
        <f t="shared" si="85"/>
        <v>4184250</v>
      </c>
      <c r="BI58" s="278">
        <f t="shared" si="85"/>
        <v>4028550</v>
      </c>
      <c r="BJ58" s="278">
        <f t="shared" si="85"/>
        <v>3979970</v>
      </c>
      <c r="BK58" s="278">
        <f t="shared" si="85"/>
        <v>4265220</v>
      </c>
      <c r="BL58" s="278">
        <f t="shared" si="85"/>
        <v>4230703</v>
      </c>
      <c r="BM58" s="278">
        <f t="shared" si="85"/>
        <v>4399413</v>
      </c>
      <c r="BN58" s="278">
        <f t="shared" si="85"/>
        <v>3693996</v>
      </c>
      <c r="BO58" s="278">
        <f t="shared" si="85"/>
        <v>3638036</v>
      </c>
      <c r="BP58" s="278">
        <v>671260.0</v>
      </c>
      <c r="BQ58" s="278">
        <v>2023687.0</v>
      </c>
      <c r="BR58" s="278">
        <f t="shared" ref="BR58:BT58" si="86">+BQ87+BQ89</f>
        <v>1257449</v>
      </c>
      <c r="BS58" s="278">
        <f t="shared" si="86"/>
        <v>1016388</v>
      </c>
      <c r="BT58" s="278">
        <f t="shared" si="86"/>
        <v>1261712</v>
      </c>
      <c r="BU58" s="278">
        <v>1153838.0</v>
      </c>
      <c r="BV58" s="278">
        <v>4266131.0</v>
      </c>
      <c r="BW58" s="278">
        <f>+BV87+BV89</f>
        <v>1370561</v>
      </c>
      <c r="BX58" s="278">
        <v>3046107.0</v>
      </c>
      <c r="BY58" s="278">
        <f t="shared" ref="BY58:CA58" si="87">+BX87+BX89</f>
        <v>1885231</v>
      </c>
      <c r="BZ58" s="278">
        <f t="shared" si="87"/>
        <v>1885231</v>
      </c>
      <c r="CA58" s="278">
        <f t="shared" si="87"/>
        <v>1885231</v>
      </c>
      <c r="CB58" s="278">
        <v>0.0</v>
      </c>
      <c r="CC58" s="278">
        <f t="shared" ref="CC58:CE58" si="88">+CB87+CB89</f>
        <v>2375095</v>
      </c>
      <c r="CD58" s="278">
        <f t="shared" si="88"/>
        <v>5059346</v>
      </c>
      <c r="CE58" s="278">
        <f t="shared" si="88"/>
        <v>4009152</v>
      </c>
      <c r="CF58" s="278">
        <v>1363824.0</v>
      </c>
      <c r="CG58" s="278">
        <f t="shared" ref="CG58:CH58" si="89">+CF87+CF89</f>
        <v>1675586</v>
      </c>
      <c r="CH58" s="278">
        <f t="shared" si="89"/>
        <v>589379</v>
      </c>
      <c r="CI58" s="278">
        <f t="shared" ref="CI58:CO58" si="90">IF(CH88="",CH87,CH88)</f>
        <v>950549</v>
      </c>
      <c r="CJ58" s="278">
        <f t="shared" si="90"/>
        <v>2427751</v>
      </c>
      <c r="CK58" s="278">
        <f t="shared" si="90"/>
        <v>3121861</v>
      </c>
      <c r="CL58" s="278">
        <f t="shared" si="90"/>
        <v>3955759</v>
      </c>
      <c r="CM58" s="278">
        <f t="shared" si="90"/>
        <v>4382370</v>
      </c>
      <c r="CN58" s="278">
        <f t="shared" si="90"/>
        <v>1674873</v>
      </c>
      <c r="CO58" s="278">
        <f t="shared" si="90"/>
        <v>948701.33</v>
      </c>
    </row>
    <row r="59" ht="18.0" customHeight="1">
      <c r="A59" s="1"/>
      <c r="B59" s="1"/>
      <c r="C59" s="1"/>
      <c r="D59" s="1"/>
      <c r="E59" s="1"/>
      <c r="F59" s="280" t="s">
        <v>52</v>
      </c>
      <c r="G59" s="281" t="s">
        <v>53</v>
      </c>
      <c r="H59" s="282">
        <f>25065-5027</f>
        <v>20038</v>
      </c>
      <c r="I59" s="283" t="str">
        <f>+I16*$D16+1531</f>
        <v>#REF!</v>
      </c>
      <c r="J59" s="283">
        <v>18020.2</v>
      </c>
      <c r="K59" s="283">
        <v>20391.8</v>
      </c>
      <c r="L59" s="283">
        <v>21469.4</v>
      </c>
      <c r="M59" s="283">
        <v>29101.0</v>
      </c>
      <c r="N59" s="284" t="str">
        <f>+N16*$D16+1431</f>
        <v>#REF!</v>
      </c>
      <c r="O59" s="283">
        <v>19632.600000000002</v>
      </c>
      <c r="P59" s="283">
        <v>27075.600000000002</v>
      </c>
      <c r="Q59" s="283">
        <v>19295.600000000002</v>
      </c>
      <c r="R59" s="283">
        <v>19013.2</v>
      </c>
      <c r="S59" s="285">
        <v>19745.2</v>
      </c>
      <c r="T59" s="286">
        <v>16092.6</v>
      </c>
      <c r="U59" s="283">
        <v>18516.0</v>
      </c>
      <c r="V59" s="283">
        <v>16173.0</v>
      </c>
      <c r="W59" s="283">
        <v>16612.800000000003</v>
      </c>
      <c r="X59" s="283">
        <v>15834.400000000001</v>
      </c>
      <c r="Y59" s="283"/>
      <c r="Z59" s="283"/>
      <c r="AA59" s="287"/>
      <c r="AB59" s="287">
        <f t="shared" ref="AB59:AR59" si="91">+AB16*$D16</f>
        <v>0</v>
      </c>
      <c r="AC59" s="287">
        <f t="shared" si="91"/>
        <v>0</v>
      </c>
      <c r="AD59" s="287">
        <f t="shared" si="91"/>
        <v>0</v>
      </c>
      <c r="AE59" s="281">
        <f t="shared" si="91"/>
        <v>0</v>
      </c>
      <c r="AF59" s="288">
        <f t="shared" si="91"/>
        <v>0</v>
      </c>
      <c r="AG59" s="287">
        <f t="shared" si="91"/>
        <v>0</v>
      </c>
      <c r="AH59" s="287">
        <f t="shared" si="91"/>
        <v>0</v>
      </c>
      <c r="AI59" s="287">
        <f t="shared" si="91"/>
        <v>0</v>
      </c>
      <c r="AJ59" s="287">
        <f t="shared" si="91"/>
        <v>0</v>
      </c>
      <c r="AK59" s="287">
        <f t="shared" si="91"/>
        <v>0</v>
      </c>
      <c r="AL59" s="287">
        <f t="shared" si="91"/>
        <v>0</v>
      </c>
      <c r="AM59" s="287">
        <f t="shared" si="91"/>
        <v>0</v>
      </c>
      <c r="AN59" s="287">
        <f t="shared" si="91"/>
        <v>0</v>
      </c>
      <c r="AO59" s="287">
        <f t="shared" si="91"/>
        <v>0</v>
      </c>
      <c r="AP59" s="287">
        <f t="shared" si="91"/>
        <v>0</v>
      </c>
      <c r="AQ59" s="287">
        <f t="shared" si="91"/>
        <v>0</v>
      </c>
      <c r="AR59" s="287">
        <f t="shared" si="91"/>
        <v>0</v>
      </c>
      <c r="AS59" s="287">
        <v>22640.0</v>
      </c>
      <c r="AT59" s="287">
        <v>11495.0</v>
      </c>
      <c r="AU59" s="287">
        <v>38560.0</v>
      </c>
      <c r="AV59" s="287">
        <v>28320.0</v>
      </c>
      <c r="AW59" s="287">
        <f>+AW16*$D16</f>
        <v>0</v>
      </c>
      <c r="AX59" s="287">
        <v>29005.0</v>
      </c>
      <c r="AY59" s="287">
        <v>2430.0</v>
      </c>
      <c r="AZ59" s="287">
        <f t="shared" ref="AZ59:BE59" si="92">+AZ16*$D16</f>
        <v>0</v>
      </c>
      <c r="BA59" s="287">
        <f t="shared" si="92"/>
        <v>0</v>
      </c>
      <c r="BB59" s="287">
        <f t="shared" si="92"/>
        <v>0</v>
      </c>
      <c r="BC59" s="287">
        <f t="shared" si="92"/>
        <v>0</v>
      </c>
      <c r="BD59" s="287">
        <f t="shared" si="92"/>
        <v>0</v>
      </c>
      <c r="BE59" s="287">
        <f t="shared" si="92"/>
        <v>0</v>
      </c>
      <c r="BF59" s="287">
        <v>1700.0</v>
      </c>
      <c r="BG59" s="287">
        <f t="shared" ref="BG59:CJ59" si="93">+BG16*$D16</f>
        <v>0</v>
      </c>
      <c r="BH59" s="287">
        <f t="shared" si="93"/>
        <v>0</v>
      </c>
      <c r="BI59" s="287">
        <f t="shared" si="93"/>
        <v>0</v>
      </c>
      <c r="BJ59" s="287">
        <f t="shared" si="93"/>
        <v>0</v>
      </c>
      <c r="BK59" s="287">
        <f t="shared" si="93"/>
        <v>0</v>
      </c>
      <c r="BL59" s="287">
        <f t="shared" si="93"/>
        <v>0</v>
      </c>
      <c r="BM59" s="287">
        <f t="shared" si="93"/>
        <v>0</v>
      </c>
      <c r="BN59" s="287">
        <f t="shared" si="93"/>
        <v>0</v>
      </c>
      <c r="BO59" s="287">
        <f t="shared" si="93"/>
        <v>0</v>
      </c>
      <c r="BP59" s="287">
        <f t="shared" si="93"/>
        <v>0</v>
      </c>
      <c r="BQ59" s="287">
        <f t="shared" si="93"/>
        <v>0</v>
      </c>
      <c r="BR59" s="287">
        <f t="shared" si="93"/>
        <v>0</v>
      </c>
      <c r="BS59" s="287">
        <f t="shared" si="93"/>
        <v>0</v>
      </c>
      <c r="BT59" s="287">
        <f t="shared" si="93"/>
        <v>0</v>
      </c>
      <c r="BU59" s="287">
        <f t="shared" si="93"/>
        <v>0</v>
      </c>
      <c r="BV59" s="287">
        <f t="shared" si="93"/>
        <v>0</v>
      </c>
      <c r="BW59" s="287">
        <f t="shared" si="93"/>
        <v>0</v>
      </c>
      <c r="BX59" s="287">
        <f t="shared" si="93"/>
        <v>0</v>
      </c>
      <c r="BY59" s="287">
        <f t="shared" si="93"/>
        <v>0</v>
      </c>
      <c r="BZ59" s="287">
        <f t="shared" si="93"/>
        <v>0</v>
      </c>
      <c r="CA59" s="287">
        <f t="shared" si="93"/>
        <v>0</v>
      </c>
      <c r="CB59" s="287">
        <f t="shared" si="93"/>
        <v>0</v>
      </c>
      <c r="CC59" s="287">
        <f t="shared" si="93"/>
        <v>0</v>
      </c>
      <c r="CD59" s="287">
        <f t="shared" si="93"/>
        <v>0</v>
      </c>
      <c r="CE59" s="287">
        <f t="shared" si="93"/>
        <v>0</v>
      </c>
      <c r="CF59" s="287">
        <f t="shared" si="93"/>
        <v>0</v>
      </c>
      <c r="CG59" s="287">
        <f t="shared" si="93"/>
        <v>0</v>
      </c>
      <c r="CH59" s="287">
        <f t="shared" si="93"/>
        <v>0</v>
      </c>
      <c r="CI59" s="287">
        <f t="shared" si="93"/>
        <v>0</v>
      </c>
      <c r="CJ59" s="287">
        <f t="shared" si="93"/>
        <v>0</v>
      </c>
      <c r="CK59" s="289">
        <v>1900000.0</v>
      </c>
      <c r="CL59" s="287">
        <f t="shared" ref="CL59:CO59" si="94">+CL16*$D16</f>
        <v>0</v>
      </c>
      <c r="CM59" s="287">
        <f t="shared" si="94"/>
        <v>0</v>
      </c>
      <c r="CN59" s="287">
        <f t="shared" si="94"/>
        <v>0</v>
      </c>
      <c r="CO59" s="287">
        <f t="shared" si="94"/>
        <v>0</v>
      </c>
    </row>
    <row r="60" ht="18.0" customHeight="1">
      <c r="A60" s="1"/>
      <c r="B60" s="1"/>
      <c r="C60" s="1"/>
      <c r="D60" s="1"/>
      <c r="E60" s="1"/>
      <c r="F60" s="290"/>
      <c r="G60" s="291" t="s">
        <v>54</v>
      </c>
      <c r="H60" s="292">
        <v>5740.0</v>
      </c>
      <c r="I60" s="293" t="str">
        <f>+H16*$C16+606</f>
        <v>#REF!</v>
      </c>
      <c r="J60" s="293">
        <v>5431.0</v>
      </c>
      <c r="K60" s="293">
        <v>6290.8</v>
      </c>
      <c r="L60" s="293">
        <v>6150.2</v>
      </c>
      <c r="M60" s="293">
        <v>8725.6</v>
      </c>
      <c r="N60" s="294">
        <f>+M16*$C16-1282</f>
        <v>34538</v>
      </c>
      <c r="O60" s="293">
        <v>6506.6</v>
      </c>
      <c r="P60" s="293">
        <v>7029.400000000001</v>
      </c>
      <c r="Q60" s="293">
        <v>7956.400000000001</v>
      </c>
      <c r="R60" s="293">
        <v>7195.400000000001</v>
      </c>
      <c r="S60" s="295">
        <v>6855.8</v>
      </c>
      <c r="T60" s="296">
        <v>5277.8</v>
      </c>
      <c r="U60" s="293">
        <v>5585.4</v>
      </c>
      <c r="V60" s="293">
        <v>6139.0</v>
      </c>
      <c r="W60" s="293">
        <v>5896.0</v>
      </c>
      <c r="X60" s="293">
        <v>6055.200000000001</v>
      </c>
      <c r="Y60" s="293"/>
      <c r="Z60" s="293"/>
      <c r="AA60" s="297"/>
      <c r="AB60" s="297">
        <v>2466438.0</v>
      </c>
      <c r="AC60" s="297">
        <f>+AB16*$C16</f>
        <v>1227385</v>
      </c>
      <c r="AD60" s="297">
        <v>752228.0</v>
      </c>
      <c r="AE60" s="291">
        <f>+AD16*$C16</f>
        <v>514206</v>
      </c>
      <c r="AF60" s="298">
        <v>810545.0</v>
      </c>
      <c r="AG60" s="297">
        <f t="shared" ref="AG60:AH60" si="95">+AF16*$C16</f>
        <v>955367</v>
      </c>
      <c r="AH60" s="297">
        <f t="shared" si="95"/>
        <v>818306</v>
      </c>
      <c r="AI60" s="297">
        <v>836592.0</v>
      </c>
      <c r="AJ60" s="297">
        <f>+AI16*$C16</f>
        <v>903177</v>
      </c>
      <c r="AK60" s="297">
        <v>1013851.0</v>
      </c>
      <c r="AL60" s="297">
        <v>887174.0</v>
      </c>
      <c r="AM60" s="297">
        <v>914735.0</v>
      </c>
      <c r="AN60" s="297">
        <v>882638.0</v>
      </c>
      <c r="AO60" s="297">
        <v>980675.0</v>
      </c>
      <c r="AP60" s="297">
        <v>868168.0</v>
      </c>
      <c r="AQ60" s="297">
        <v>555627.0</v>
      </c>
      <c r="AR60" s="297">
        <f t="shared" ref="AR60:AS60" si="96">+AQ16*$C16</f>
        <v>334355</v>
      </c>
      <c r="AS60" s="297">
        <f t="shared" si="96"/>
        <v>0</v>
      </c>
      <c r="AT60" s="297">
        <v>0.0</v>
      </c>
      <c r="AU60" s="297">
        <v>194387.0</v>
      </c>
      <c r="AV60" s="297">
        <v>340000.0</v>
      </c>
      <c r="AW60" s="297">
        <v>281444.0</v>
      </c>
      <c r="AX60" s="297">
        <v>341000.0</v>
      </c>
      <c r="AY60" s="297">
        <v>492417.0</v>
      </c>
      <c r="AZ60" s="297">
        <v>297000.0</v>
      </c>
      <c r="BA60" s="297">
        <f>+AZ16*$C16</f>
        <v>323164</v>
      </c>
      <c r="BB60" s="297">
        <v>239721.0</v>
      </c>
      <c r="BC60" s="297">
        <v>337900.0</v>
      </c>
      <c r="BD60" s="297">
        <v>465092.0</v>
      </c>
      <c r="BE60" s="297">
        <v>428463.0</v>
      </c>
      <c r="BF60" s="297">
        <v>374528.0</v>
      </c>
      <c r="BG60" s="297">
        <f>+BF16*$C16</f>
        <v>355174</v>
      </c>
      <c r="BH60" s="297">
        <v>272472.0</v>
      </c>
      <c r="BI60" s="297">
        <v>330000.0</v>
      </c>
      <c r="BJ60" s="297">
        <v>330000.0</v>
      </c>
      <c r="BK60" s="297"/>
      <c r="BL60" s="297">
        <v>203250.0</v>
      </c>
      <c r="BM60" s="297">
        <f>+BL16*$C16</f>
        <v>0</v>
      </c>
      <c r="BN60" s="297">
        <v>0.0</v>
      </c>
      <c r="BO60" s="297">
        <v>350000.0</v>
      </c>
      <c r="BP60" s="297">
        <f>166427+640019</f>
        <v>806446</v>
      </c>
      <c r="BQ60" s="297">
        <f>687300+1202446</f>
        <v>1889746</v>
      </c>
      <c r="BR60" s="297">
        <v>3468789.0</v>
      </c>
      <c r="BS60" s="297">
        <f>812685+2589862</f>
        <v>3402547</v>
      </c>
      <c r="BT60" s="297">
        <f>BR16+1200000</f>
        <v>4110499</v>
      </c>
      <c r="BU60" s="297">
        <f>2421540+1211212</f>
        <v>3632752</v>
      </c>
      <c r="BV60" s="297">
        <f>682972+133978</f>
        <v>816950</v>
      </c>
      <c r="BW60" s="297">
        <f>BU16+BT11+BT12</f>
        <v>4509756</v>
      </c>
      <c r="BX60" s="297">
        <f>826356+1829735</f>
        <v>2656091</v>
      </c>
      <c r="BY60" s="297"/>
      <c r="BZ60" s="297"/>
      <c r="CA60" s="297">
        <f>BY16</f>
        <v>0</v>
      </c>
      <c r="CB60" s="297">
        <f>1206560+1754733+194997</f>
        <v>3156290</v>
      </c>
      <c r="CC60" s="297">
        <f>1016700+2245429</f>
        <v>3262129</v>
      </c>
      <c r="CD60" s="297">
        <f>1144550+2622341</f>
        <v>3766891</v>
      </c>
      <c r="CE60" s="297">
        <f>817200+2545708</f>
        <v>3362908</v>
      </c>
      <c r="CF60" s="297">
        <f>1162425+2512633+33030</f>
        <v>3708088</v>
      </c>
      <c r="CG60" s="297">
        <f>1477741+2318047+110550</f>
        <v>3906338</v>
      </c>
      <c r="CH60" s="297">
        <f>1387194+2706046</f>
        <v>4093240</v>
      </c>
      <c r="CI60" s="297">
        <f>1539889+2249240</f>
        <v>3789129</v>
      </c>
      <c r="CJ60" s="297">
        <f>CH16-CH14</f>
        <v>3515678</v>
      </c>
      <c r="CK60" s="299">
        <v>3055624.0</v>
      </c>
      <c r="CL60" s="299">
        <v>5209864.0</v>
      </c>
      <c r="CM60" s="299">
        <f>625525+2601746</f>
        <v>3227271</v>
      </c>
      <c r="CN60" s="297">
        <f>CL16-CL14</f>
        <v>3335683</v>
      </c>
      <c r="CO60" s="297">
        <f>CM16</f>
        <v>4227530</v>
      </c>
    </row>
    <row r="61" ht="18.0" customHeight="1">
      <c r="A61" s="1"/>
      <c r="B61" s="1"/>
      <c r="C61" s="1"/>
      <c r="D61" s="1"/>
      <c r="E61" s="1"/>
      <c r="F61" s="290"/>
      <c r="G61" s="300" t="s">
        <v>55</v>
      </c>
      <c r="H61" s="301">
        <v>0.0</v>
      </c>
      <c r="I61" s="302" t="str">
        <f>+I41</f>
        <v>#REF!</v>
      </c>
      <c r="J61" s="302">
        <v>0.0</v>
      </c>
      <c r="K61" s="302">
        <v>102.0</v>
      </c>
      <c r="L61" s="302">
        <v>570.0</v>
      </c>
      <c r="M61" s="302">
        <v>196.0</v>
      </c>
      <c r="N61" s="303" t="str">
        <f>+N41</f>
        <v>#REF!</v>
      </c>
      <c r="O61" s="302">
        <v>180.0</v>
      </c>
      <c r="P61" s="302">
        <v>0.0</v>
      </c>
      <c r="Q61" s="302">
        <v>93.0</v>
      </c>
      <c r="R61" s="302">
        <v>0.0</v>
      </c>
      <c r="S61" s="304">
        <v>0.0</v>
      </c>
      <c r="T61" s="305">
        <v>38.0</v>
      </c>
      <c r="U61" s="302">
        <v>0.0</v>
      </c>
      <c r="V61" s="302">
        <v>0.0</v>
      </c>
      <c r="W61" s="302">
        <v>0.0</v>
      </c>
      <c r="X61" s="302">
        <v>0.0</v>
      </c>
      <c r="Y61" s="302"/>
      <c r="Z61" s="302"/>
      <c r="AA61" s="306"/>
      <c r="AB61" s="306" t="str">
        <f t="shared" ref="AB61:BO61" si="97">+AB41</f>
        <v/>
      </c>
      <c r="AC61" s="306" t="str">
        <f t="shared" si="97"/>
        <v/>
      </c>
      <c r="AD61" s="306" t="str">
        <f t="shared" si="97"/>
        <v/>
      </c>
      <c r="AE61" s="300" t="str">
        <f t="shared" si="97"/>
        <v/>
      </c>
      <c r="AF61" s="307">
        <f t="shared" si="97"/>
        <v>2019000</v>
      </c>
      <c r="AG61" s="306">
        <f t="shared" si="97"/>
        <v>7339</v>
      </c>
      <c r="AH61" s="306">
        <f t="shared" si="97"/>
        <v>149788</v>
      </c>
      <c r="AI61" s="306">
        <f t="shared" si="97"/>
        <v>100000</v>
      </c>
      <c r="AJ61" s="306" t="str">
        <f t="shared" si="97"/>
        <v/>
      </c>
      <c r="AK61" s="306" t="str">
        <f t="shared" si="97"/>
        <v/>
      </c>
      <c r="AL61" s="306" t="str">
        <f t="shared" si="97"/>
        <v/>
      </c>
      <c r="AM61" s="306">
        <f t="shared" si="97"/>
        <v>30</v>
      </c>
      <c r="AN61" s="306" t="str">
        <f t="shared" si="97"/>
        <v/>
      </c>
      <c r="AO61" s="306" t="str">
        <f t="shared" si="97"/>
        <v/>
      </c>
      <c r="AP61" s="306" t="str">
        <f t="shared" si="97"/>
        <v/>
      </c>
      <c r="AQ61" s="306" t="str">
        <f t="shared" si="97"/>
        <v/>
      </c>
      <c r="AR61" s="306">
        <f t="shared" si="97"/>
        <v>200000</v>
      </c>
      <c r="AS61" s="306">
        <f t="shared" si="97"/>
        <v>200034</v>
      </c>
      <c r="AT61" s="306">
        <f t="shared" si="97"/>
        <v>200000</v>
      </c>
      <c r="AU61" s="306">
        <f t="shared" si="97"/>
        <v>400000</v>
      </c>
      <c r="AV61" s="306" t="str">
        <f t="shared" si="97"/>
        <v/>
      </c>
      <c r="AW61" s="306" t="str">
        <f t="shared" si="97"/>
        <v/>
      </c>
      <c r="AX61" s="306" t="str">
        <f t="shared" si="97"/>
        <v/>
      </c>
      <c r="AY61" s="306">
        <f t="shared" si="97"/>
        <v>30</v>
      </c>
      <c r="AZ61" s="306" t="str">
        <f t="shared" si="97"/>
        <v/>
      </c>
      <c r="BA61" s="306" t="str">
        <f t="shared" si="97"/>
        <v/>
      </c>
      <c r="BB61" s="306">
        <f t="shared" si="97"/>
        <v>1000000</v>
      </c>
      <c r="BC61" s="306" t="str">
        <f t="shared" si="97"/>
        <v/>
      </c>
      <c r="BD61" s="306" t="str">
        <f t="shared" si="97"/>
        <v/>
      </c>
      <c r="BE61" s="306" t="str">
        <f t="shared" si="97"/>
        <v/>
      </c>
      <c r="BF61" s="306" t="str">
        <f t="shared" si="97"/>
        <v/>
      </c>
      <c r="BG61" s="306" t="str">
        <f t="shared" si="97"/>
        <v/>
      </c>
      <c r="BH61" s="306" t="str">
        <f t="shared" si="97"/>
        <v/>
      </c>
      <c r="BI61" s="306" t="str">
        <f t="shared" si="97"/>
        <v/>
      </c>
      <c r="BJ61" s="306" t="str">
        <f t="shared" si="97"/>
        <v/>
      </c>
      <c r="BK61" s="306" t="str">
        <f t="shared" si="97"/>
        <v/>
      </c>
      <c r="BL61" s="306" t="str">
        <f t="shared" si="97"/>
        <v/>
      </c>
      <c r="BM61" s="306" t="str">
        <f t="shared" si="97"/>
        <v/>
      </c>
      <c r="BN61" s="306" t="str">
        <f t="shared" si="97"/>
        <v/>
      </c>
      <c r="BO61" s="306">
        <f t="shared" si="97"/>
        <v>54</v>
      </c>
      <c r="BP61" s="306">
        <v>0.0</v>
      </c>
      <c r="BQ61" s="306">
        <v>0.0</v>
      </c>
      <c r="BR61" s="306">
        <v>0.0</v>
      </c>
      <c r="BS61" s="306">
        <v>0.0</v>
      </c>
      <c r="BT61" s="306">
        <v>0.0</v>
      </c>
      <c r="BU61" s="306">
        <v>0.0</v>
      </c>
      <c r="BV61" s="306">
        <v>0.0</v>
      </c>
      <c r="BW61" s="306">
        <v>0.0</v>
      </c>
      <c r="BX61" s="306">
        <v>0.0</v>
      </c>
      <c r="BY61" s="306">
        <v>0.0</v>
      </c>
      <c r="BZ61" s="306">
        <v>0.0</v>
      </c>
      <c r="CA61" s="306">
        <v>0.0</v>
      </c>
      <c r="CB61" s="306">
        <v>63818.0</v>
      </c>
      <c r="CC61" s="306">
        <f>CC14+241446</f>
        <v>2574779</v>
      </c>
      <c r="CD61" s="306">
        <v>66882.0</v>
      </c>
      <c r="CE61" s="306">
        <f t="shared" ref="CE61:CJ61" si="98">CE14</f>
        <v>0</v>
      </c>
      <c r="CF61" s="306">
        <f t="shared" si="98"/>
        <v>533333</v>
      </c>
      <c r="CG61" s="306">
        <f t="shared" si="98"/>
        <v>0</v>
      </c>
      <c r="CH61" s="306">
        <f t="shared" si="98"/>
        <v>200000</v>
      </c>
      <c r="CI61" s="306">
        <f t="shared" si="98"/>
        <v>1300000</v>
      </c>
      <c r="CJ61" s="306">
        <f t="shared" si="98"/>
        <v>900000</v>
      </c>
      <c r="CK61" s="308">
        <v>0.0</v>
      </c>
      <c r="CL61" s="306">
        <f t="shared" ref="CL61:CO61" si="99">CL14</f>
        <v>0</v>
      </c>
      <c r="CM61" s="306">
        <f t="shared" si="99"/>
        <v>200000</v>
      </c>
      <c r="CN61" s="306" t="str">
        <f t="shared" si="99"/>
        <v/>
      </c>
      <c r="CO61" s="306" t="str">
        <f t="shared" si="99"/>
        <v/>
      </c>
    </row>
    <row r="62" ht="18.0" customHeight="1">
      <c r="A62" s="1"/>
      <c r="B62" s="1"/>
      <c r="C62" s="1"/>
      <c r="D62" s="1"/>
      <c r="E62" s="1"/>
      <c r="F62" s="309"/>
      <c r="G62" s="310" t="s">
        <v>56</v>
      </c>
      <c r="H62" s="311">
        <f t="shared" ref="H62:I62" si="100">SUM(H59:H61)</f>
        <v>25778</v>
      </c>
      <c r="I62" s="312" t="str">
        <f t="shared" si="100"/>
        <v>#REF!</v>
      </c>
      <c r="J62" s="312">
        <v>23451.2</v>
      </c>
      <c r="K62" s="312">
        <v>26784.6</v>
      </c>
      <c r="L62" s="312">
        <v>28189.600000000002</v>
      </c>
      <c r="M62" s="312">
        <v>38022.6</v>
      </c>
      <c r="N62" s="313" t="str">
        <f>SUM(N59:N61)</f>
        <v>#REF!</v>
      </c>
      <c r="O62" s="312">
        <v>26319.200000000004</v>
      </c>
      <c r="P62" s="312">
        <v>34105.0</v>
      </c>
      <c r="Q62" s="312">
        <v>27345.000000000004</v>
      </c>
      <c r="R62" s="314">
        <v>26208.600000000002</v>
      </c>
      <c r="S62" s="315">
        <v>26601.0</v>
      </c>
      <c r="T62" s="316">
        <v>21408.4</v>
      </c>
      <c r="U62" s="312">
        <v>24101.4</v>
      </c>
      <c r="V62" s="312">
        <v>22312.0</v>
      </c>
      <c r="W62" s="312">
        <v>22508.800000000003</v>
      </c>
      <c r="X62" s="312">
        <v>21889.600000000002</v>
      </c>
      <c r="Y62" s="312"/>
      <c r="Z62" s="312"/>
      <c r="AA62" s="317"/>
      <c r="AB62" s="317">
        <f t="shared" ref="AB62:CO62" si="101">SUM(AB59:AB61)</f>
        <v>2466438</v>
      </c>
      <c r="AC62" s="317">
        <f t="shared" si="101"/>
        <v>1227385</v>
      </c>
      <c r="AD62" s="317">
        <f t="shared" si="101"/>
        <v>752228</v>
      </c>
      <c r="AE62" s="318">
        <f t="shared" si="101"/>
        <v>514206</v>
      </c>
      <c r="AF62" s="319">
        <f t="shared" si="101"/>
        <v>2829545</v>
      </c>
      <c r="AG62" s="317">
        <f t="shared" si="101"/>
        <v>962706</v>
      </c>
      <c r="AH62" s="317">
        <f t="shared" si="101"/>
        <v>968094</v>
      </c>
      <c r="AI62" s="317">
        <f t="shared" si="101"/>
        <v>936592</v>
      </c>
      <c r="AJ62" s="317">
        <f t="shared" si="101"/>
        <v>903177</v>
      </c>
      <c r="AK62" s="317">
        <f t="shared" si="101"/>
        <v>1013851</v>
      </c>
      <c r="AL62" s="317">
        <f t="shared" si="101"/>
        <v>887174</v>
      </c>
      <c r="AM62" s="317">
        <f t="shared" si="101"/>
        <v>914765</v>
      </c>
      <c r="AN62" s="317">
        <f t="shared" si="101"/>
        <v>882638</v>
      </c>
      <c r="AO62" s="317">
        <f t="shared" si="101"/>
        <v>980675</v>
      </c>
      <c r="AP62" s="317">
        <f t="shared" si="101"/>
        <v>868168</v>
      </c>
      <c r="AQ62" s="317">
        <f t="shared" si="101"/>
        <v>555627</v>
      </c>
      <c r="AR62" s="317">
        <f t="shared" si="101"/>
        <v>534355</v>
      </c>
      <c r="AS62" s="317">
        <f t="shared" si="101"/>
        <v>222674</v>
      </c>
      <c r="AT62" s="317">
        <f t="shared" si="101"/>
        <v>211495</v>
      </c>
      <c r="AU62" s="317">
        <f t="shared" si="101"/>
        <v>632947</v>
      </c>
      <c r="AV62" s="317">
        <f t="shared" si="101"/>
        <v>368320</v>
      </c>
      <c r="AW62" s="317">
        <f t="shared" si="101"/>
        <v>281444</v>
      </c>
      <c r="AX62" s="317">
        <f t="shared" si="101"/>
        <v>370005</v>
      </c>
      <c r="AY62" s="317">
        <f t="shared" si="101"/>
        <v>494877</v>
      </c>
      <c r="AZ62" s="317">
        <f t="shared" si="101"/>
        <v>297000</v>
      </c>
      <c r="BA62" s="317">
        <f t="shared" si="101"/>
        <v>323164</v>
      </c>
      <c r="BB62" s="317">
        <f t="shared" si="101"/>
        <v>1239721</v>
      </c>
      <c r="BC62" s="317">
        <f t="shared" si="101"/>
        <v>337900</v>
      </c>
      <c r="BD62" s="317">
        <f t="shared" si="101"/>
        <v>465092</v>
      </c>
      <c r="BE62" s="317">
        <f t="shared" si="101"/>
        <v>428463</v>
      </c>
      <c r="BF62" s="317">
        <f t="shared" si="101"/>
        <v>376228</v>
      </c>
      <c r="BG62" s="317">
        <f t="shared" si="101"/>
        <v>355174</v>
      </c>
      <c r="BH62" s="317">
        <f t="shared" si="101"/>
        <v>272472</v>
      </c>
      <c r="BI62" s="317">
        <f t="shared" si="101"/>
        <v>330000</v>
      </c>
      <c r="BJ62" s="317">
        <f t="shared" si="101"/>
        <v>330000</v>
      </c>
      <c r="BK62" s="317">
        <f t="shared" si="101"/>
        <v>0</v>
      </c>
      <c r="BL62" s="317">
        <f t="shared" si="101"/>
        <v>203250</v>
      </c>
      <c r="BM62" s="317">
        <f t="shared" si="101"/>
        <v>0</v>
      </c>
      <c r="BN62" s="317">
        <f t="shared" si="101"/>
        <v>0</v>
      </c>
      <c r="BO62" s="317">
        <f t="shared" si="101"/>
        <v>350054</v>
      </c>
      <c r="BP62" s="317">
        <f t="shared" si="101"/>
        <v>806446</v>
      </c>
      <c r="BQ62" s="317">
        <f t="shared" si="101"/>
        <v>1889746</v>
      </c>
      <c r="BR62" s="317">
        <f t="shared" si="101"/>
        <v>3468789</v>
      </c>
      <c r="BS62" s="317">
        <f t="shared" si="101"/>
        <v>3402547</v>
      </c>
      <c r="BT62" s="317">
        <f t="shared" si="101"/>
        <v>4110499</v>
      </c>
      <c r="BU62" s="317">
        <f t="shared" si="101"/>
        <v>3632752</v>
      </c>
      <c r="BV62" s="317">
        <f t="shared" si="101"/>
        <v>816950</v>
      </c>
      <c r="BW62" s="317">
        <f t="shared" si="101"/>
        <v>4509756</v>
      </c>
      <c r="BX62" s="317">
        <f t="shared" si="101"/>
        <v>2656091</v>
      </c>
      <c r="BY62" s="317">
        <f t="shared" si="101"/>
        <v>0</v>
      </c>
      <c r="BZ62" s="317">
        <f t="shared" si="101"/>
        <v>0</v>
      </c>
      <c r="CA62" s="317">
        <f t="shared" si="101"/>
        <v>0</v>
      </c>
      <c r="CB62" s="317">
        <f t="shared" si="101"/>
        <v>3220108</v>
      </c>
      <c r="CC62" s="317">
        <f t="shared" si="101"/>
        <v>5836908</v>
      </c>
      <c r="CD62" s="317">
        <f t="shared" si="101"/>
        <v>3833773</v>
      </c>
      <c r="CE62" s="317">
        <f t="shared" si="101"/>
        <v>3362908</v>
      </c>
      <c r="CF62" s="317">
        <f t="shared" si="101"/>
        <v>4241421</v>
      </c>
      <c r="CG62" s="317">
        <f t="shared" si="101"/>
        <v>3906338</v>
      </c>
      <c r="CH62" s="317">
        <f t="shared" si="101"/>
        <v>4293240</v>
      </c>
      <c r="CI62" s="317">
        <f t="shared" si="101"/>
        <v>5089129</v>
      </c>
      <c r="CJ62" s="317">
        <f t="shared" si="101"/>
        <v>4415678</v>
      </c>
      <c r="CK62" s="317">
        <f t="shared" si="101"/>
        <v>4955624</v>
      </c>
      <c r="CL62" s="317">
        <f t="shared" si="101"/>
        <v>5209864</v>
      </c>
      <c r="CM62" s="317">
        <f t="shared" si="101"/>
        <v>3427271</v>
      </c>
      <c r="CN62" s="317">
        <f t="shared" si="101"/>
        <v>3335683</v>
      </c>
      <c r="CO62" s="317">
        <f t="shared" si="101"/>
        <v>4227530</v>
      </c>
    </row>
    <row r="63" ht="18.0" customHeight="1">
      <c r="A63" s="1"/>
      <c r="B63" s="1"/>
      <c r="C63" s="1"/>
      <c r="D63" s="1"/>
      <c r="E63" s="1"/>
      <c r="F63" s="320" t="s">
        <v>57</v>
      </c>
      <c r="G63" s="321" t="s">
        <v>58</v>
      </c>
      <c r="H63" s="322">
        <f>8114-8047</f>
        <v>67</v>
      </c>
      <c r="I63" s="323" t="str">
        <f>+I21*$D21+81</f>
        <v>#REF!</v>
      </c>
      <c r="J63" s="323">
        <v>30.10000000000003</v>
      </c>
      <c r="K63" s="323">
        <v>98.50500000000004</v>
      </c>
      <c r="L63" s="323">
        <v>14.675000000000033</v>
      </c>
      <c r="M63" s="323">
        <v>83.87000000000005</v>
      </c>
      <c r="N63" s="324" t="str">
        <f>+N21*$D21+122</f>
        <v>#REF!</v>
      </c>
      <c r="O63" s="323">
        <v>156.96500000000003</v>
      </c>
      <c r="P63" s="323">
        <v>46.90000000000005</v>
      </c>
      <c r="Q63" s="323">
        <v>47.360000000000035</v>
      </c>
      <c r="R63" s="323">
        <v>-313.08</v>
      </c>
      <c r="S63" s="325">
        <v>35.28500000000003</v>
      </c>
      <c r="T63" s="326">
        <v>8.415000000000035</v>
      </c>
      <c r="U63" s="323">
        <v>89.82500000000003</v>
      </c>
      <c r="V63" s="323">
        <v>93.47500000000002</v>
      </c>
      <c r="W63" s="323">
        <v>64.90000000000003</v>
      </c>
      <c r="X63" s="323">
        <v>180.81000000000003</v>
      </c>
      <c r="Y63" s="323"/>
      <c r="Z63" s="323"/>
      <c r="AA63" s="327"/>
      <c r="AB63" s="327">
        <f t="shared" ref="AB63:AR63" si="102">+AB21*$D21</f>
        <v>0</v>
      </c>
      <c r="AC63" s="327">
        <f t="shared" si="102"/>
        <v>0</v>
      </c>
      <c r="AD63" s="327">
        <f t="shared" si="102"/>
        <v>0</v>
      </c>
      <c r="AE63" s="321">
        <f t="shared" si="102"/>
        <v>0</v>
      </c>
      <c r="AF63" s="328">
        <f t="shared" si="102"/>
        <v>0</v>
      </c>
      <c r="AG63" s="327">
        <f t="shared" si="102"/>
        <v>0</v>
      </c>
      <c r="AH63" s="327">
        <f t="shared" si="102"/>
        <v>0</v>
      </c>
      <c r="AI63" s="327">
        <f t="shared" si="102"/>
        <v>0</v>
      </c>
      <c r="AJ63" s="327">
        <f t="shared" si="102"/>
        <v>0</v>
      </c>
      <c r="AK63" s="327">
        <f t="shared" si="102"/>
        <v>0</v>
      </c>
      <c r="AL63" s="327">
        <f t="shared" si="102"/>
        <v>0</v>
      </c>
      <c r="AM63" s="327">
        <f t="shared" si="102"/>
        <v>0</v>
      </c>
      <c r="AN63" s="327">
        <f t="shared" si="102"/>
        <v>0</v>
      </c>
      <c r="AO63" s="327">
        <f t="shared" si="102"/>
        <v>0</v>
      </c>
      <c r="AP63" s="327">
        <f t="shared" si="102"/>
        <v>0</v>
      </c>
      <c r="AQ63" s="327">
        <f t="shared" si="102"/>
        <v>0</v>
      </c>
      <c r="AR63" s="327">
        <f t="shared" si="102"/>
        <v>0</v>
      </c>
      <c r="AS63" s="327">
        <v>0.0</v>
      </c>
      <c r="AT63" s="327">
        <v>0.0</v>
      </c>
      <c r="AU63" s="327">
        <v>1000.0</v>
      </c>
      <c r="AV63" s="327">
        <v>0.0</v>
      </c>
      <c r="AW63" s="327">
        <f>+AW21*$D21</f>
        <v>268.28</v>
      </c>
      <c r="AX63" s="327">
        <v>0.0</v>
      </c>
      <c r="AY63" s="327">
        <v>0.0</v>
      </c>
      <c r="AZ63" s="327">
        <f t="shared" ref="AZ63:BA63" si="103">+AZ21*$D21</f>
        <v>48.71</v>
      </c>
      <c r="BA63" s="327">
        <f t="shared" si="103"/>
        <v>765.765</v>
      </c>
      <c r="BB63" s="327">
        <v>0.0</v>
      </c>
      <c r="BC63" s="327">
        <f t="shared" ref="BC63:BE63" si="104">+BC21*$D21</f>
        <v>46.84</v>
      </c>
      <c r="BD63" s="327">
        <f t="shared" si="104"/>
        <v>238.88</v>
      </c>
      <c r="BE63" s="327">
        <f t="shared" si="104"/>
        <v>104.065</v>
      </c>
      <c r="BF63" s="327">
        <v>0.0</v>
      </c>
      <c r="BG63" s="327">
        <f t="shared" ref="BG63:BH63" si="105">+BG21*$D21</f>
        <v>109.295</v>
      </c>
      <c r="BH63" s="327">
        <f t="shared" si="105"/>
        <v>73.59</v>
      </c>
      <c r="BI63" s="327">
        <v>11600.0</v>
      </c>
      <c r="BJ63" s="327">
        <f t="shared" ref="BJ63:BO63" si="106">+BJ21*$D21</f>
        <v>991.9</v>
      </c>
      <c r="BK63" s="327">
        <f t="shared" si="106"/>
        <v>0</v>
      </c>
      <c r="BL63" s="327">
        <f t="shared" si="106"/>
        <v>0</v>
      </c>
      <c r="BM63" s="327">
        <f t="shared" si="106"/>
        <v>0</v>
      </c>
      <c r="BN63" s="327">
        <f t="shared" si="106"/>
        <v>0</v>
      </c>
      <c r="BO63" s="327">
        <f t="shared" si="106"/>
        <v>0</v>
      </c>
      <c r="BP63" s="327">
        <v>123945.0</v>
      </c>
      <c r="BQ63" s="327">
        <f t="shared" ref="BQ63:BT63" si="107">+BQ21*$D21</f>
        <v>12.5</v>
      </c>
      <c r="BR63" s="327">
        <f t="shared" si="107"/>
        <v>278.5</v>
      </c>
      <c r="BS63" s="327">
        <f t="shared" si="107"/>
        <v>503.475</v>
      </c>
      <c r="BT63" s="327">
        <f t="shared" si="107"/>
        <v>27.69</v>
      </c>
      <c r="BU63" s="327">
        <v>0.0</v>
      </c>
      <c r="BV63" s="327">
        <v>0.0</v>
      </c>
      <c r="BW63" s="327">
        <f t="shared" ref="BW63:CA63" si="108">+BW21*$D21</f>
        <v>89.24</v>
      </c>
      <c r="BX63" s="327">
        <f t="shared" si="108"/>
        <v>157.175</v>
      </c>
      <c r="BY63" s="327">
        <f t="shared" si="108"/>
        <v>0</v>
      </c>
      <c r="BZ63" s="327">
        <f t="shared" si="108"/>
        <v>0</v>
      </c>
      <c r="CA63" s="327">
        <f t="shared" si="108"/>
        <v>0</v>
      </c>
      <c r="CB63" s="327">
        <v>0.0</v>
      </c>
      <c r="CC63" s="327">
        <v>0.0</v>
      </c>
      <c r="CD63" s="327">
        <v>0.0</v>
      </c>
      <c r="CE63" s="327">
        <f>+CE21*$D21</f>
        <v>170.75</v>
      </c>
      <c r="CF63" s="327">
        <v>1430.0</v>
      </c>
      <c r="CG63" s="327">
        <v>0.0</v>
      </c>
      <c r="CH63" s="327">
        <f t="shared" ref="CH63:CO63" si="109">+CH21*$D21</f>
        <v>396.935</v>
      </c>
      <c r="CI63" s="327">
        <f t="shared" si="109"/>
        <v>30.885</v>
      </c>
      <c r="CJ63" s="327">
        <f t="shared" si="109"/>
        <v>0</v>
      </c>
      <c r="CK63" s="327">
        <f t="shared" si="109"/>
        <v>256.98</v>
      </c>
      <c r="CL63" s="327">
        <f t="shared" si="109"/>
        <v>218.545</v>
      </c>
      <c r="CM63" s="327">
        <f t="shared" si="109"/>
        <v>252.33</v>
      </c>
      <c r="CN63" s="327">
        <f t="shared" si="109"/>
        <v>0</v>
      </c>
      <c r="CO63" s="327">
        <f t="shared" si="109"/>
        <v>0</v>
      </c>
    </row>
    <row r="64" ht="18.0" customHeight="1">
      <c r="A64" s="1"/>
      <c r="B64" s="1"/>
      <c r="C64" s="1"/>
      <c r="D64" s="1"/>
      <c r="E64" s="1"/>
      <c r="F64" s="290"/>
      <c r="G64" s="291" t="s">
        <v>59</v>
      </c>
      <c r="H64" s="292">
        <v>5399.0</v>
      </c>
      <c r="I64" s="293" t="str">
        <f>+H21*$C21+4920</f>
        <v>#REF!</v>
      </c>
      <c r="J64" s="293">
        <v>8956.73</v>
      </c>
      <c r="K64" s="293">
        <v>12133.9</v>
      </c>
      <c r="L64" s="293">
        <v>8451.494999999999</v>
      </c>
      <c r="M64" s="293">
        <v>9209.325</v>
      </c>
      <c r="N64" s="294">
        <f>+M21*$C21+1820+494</f>
        <v>13233.13</v>
      </c>
      <c r="O64" s="293">
        <v>7340.925</v>
      </c>
      <c r="P64" s="293">
        <v>9156.035</v>
      </c>
      <c r="Q64" s="293">
        <v>10720.1</v>
      </c>
      <c r="R64" s="293">
        <v>10139.64</v>
      </c>
      <c r="S64" s="295">
        <v>7905.08</v>
      </c>
      <c r="T64" s="296">
        <v>8487.715</v>
      </c>
      <c r="U64" s="293">
        <v>7453.585</v>
      </c>
      <c r="V64" s="293">
        <v>8241.175</v>
      </c>
      <c r="W64" s="293">
        <v>10504.525</v>
      </c>
      <c r="X64" s="293">
        <v>6861.1</v>
      </c>
      <c r="Y64" s="293"/>
      <c r="Z64" s="293"/>
      <c r="AA64" s="297"/>
      <c r="AB64" s="297">
        <f t="shared" ref="AB64:AS64" si="110">+AA21*$C21</f>
        <v>0</v>
      </c>
      <c r="AC64" s="297">
        <f t="shared" si="110"/>
        <v>0</v>
      </c>
      <c r="AD64" s="297">
        <f t="shared" si="110"/>
        <v>0</v>
      </c>
      <c r="AE64" s="291">
        <f t="shared" si="110"/>
        <v>0</v>
      </c>
      <c r="AF64" s="298">
        <f t="shared" si="110"/>
        <v>0</v>
      </c>
      <c r="AG64" s="297">
        <f t="shared" si="110"/>
        <v>0</v>
      </c>
      <c r="AH64" s="297">
        <f t="shared" si="110"/>
        <v>0</v>
      </c>
      <c r="AI64" s="297">
        <f t="shared" si="110"/>
        <v>0</v>
      </c>
      <c r="AJ64" s="297">
        <f t="shared" si="110"/>
        <v>0</v>
      </c>
      <c r="AK64" s="297">
        <f t="shared" si="110"/>
        <v>0</v>
      </c>
      <c r="AL64" s="297">
        <f t="shared" si="110"/>
        <v>0</v>
      </c>
      <c r="AM64" s="297">
        <f t="shared" si="110"/>
        <v>0</v>
      </c>
      <c r="AN64" s="297">
        <f t="shared" si="110"/>
        <v>0</v>
      </c>
      <c r="AO64" s="297">
        <f t="shared" si="110"/>
        <v>0</v>
      </c>
      <c r="AP64" s="297">
        <f t="shared" si="110"/>
        <v>0</v>
      </c>
      <c r="AQ64" s="297">
        <f t="shared" si="110"/>
        <v>0</v>
      </c>
      <c r="AR64" s="297">
        <f t="shared" si="110"/>
        <v>0</v>
      </c>
      <c r="AS64" s="297">
        <f t="shared" si="110"/>
        <v>0</v>
      </c>
      <c r="AT64" s="297">
        <v>432.0</v>
      </c>
      <c r="AU64" s="297">
        <v>124970.0</v>
      </c>
      <c r="AV64" s="297">
        <v>46195.0</v>
      </c>
      <c r="AW64" s="297">
        <v>8845.0</v>
      </c>
      <c r="AX64" s="297">
        <v>8272.0</v>
      </c>
      <c r="AY64" s="297">
        <v>8272.0</v>
      </c>
      <c r="AZ64" s="297">
        <v>0.0</v>
      </c>
      <c r="BA64" s="297">
        <v>63974.0</v>
      </c>
      <c r="BB64" s="297">
        <v>168232.0</v>
      </c>
      <c r="BC64" s="297">
        <f>+BB21*$C21</f>
        <v>79053.745</v>
      </c>
      <c r="BD64" s="297">
        <v>38960.0</v>
      </c>
      <c r="BE64" s="297">
        <v>40290.0</v>
      </c>
      <c r="BF64" s="297">
        <v>10013.0</v>
      </c>
      <c r="BG64" s="297">
        <f>+BF21*$C21</f>
        <v>7538.12</v>
      </c>
      <c r="BH64" s="297">
        <v>4104.0</v>
      </c>
      <c r="BI64" s="297">
        <v>0.0</v>
      </c>
      <c r="BJ64" s="297"/>
      <c r="BK64" s="297"/>
      <c r="BL64" s="297">
        <f t="shared" ref="BL64:BR64" si="111">+BK21*$C21</f>
        <v>0</v>
      </c>
      <c r="BM64" s="297">
        <f t="shared" si="111"/>
        <v>0</v>
      </c>
      <c r="BN64" s="297">
        <f t="shared" si="111"/>
        <v>0</v>
      </c>
      <c r="BO64" s="297">
        <f t="shared" si="111"/>
        <v>0</v>
      </c>
      <c r="BP64" s="297">
        <f t="shared" si="111"/>
        <v>0</v>
      </c>
      <c r="BQ64" s="297">
        <f t="shared" si="111"/>
        <v>0</v>
      </c>
      <c r="BR64" s="297">
        <f t="shared" si="111"/>
        <v>2487.5</v>
      </c>
      <c r="BS64" s="297">
        <v>44770.0</v>
      </c>
      <c r="BT64" s="297">
        <f>+BS21*$C21</f>
        <v>100191.525</v>
      </c>
      <c r="BU64" s="297">
        <v>0.0</v>
      </c>
      <c r="BV64" s="297">
        <f t="shared" ref="BV64:BX64" si="112">+BU21*$C21</f>
        <v>15334.94</v>
      </c>
      <c r="BW64" s="297">
        <f t="shared" si="112"/>
        <v>24918.78</v>
      </c>
      <c r="BX64" s="297">
        <f t="shared" si="112"/>
        <v>17758.76</v>
      </c>
      <c r="BY64" s="297"/>
      <c r="BZ64" s="297">
        <f t="shared" ref="BZ64:CB64" si="113">+BY21*$C21</f>
        <v>0</v>
      </c>
      <c r="CA64" s="297">
        <f t="shared" si="113"/>
        <v>0</v>
      </c>
      <c r="CB64" s="297">
        <f t="shared" si="113"/>
        <v>0</v>
      </c>
      <c r="CC64" s="297">
        <v>0.0</v>
      </c>
      <c r="CD64" s="297">
        <v>0.0</v>
      </c>
      <c r="CE64" s="297">
        <v>6908.0</v>
      </c>
      <c r="CF64" s="297">
        <v>0.0</v>
      </c>
      <c r="CG64" s="297">
        <v>0.0</v>
      </c>
      <c r="CH64" s="297">
        <v>48950.0</v>
      </c>
      <c r="CI64" s="299">
        <v>75240.0</v>
      </c>
      <c r="CJ64" s="297">
        <f t="shared" ref="CJ64:CO64" si="114">+CI21*$C21</f>
        <v>6146.115</v>
      </c>
      <c r="CK64" s="297">
        <f t="shared" si="114"/>
        <v>0</v>
      </c>
      <c r="CL64" s="297">
        <f t="shared" si="114"/>
        <v>51139.02</v>
      </c>
      <c r="CM64" s="297">
        <f t="shared" si="114"/>
        <v>43490.455</v>
      </c>
      <c r="CN64" s="297">
        <f t="shared" si="114"/>
        <v>50213.67</v>
      </c>
      <c r="CO64" s="297">
        <f t="shared" si="114"/>
        <v>0</v>
      </c>
    </row>
    <row r="65" ht="18.0" customHeight="1">
      <c r="A65" s="1"/>
      <c r="B65" s="1"/>
      <c r="C65" s="1"/>
      <c r="D65" s="1"/>
      <c r="E65" s="1"/>
      <c r="F65" s="290"/>
      <c r="G65" s="329" t="s">
        <v>60</v>
      </c>
      <c r="H65" s="292">
        <v>13198.0</v>
      </c>
      <c r="I65" s="293" t="str">
        <f>+H29+H32+H37/2+1494+755</f>
        <v>#REF!</v>
      </c>
      <c r="J65" s="293">
        <v>12254.5</v>
      </c>
      <c r="K65" s="293">
        <v>12721.5</v>
      </c>
      <c r="L65" s="293">
        <v>12315.0</v>
      </c>
      <c r="M65" s="293">
        <v>12998.0</v>
      </c>
      <c r="N65" s="297">
        <f>+M29+M32+M37/2*1.2+1659+233</f>
        <v>15177.8</v>
      </c>
      <c r="O65" s="293">
        <v>11882.0</v>
      </c>
      <c r="P65" s="293">
        <v>12406.4</v>
      </c>
      <c r="Q65" s="293">
        <v>14335.2</v>
      </c>
      <c r="R65" s="293">
        <v>13121.0</v>
      </c>
      <c r="S65" s="295">
        <v>11644.5</v>
      </c>
      <c r="T65" s="296">
        <v>13014.75</v>
      </c>
      <c r="U65" s="293">
        <v>10063.25</v>
      </c>
      <c r="V65" s="293">
        <v>11628.5</v>
      </c>
      <c r="W65" s="293">
        <v>9327.5</v>
      </c>
      <c r="X65" s="293">
        <v>9191.25</v>
      </c>
      <c r="Y65" s="293"/>
      <c r="Z65" s="293"/>
      <c r="AA65" s="297"/>
      <c r="AB65" s="297">
        <f>2280374+264598</f>
        <v>2544972</v>
      </c>
      <c r="AC65" s="297">
        <f>+AB29+AB33+AB32+AB37</f>
        <v>1455377</v>
      </c>
      <c r="AD65" s="297">
        <f>900809+136896</f>
        <v>1037705</v>
      </c>
      <c r="AE65" s="297">
        <f>+AD29+AD33+AD32+AD37</f>
        <v>742946</v>
      </c>
      <c r="AF65" s="297">
        <f>80286+729155</f>
        <v>809441</v>
      </c>
      <c r="AG65" s="297">
        <f t="shared" ref="AG65:AH65" si="115">+AF29+AF33+AF32+AF37</f>
        <v>1022436</v>
      </c>
      <c r="AH65" s="297">
        <f t="shared" si="115"/>
        <v>897354</v>
      </c>
      <c r="AI65" s="297">
        <f>754556+74000</f>
        <v>828556</v>
      </c>
      <c r="AJ65" s="297">
        <f>+AI29+AI33+AI32+AI37</f>
        <v>967984</v>
      </c>
      <c r="AK65" s="297">
        <v>1439338.0</v>
      </c>
      <c r="AL65" s="297">
        <v>839132.0</v>
      </c>
      <c r="AM65" s="297">
        <v>1112531.0</v>
      </c>
      <c r="AN65" s="297">
        <v>1016694.0</v>
      </c>
      <c r="AO65" s="297">
        <f>+AN29+AN33+AN32+AN37</f>
        <v>1116663</v>
      </c>
      <c r="AP65" s="297">
        <v>1132244.0</v>
      </c>
      <c r="AQ65" s="297">
        <v>752521.0</v>
      </c>
      <c r="AR65" s="297">
        <f>+AQ29+AQ33+AQ32+AQ37</f>
        <v>734645</v>
      </c>
      <c r="AS65" s="297">
        <v>244000.0</v>
      </c>
      <c r="AT65" s="297">
        <v>692226.0</v>
      </c>
      <c r="AU65" s="297">
        <v>252242.0</v>
      </c>
      <c r="AV65" s="297">
        <v>322000.0</v>
      </c>
      <c r="AW65" s="297">
        <v>272000.0</v>
      </c>
      <c r="AX65" s="297">
        <v>346948.0</v>
      </c>
      <c r="AY65" s="297">
        <v>322000.0</v>
      </c>
      <c r="AZ65" s="297">
        <v>322000.0</v>
      </c>
      <c r="BA65" s="297">
        <v>322000.0</v>
      </c>
      <c r="BB65" s="297">
        <v>390626.0</v>
      </c>
      <c r="BC65" s="297">
        <f>+BB29+BB33+BB32+BB37</f>
        <v>312934</v>
      </c>
      <c r="BD65" s="297">
        <v>332155.0</v>
      </c>
      <c r="BE65" s="297">
        <v>381611.0</v>
      </c>
      <c r="BF65" s="297">
        <v>372000.0</v>
      </c>
      <c r="BG65" s="297">
        <f>+BF29+BF33+BF32+BF37</f>
        <v>454122</v>
      </c>
      <c r="BH65" s="297">
        <v>422358.0</v>
      </c>
      <c r="BI65" s="297">
        <v>372000.0</v>
      </c>
      <c r="BJ65" s="297">
        <v>33000.0</v>
      </c>
      <c r="BK65" s="297">
        <v>33000.0</v>
      </c>
      <c r="BL65" s="297">
        <v>33000.0</v>
      </c>
      <c r="BM65" s="297">
        <v>33000.0</v>
      </c>
      <c r="BN65" s="297">
        <v>33000.0</v>
      </c>
      <c r="BO65" s="297">
        <v>33000.0</v>
      </c>
      <c r="BP65" s="297">
        <f>1630675+546123+18376+11000+33000</f>
        <v>2239174</v>
      </c>
      <c r="BQ65" s="297">
        <f>2536844+36385</f>
        <v>2573229</v>
      </c>
      <c r="BR65" s="297">
        <f>+BQ29+BQ33+BQ32+BQ37</f>
        <v>3390856</v>
      </c>
      <c r="BS65" s="297">
        <f>2506625+558128</f>
        <v>3064753</v>
      </c>
      <c r="BT65" s="297">
        <f>+BS29+BS33+BS32+BS37</f>
        <v>3919190</v>
      </c>
      <c r="BU65" s="297">
        <v>3416095.0</v>
      </c>
      <c r="BV65" s="297">
        <v>3640905.0</v>
      </c>
      <c r="BW65" s="297">
        <f>+BV29+BV33+BV32+BV37</f>
        <v>2839117</v>
      </c>
      <c r="BX65" s="297">
        <v>3422139.0</v>
      </c>
      <c r="BY65" s="297"/>
      <c r="BZ65" s="297">
        <f t="shared" ref="BZ65:CA65" si="116">+BY29+BY33+BY32+BY37</f>
        <v>0</v>
      </c>
      <c r="CA65" s="297">
        <f t="shared" si="116"/>
        <v>0</v>
      </c>
      <c r="CB65" s="297">
        <f>2969776+457712</f>
        <v>3427488</v>
      </c>
      <c r="CC65" s="297">
        <f>2750222+114993</f>
        <v>2865215</v>
      </c>
      <c r="CD65" s="297">
        <f>4028520+859089-300000</f>
        <v>4587609</v>
      </c>
      <c r="CE65" s="297">
        <f>3069563+2096231</f>
        <v>5165794</v>
      </c>
      <c r="CF65" s="297">
        <v>3850712.0</v>
      </c>
      <c r="CG65" s="297">
        <f>2770774+2201064</f>
        <v>4971838</v>
      </c>
      <c r="CH65" s="297">
        <f>2913903+662451</f>
        <v>3576354</v>
      </c>
      <c r="CI65" s="297">
        <f>2833338+654043</f>
        <v>3487381</v>
      </c>
      <c r="CJ65" s="297">
        <f>+CI29+CI33+CI32+CI37</f>
        <v>3255657</v>
      </c>
      <c r="CK65" s="299">
        <v>3689658.0</v>
      </c>
      <c r="CL65" s="299">
        <v>3251292.0</v>
      </c>
      <c r="CM65" s="299">
        <v>4127335.0</v>
      </c>
      <c r="CN65" s="297">
        <f>+CM29+CM33+CM32+CM37</f>
        <v>3927641</v>
      </c>
      <c r="CO65" s="297">
        <f>CN65</f>
        <v>3927641</v>
      </c>
    </row>
    <row r="66" ht="18.0" customHeight="1">
      <c r="A66" s="1"/>
      <c r="B66" s="1"/>
      <c r="C66" s="330"/>
      <c r="D66" s="331"/>
      <c r="E66" s="1"/>
      <c r="F66" s="290"/>
      <c r="G66" s="332" t="s">
        <v>61</v>
      </c>
      <c r="H66" s="333">
        <f>3815-424</f>
        <v>3391</v>
      </c>
      <c r="I66" s="334" t="str">
        <f>+I31+I34+I35+I36+I37/3+$D66-580</f>
        <v>#REF!</v>
      </c>
      <c r="J66" s="334">
        <v>5257.333333333333</v>
      </c>
      <c r="K66" s="334">
        <v>4737.0</v>
      </c>
      <c r="L66" s="334">
        <v>4791.0</v>
      </c>
      <c r="M66" s="334">
        <v>4955.0</v>
      </c>
      <c r="N66" s="335" t="str">
        <f>+N31+N34+N35+N36+N37/2+$D66-544</f>
        <v>#REF!</v>
      </c>
      <c r="O66" s="334">
        <v>4157.0</v>
      </c>
      <c r="P66" s="334">
        <v>5190.5</v>
      </c>
      <c r="Q66" s="334">
        <v>4277.0</v>
      </c>
      <c r="R66" s="334">
        <v>5160.0</v>
      </c>
      <c r="S66" s="336">
        <v>4913.5</v>
      </c>
      <c r="T66" s="337">
        <v>4211.5</v>
      </c>
      <c r="U66" s="334">
        <v>3032.0</v>
      </c>
      <c r="V66" s="334">
        <v>4991.0</v>
      </c>
      <c r="W66" s="334">
        <v>4558.5</v>
      </c>
      <c r="X66" s="334">
        <v>4464.0</v>
      </c>
      <c r="Y66" s="334"/>
      <c r="Z66" s="334"/>
      <c r="AA66" s="338"/>
      <c r="AB66" s="338">
        <f t="shared" ref="AB66:AL66" si="117">AB31+AB34+AB35+AB36</f>
        <v>79238</v>
      </c>
      <c r="AC66" s="338">
        <f t="shared" si="117"/>
        <v>6380</v>
      </c>
      <c r="AD66" s="338">
        <f t="shared" si="117"/>
        <v>8360</v>
      </c>
      <c r="AE66" s="338">
        <f t="shared" si="117"/>
        <v>6490</v>
      </c>
      <c r="AF66" s="338">
        <f t="shared" si="117"/>
        <v>5200</v>
      </c>
      <c r="AG66" s="338">
        <f t="shared" si="117"/>
        <v>5200</v>
      </c>
      <c r="AH66" s="338">
        <f t="shared" si="117"/>
        <v>5400</v>
      </c>
      <c r="AI66" s="338">
        <f t="shared" si="117"/>
        <v>5700</v>
      </c>
      <c r="AJ66" s="338">
        <f t="shared" si="117"/>
        <v>8100</v>
      </c>
      <c r="AK66" s="338">
        <f t="shared" si="117"/>
        <v>5200</v>
      </c>
      <c r="AL66" s="338">
        <f t="shared" si="117"/>
        <v>11127</v>
      </c>
      <c r="AM66" s="338">
        <v>190000.0</v>
      </c>
      <c r="AN66" s="338">
        <f t="shared" ref="AN66:AO66" si="118">AN31+AN34+AN35+AN36</f>
        <v>7700</v>
      </c>
      <c r="AO66" s="338">
        <f t="shared" si="118"/>
        <v>5800</v>
      </c>
      <c r="AP66" s="338">
        <v>0.0</v>
      </c>
      <c r="AQ66" s="338">
        <f t="shared" ref="AQ66:AS66" si="119">AQ31+AQ34+AQ35+AQ36</f>
        <v>5900</v>
      </c>
      <c r="AR66" s="338">
        <f t="shared" si="119"/>
        <v>5800</v>
      </c>
      <c r="AS66" s="338">
        <f t="shared" si="119"/>
        <v>5600</v>
      </c>
      <c r="AT66" s="338">
        <v>0.0</v>
      </c>
      <c r="AU66" s="338">
        <v>0.0</v>
      </c>
      <c r="AV66" s="338">
        <v>0.0</v>
      </c>
      <c r="AW66" s="338">
        <f>AW31+AW34+AW35+AW36</f>
        <v>2300</v>
      </c>
      <c r="AX66" s="338">
        <v>0.0</v>
      </c>
      <c r="AY66" s="338">
        <f>AY31+AY34+AY35+AY36</f>
        <v>2150</v>
      </c>
      <c r="AZ66" s="338">
        <v>2430.0</v>
      </c>
      <c r="BA66" s="338">
        <f>BA31+BA34+BA35+BA36</f>
        <v>2200</v>
      </c>
      <c r="BB66" s="338">
        <v>21810.0</v>
      </c>
      <c r="BC66" s="338">
        <f t="shared" ref="BC66:BE66" si="120">BC31+BC34+BC35+BC36</f>
        <v>2400</v>
      </c>
      <c r="BD66" s="338">
        <f t="shared" si="120"/>
        <v>32650</v>
      </c>
      <c r="BE66" s="338">
        <f t="shared" si="120"/>
        <v>32300</v>
      </c>
      <c r="BF66" s="338">
        <v>0.0</v>
      </c>
      <c r="BG66" s="338">
        <f t="shared" ref="BG66:BH66" si="121">BG31+BG34+BG35+BG36</f>
        <v>2100</v>
      </c>
      <c r="BH66" s="338">
        <f t="shared" si="121"/>
        <v>2100</v>
      </c>
      <c r="BI66" s="338">
        <v>0.0</v>
      </c>
      <c r="BJ66" s="338">
        <f t="shared" ref="BJ66:BN66" si="122">BJ31+BJ34+BJ35+BJ36</f>
        <v>1400</v>
      </c>
      <c r="BK66" s="338">
        <f t="shared" si="122"/>
        <v>1400</v>
      </c>
      <c r="BL66" s="338">
        <f t="shared" si="122"/>
        <v>1400</v>
      </c>
      <c r="BM66" s="338">
        <f t="shared" si="122"/>
        <v>40950</v>
      </c>
      <c r="BN66" s="338">
        <f t="shared" si="122"/>
        <v>1400</v>
      </c>
      <c r="BO66" s="338">
        <v>37400.0</v>
      </c>
      <c r="BP66" s="338">
        <f>10270+5700+18700</f>
        <v>34670</v>
      </c>
      <c r="BQ66" s="338">
        <f>43200</f>
        <v>43200</v>
      </c>
      <c r="BR66" s="338">
        <v>93025.0</v>
      </c>
      <c r="BS66" s="338">
        <v>35120.0</v>
      </c>
      <c r="BT66" s="338">
        <f>BT31+BT34+BT35+BT36</f>
        <v>62816</v>
      </c>
      <c r="BU66" s="338">
        <v>0.0</v>
      </c>
      <c r="BV66" s="338">
        <v>0.0</v>
      </c>
      <c r="BW66" s="338">
        <f>BW31+BW34+BW35+BW36</f>
        <v>69100</v>
      </c>
      <c r="BX66" s="338">
        <v>329303.0</v>
      </c>
      <c r="BY66" s="338">
        <f t="shared" ref="BY66:CA66" si="123">BY31+BY34+BY35+BY36</f>
        <v>0</v>
      </c>
      <c r="BZ66" s="338">
        <f t="shared" si="123"/>
        <v>0</v>
      </c>
      <c r="CA66" s="338">
        <f t="shared" si="123"/>
        <v>0</v>
      </c>
      <c r="CB66" s="338">
        <v>75014.0</v>
      </c>
      <c r="CC66" s="338">
        <v>74458.0</v>
      </c>
      <c r="CD66" s="338">
        <v>59807.0</v>
      </c>
      <c r="CE66" s="338">
        <v>607785.0</v>
      </c>
      <c r="CF66" s="338">
        <v>49538.0</v>
      </c>
      <c r="CG66" s="338">
        <v>0.0</v>
      </c>
      <c r="CH66" s="338">
        <f>176283+48259</f>
        <v>224542</v>
      </c>
      <c r="CI66" s="339">
        <v>0.0</v>
      </c>
      <c r="CJ66" s="338">
        <f>CJ31+CJ34+CJ35+CJ36</f>
        <v>552675</v>
      </c>
      <c r="CK66" s="339">
        <v>167787.0</v>
      </c>
      <c r="CL66" s="339">
        <v>0.0</v>
      </c>
      <c r="CM66" s="339">
        <v>0.0</v>
      </c>
      <c r="CN66" s="338">
        <f t="shared" ref="CN66:CO66" si="124">CN31+CN34+CN35+CN36</f>
        <v>0</v>
      </c>
      <c r="CO66" s="338">
        <f t="shared" si="124"/>
        <v>0</v>
      </c>
    </row>
    <row r="67" ht="18.0" customHeight="1">
      <c r="A67" s="1"/>
      <c r="B67" s="1"/>
      <c r="C67" s="1"/>
      <c r="D67" s="1"/>
      <c r="E67" s="1"/>
      <c r="F67" s="290"/>
      <c r="G67" s="300" t="s">
        <v>62</v>
      </c>
      <c r="H67" s="301">
        <v>62.0</v>
      </c>
      <c r="I67" s="302" t="str">
        <f>+I44-13</f>
        <v>#REF!</v>
      </c>
      <c r="J67" s="302">
        <v>53.0</v>
      </c>
      <c r="K67" s="302">
        <v>53.0</v>
      </c>
      <c r="L67" s="302">
        <v>56.0</v>
      </c>
      <c r="M67" s="302">
        <v>57.0</v>
      </c>
      <c r="N67" s="303" t="str">
        <f>+N44-6</f>
        <v>#REF!</v>
      </c>
      <c r="O67" s="302">
        <v>48.0</v>
      </c>
      <c r="P67" s="302">
        <v>50.0</v>
      </c>
      <c r="Q67" s="302">
        <v>49.0</v>
      </c>
      <c r="R67" s="302">
        <v>44.0</v>
      </c>
      <c r="S67" s="304">
        <v>44.0</v>
      </c>
      <c r="T67" s="305">
        <v>79.0</v>
      </c>
      <c r="U67" s="302">
        <v>41.0</v>
      </c>
      <c r="V67" s="302">
        <v>39.0</v>
      </c>
      <c r="W67" s="302">
        <v>37.0</v>
      </c>
      <c r="X67" s="302">
        <v>77.0</v>
      </c>
      <c r="Y67" s="302"/>
      <c r="Z67" s="302"/>
      <c r="AA67" s="306"/>
      <c r="AB67" s="306" t="str">
        <f t="shared" ref="AB67:CO67" si="125">+AB44</f>
        <v/>
      </c>
      <c r="AC67" s="306" t="str">
        <f t="shared" si="125"/>
        <v/>
      </c>
      <c r="AD67" s="306" t="str">
        <f t="shared" si="125"/>
        <v/>
      </c>
      <c r="AE67" s="300" t="str">
        <f t="shared" si="125"/>
        <v/>
      </c>
      <c r="AF67" s="307" t="str">
        <f t="shared" si="125"/>
        <v/>
      </c>
      <c r="AG67" s="306" t="str">
        <f t="shared" si="125"/>
        <v/>
      </c>
      <c r="AH67" s="306" t="str">
        <f t="shared" si="125"/>
        <v/>
      </c>
      <c r="AI67" s="306" t="str">
        <f t="shared" si="125"/>
        <v/>
      </c>
      <c r="AJ67" s="306" t="str">
        <f t="shared" si="125"/>
        <v/>
      </c>
      <c r="AK67" s="306" t="str">
        <f t="shared" si="125"/>
        <v/>
      </c>
      <c r="AL67" s="306" t="str">
        <f t="shared" si="125"/>
        <v/>
      </c>
      <c r="AM67" s="306" t="str">
        <f t="shared" si="125"/>
        <v/>
      </c>
      <c r="AN67" s="306" t="str">
        <f t="shared" si="125"/>
        <v/>
      </c>
      <c r="AO67" s="306" t="str">
        <f t="shared" si="125"/>
        <v/>
      </c>
      <c r="AP67" s="306" t="str">
        <f t="shared" si="125"/>
        <v/>
      </c>
      <c r="AQ67" s="306" t="str">
        <f t="shared" si="125"/>
        <v/>
      </c>
      <c r="AR67" s="306">
        <f t="shared" si="125"/>
        <v>0</v>
      </c>
      <c r="AS67" s="306">
        <f t="shared" si="125"/>
        <v>0</v>
      </c>
      <c r="AT67" s="306">
        <f t="shared" si="125"/>
        <v>0</v>
      </c>
      <c r="AU67" s="306">
        <f t="shared" si="125"/>
        <v>0</v>
      </c>
      <c r="AV67" s="306">
        <f t="shared" si="125"/>
        <v>0</v>
      </c>
      <c r="AW67" s="306">
        <f t="shared" si="125"/>
        <v>0</v>
      </c>
      <c r="AX67" s="306">
        <f t="shared" si="125"/>
        <v>0</v>
      </c>
      <c r="AY67" s="306">
        <f t="shared" si="125"/>
        <v>0</v>
      </c>
      <c r="AZ67" s="306">
        <f t="shared" si="125"/>
        <v>0</v>
      </c>
      <c r="BA67" s="306">
        <f t="shared" si="125"/>
        <v>0</v>
      </c>
      <c r="BB67" s="306">
        <f t="shared" si="125"/>
        <v>0</v>
      </c>
      <c r="BC67" s="306">
        <f t="shared" si="125"/>
        <v>0</v>
      </c>
      <c r="BD67" s="306" t="str">
        <f t="shared" si="125"/>
        <v/>
      </c>
      <c r="BE67" s="306" t="str">
        <f t="shared" si="125"/>
        <v/>
      </c>
      <c r="BF67" s="306" t="str">
        <f t="shared" si="125"/>
        <v/>
      </c>
      <c r="BG67" s="306" t="str">
        <f t="shared" si="125"/>
        <v/>
      </c>
      <c r="BH67" s="306" t="str">
        <f t="shared" si="125"/>
        <v/>
      </c>
      <c r="BI67" s="306" t="str">
        <f t="shared" si="125"/>
        <v/>
      </c>
      <c r="BJ67" s="306" t="str">
        <f t="shared" si="125"/>
        <v/>
      </c>
      <c r="BK67" s="306" t="str">
        <f t="shared" si="125"/>
        <v/>
      </c>
      <c r="BL67" s="306" t="str">
        <f t="shared" si="125"/>
        <v/>
      </c>
      <c r="BM67" s="306" t="str">
        <f t="shared" si="125"/>
        <v/>
      </c>
      <c r="BN67" s="306" t="str">
        <f t="shared" si="125"/>
        <v/>
      </c>
      <c r="BO67" s="306" t="str">
        <f t="shared" si="125"/>
        <v/>
      </c>
      <c r="BP67" s="306">
        <f t="shared" si="125"/>
        <v>10355</v>
      </c>
      <c r="BQ67" s="306">
        <f t="shared" si="125"/>
        <v>0</v>
      </c>
      <c r="BR67" s="306">
        <f t="shared" si="125"/>
        <v>9697</v>
      </c>
      <c r="BS67" s="306">
        <f t="shared" si="125"/>
        <v>5260</v>
      </c>
      <c r="BT67" s="306">
        <f t="shared" si="125"/>
        <v>0</v>
      </c>
      <c r="BU67" s="306">
        <f t="shared" si="125"/>
        <v>5753</v>
      </c>
      <c r="BV67" s="306">
        <f t="shared" si="125"/>
        <v>8711</v>
      </c>
      <c r="BW67" s="306">
        <f t="shared" si="125"/>
        <v>5095</v>
      </c>
      <c r="BX67" s="306">
        <f t="shared" si="125"/>
        <v>4931</v>
      </c>
      <c r="BY67" s="306">
        <f t="shared" si="125"/>
        <v>0</v>
      </c>
      <c r="BZ67" s="306">
        <f t="shared" si="125"/>
        <v>0</v>
      </c>
      <c r="CA67" s="306">
        <f t="shared" si="125"/>
        <v>0</v>
      </c>
      <c r="CB67" s="306">
        <f t="shared" si="125"/>
        <v>5424</v>
      </c>
      <c r="CC67" s="306">
        <f t="shared" si="125"/>
        <v>0</v>
      </c>
      <c r="CD67" s="306">
        <f t="shared" si="125"/>
        <v>9697</v>
      </c>
      <c r="CE67" s="306">
        <f t="shared" si="125"/>
        <v>5260</v>
      </c>
      <c r="CF67" s="306">
        <f t="shared" si="125"/>
        <v>0</v>
      </c>
      <c r="CG67" s="306">
        <f t="shared" si="125"/>
        <v>9862</v>
      </c>
      <c r="CH67" s="306">
        <f t="shared" si="125"/>
        <v>5095</v>
      </c>
      <c r="CI67" s="306">
        <f t="shared" si="125"/>
        <v>0</v>
      </c>
      <c r="CJ67" s="306">
        <f t="shared" si="125"/>
        <v>5753</v>
      </c>
      <c r="CK67" s="306">
        <f t="shared" si="125"/>
        <v>4525</v>
      </c>
      <c r="CL67" s="306">
        <f t="shared" si="125"/>
        <v>4448</v>
      </c>
      <c r="CM67" s="306">
        <f t="shared" si="125"/>
        <v>9126</v>
      </c>
      <c r="CN67" s="306" t="str">
        <f t="shared" si="125"/>
        <v/>
      </c>
      <c r="CO67" s="306" t="str">
        <f t="shared" si="125"/>
        <v/>
      </c>
    </row>
    <row r="68" ht="18.0" customHeight="1">
      <c r="A68" s="1"/>
      <c r="B68" s="1"/>
      <c r="C68" s="1"/>
      <c r="D68" s="1"/>
      <c r="E68" s="1"/>
      <c r="F68" s="30"/>
      <c r="G68" s="340" t="s">
        <v>63</v>
      </c>
      <c r="H68" s="341">
        <f t="shared" ref="H68:I68" si="126">SUM(H63:H67)</f>
        <v>22117</v>
      </c>
      <c r="I68" s="342" t="str">
        <f t="shared" si="126"/>
        <v>#REF!</v>
      </c>
      <c r="J68" s="342">
        <v>26551.663333333334</v>
      </c>
      <c r="K68" s="342">
        <v>29743.905</v>
      </c>
      <c r="L68" s="342">
        <v>25628.17</v>
      </c>
      <c r="M68" s="342">
        <v>27303.195</v>
      </c>
      <c r="N68" s="343" t="str">
        <f>SUM(N63:N67)</f>
        <v>#REF!</v>
      </c>
      <c r="O68" s="342">
        <v>23584.89</v>
      </c>
      <c r="P68" s="342">
        <v>26849.835</v>
      </c>
      <c r="Q68" s="342">
        <v>29428.660000000003</v>
      </c>
      <c r="R68" s="342">
        <v>28151.559999999998</v>
      </c>
      <c r="S68" s="344">
        <v>24542.364999999998</v>
      </c>
      <c r="T68" s="345">
        <v>25801.38</v>
      </c>
      <c r="U68" s="342">
        <v>20679.66</v>
      </c>
      <c r="V68" s="342">
        <v>24993.15</v>
      </c>
      <c r="W68" s="342">
        <v>24492.425</v>
      </c>
      <c r="X68" s="342">
        <v>20774.16</v>
      </c>
      <c r="Y68" s="342"/>
      <c r="Z68" s="342"/>
      <c r="AA68" s="346"/>
      <c r="AB68" s="346">
        <f t="shared" ref="AB68:CO68" si="127">SUM(AB63:AB67)</f>
        <v>2624210</v>
      </c>
      <c r="AC68" s="346">
        <f t="shared" si="127"/>
        <v>1461757</v>
      </c>
      <c r="AD68" s="346">
        <f t="shared" si="127"/>
        <v>1046065</v>
      </c>
      <c r="AE68" s="347">
        <f t="shared" si="127"/>
        <v>749436</v>
      </c>
      <c r="AF68" s="348">
        <f t="shared" si="127"/>
        <v>814641</v>
      </c>
      <c r="AG68" s="346">
        <f t="shared" si="127"/>
        <v>1027636</v>
      </c>
      <c r="AH68" s="346">
        <f t="shared" si="127"/>
        <v>902754</v>
      </c>
      <c r="AI68" s="346">
        <f t="shared" si="127"/>
        <v>834256</v>
      </c>
      <c r="AJ68" s="346">
        <f t="shared" si="127"/>
        <v>976084</v>
      </c>
      <c r="AK68" s="346">
        <f t="shared" si="127"/>
        <v>1444538</v>
      </c>
      <c r="AL68" s="346">
        <f t="shared" si="127"/>
        <v>850259</v>
      </c>
      <c r="AM68" s="346">
        <f t="shared" si="127"/>
        <v>1302531</v>
      </c>
      <c r="AN68" s="346">
        <f t="shared" si="127"/>
        <v>1024394</v>
      </c>
      <c r="AO68" s="346">
        <f t="shared" si="127"/>
        <v>1122463</v>
      </c>
      <c r="AP68" s="346">
        <f t="shared" si="127"/>
        <v>1132244</v>
      </c>
      <c r="AQ68" s="346">
        <f t="shared" si="127"/>
        <v>758421</v>
      </c>
      <c r="AR68" s="346">
        <f t="shared" si="127"/>
        <v>740445</v>
      </c>
      <c r="AS68" s="346">
        <f t="shared" si="127"/>
        <v>249600</v>
      </c>
      <c r="AT68" s="346">
        <f t="shared" si="127"/>
        <v>692658</v>
      </c>
      <c r="AU68" s="346">
        <f t="shared" si="127"/>
        <v>378212</v>
      </c>
      <c r="AV68" s="346">
        <f t="shared" si="127"/>
        <v>368195</v>
      </c>
      <c r="AW68" s="346">
        <f t="shared" si="127"/>
        <v>283413.28</v>
      </c>
      <c r="AX68" s="346">
        <f t="shared" si="127"/>
        <v>355220</v>
      </c>
      <c r="AY68" s="346">
        <f t="shared" si="127"/>
        <v>332422</v>
      </c>
      <c r="AZ68" s="346">
        <f t="shared" si="127"/>
        <v>324478.71</v>
      </c>
      <c r="BA68" s="346">
        <f t="shared" si="127"/>
        <v>388939.765</v>
      </c>
      <c r="BB68" s="346">
        <f t="shared" si="127"/>
        <v>580668</v>
      </c>
      <c r="BC68" s="346">
        <f t="shared" si="127"/>
        <v>394434.585</v>
      </c>
      <c r="BD68" s="346">
        <f t="shared" si="127"/>
        <v>404003.88</v>
      </c>
      <c r="BE68" s="346">
        <f t="shared" si="127"/>
        <v>454305.065</v>
      </c>
      <c r="BF68" s="346">
        <f t="shared" si="127"/>
        <v>382013</v>
      </c>
      <c r="BG68" s="346">
        <f t="shared" si="127"/>
        <v>463869.415</v>
      </c>
      <c r="BH68" s="346">
        <f t="shared" si="127"/>
        <v>428635.59</v>
      </c>
      <c r="BI68" s="346">
        <f t="shared" si="127"/>
        <v>383600</v>
      </c>
      <c r="BJ68" s="346">
        <f t="shared" si="127"/>
        <v>35391.9</v>
      </c>
      <c r="BK68" s="346">
        <f t="shared" si="127"/>
        <v>34400</v>
      </c>
      <c r="BL68" s="346">
        <f t="shared" si="127"/>
        <v>34400</v>
      </c>
      <c r="BM68" s="346">
        <f t="shared" si="127"/>
        <v>73950</v>
      </c>
      <c r="BN68" s="346">
        <f t="shared" si="127"/>
        <v>34400</v>
      </c>
      <c r="BO68" s="346">
        <f t="shared" si="127"/>
        <v>70400</v>
      </c>
      <c r="BP68" s="346">
        <f t="shared" si="127"/>
        <v>2408144</v>
      </c>
      <c r="BQ68" s="346">
        <f t="shared" si="127"/>
        <v>2616441.5</v>
      </c>
      <c r="BR68" s="346">
        <f t="shared" si="127"/>
        <v>3496344</v>
      </c>
      <c r="BS68" s="346">
        <f t="shared" si="127"/>
        <v>3150406.475</v>
      </c>
      <c r="BT68" s="346">
        <f t="shared" si="127"/>
        <v>4082225.215</v>
      </c>
      <c r="BU68" s="346">
        <f t="shared" si="127"/>
        <v>3421848</v>
      </c>
      <c r="BV68" s="346">
        <f t="shared" si="127"/>
        <v>3664950.94</v>
      </c>
      <c r="BW68" s="346">
        <f t="shared" si="127"/>
        <v>2938320.02</v>
      </c>
      <c r="BX68" s="346">
        <f t="shared" si="127"/>
        <v>3774288.935</v>
      </c>
      <c r="BY68" s="346">
        <f t="shared" si="127"/>
        <v>0</v>
      </c>
      <c r="BZ68" s="346">
        <f t="shared" si="127"/>
        <v>0</v>
      </c>
      <c r="CA68" s="346">
        <f t="shared" si="127"/>
        <v>0</v>
      </c>
      <c r="CB68" s="346">
        <f t="shared" si="127"/>
        <v>3507926</v>
      </c>
      <c r="CC68" s="346">
        <f t="shared" si="127"/>
        <v>2939673</v>
      </c>
      <c r="CD68" s="346">
        <f t="shared" si="127"/>
        <v>4657113</v>
      </c>
      <c r="CE68" s="346">
        <f t="shared" si="127"/>
        <v>5785917.75</v>
      </c>
      <c r="CF68" s="346">
        <f t="shared" si="127"/>
        <v>3901680</v>
      </c>
      <c r="CG68" s="346">
        <f t="shared" si="127"/>
        <v>4981700</v>
      </c>
      <c r="CH68" s="346">
        <f t="shared" si="127"/>
        <v>3855337.935</v>
      </c>
      <c r="CI68" s="346">
        <f t="shared" si="127"/>
        <v>3562651.885</v>
      </c>
      <c r="CJ68" s="346">
        <f t="shared" si="127"/>
        <v>3820231.115</v>
      </c>
      <c r="CK68" s="346">
        <f t="shared" si="127"/>
        <v>3862226.98</v>
      </c>
      <c r="CL68" s="346">
        <f t="shared" si="127"/>
        <v>3307097.565</v>
      </c>
      <c r="CM68" s="346">
        <f t="shared" si="127"/>
        <v>4180203.785</v>
      </c>
      <c r="CN68" s="346">
        <f t="shared" si="127"/>
        <v>3977854.67</v>
      </c>
      <c r="CO68" s="346">
        <f t="shared" si="127"/>
        <v>3927641</v>
      </c>
    </row>
    <row r="69" ht="18.0" customHeight="1">
      <c r="A69" s="1"/>
      <c r="B69" s="1"/>
      <c r="C69" s="1"/>
      <c r="D69" s="1"/>
      <c r="E69" s="1"/>
      <c r="F69" s="349" t="s">
        <v>64</v>
      </c>
      <c r="G69" s="162"/>
      <c r="H69" s="350">
        <f t="shared" ref="H69:I69" si="128">+H62-H68</f>
        <v>3661</v>
      </c>
      <c r="I69" s="351" t="str">
        <f t="shared" si="128"/>
        <v>#REF!</v>
      </c>
      <c r="J69" s="351">
        <v>-3100.463333333333</v>
      </c>
      <c r="K69" s="351">
        <v>-2959.3050000000003</v>
      </c>
      <c r="L69" s="351">
        <v>2561.430000000004</v>
      </c>
      <c r="M69" s="351">
        <v>10719.404999999999</v>
      </c>
      <c r="N69" s="352" t="str">
        <f>+N62-N68</f>
        <v>#REF!</v>
      </c>
      <c r="O69" s="351">
        <v>2734.310000000005</v>
      </c>
      <c r="P69" s="351">
        <v>7255.165000000001</v>
      </c>
      <c r="Q69" s="351">
        <v>-2083.66</v>
      </c>
      <c r="R69" s="351">
        <v>-1942.9599999999955</v>
      </c>
      <c r="S69" s="353">
        <v>2058.635000000002</v>
      </c>
      <c r="T69" s="354">
        <v>-4392.98</v>
      </c>
      <c r="U69" s="351">
        <v>3421.7400000000016</v>
      </c>
      <c r="V69" s="351">
        <v>-2681.1500000000015</v>
      </c>
      <c r="W69" s="351">
        <v>-1983.6249999999964</v>
      </c>
      <c r="X69" s="351">
        <v>1115.4400000000023</v>
      </c>
      <c r="Y69" s="351"/>
      <c r="Z69" s="351"/>
      <c r="AA69" s="355"/>
      <c r="AB69" s="355">
        <f t="shared" ref="AB69:CO69" si="129">+AB62-AB68</f>
        <v>-157772</v>
      </c>
      <c r="AC69" s="355">
        <f t="shared" si="129"/>
        <v>-234372</v>
      </c>
      <c r="AD69" s="355">
        <f t="shared" si="129"/>
        <v>-293837</v>
      </c>
      <c r="AE69" s="356">
        <f t="shared" si="129"/>
        <v>-235230</v>
      </c>
      <c r="AF69" s="357">
        <f t="shared" si="129"/>
        <v>2014904</v>
      </c>
      <c r="AG69" s="355">
        <f t="shared" si="129"/>
        <v>-64930</v>
      </c>
      <c r="AH69" s="355">
        <f t="shared" si="129"/>
        <v>65340</v>
      </c>
      <c r="AI69" s="355">
        <f t="shared" si="129"/>
        <v>102336</v>
      </c>
      <c r="AJ69" s="355">
        <f t="shared" si="129"/>
        <v>-72907</v>
      </c>
      <c r="AK69" s="355">
        <f t="shared" si="129"/>
        <v>-430687</v>
      </c>
      <c r="AL69" s="355">
        <f t="shared" si="129"/>
        <v>36915</v>
      </c>
      <c r="AM69" s="355">
        <f t="shared" si="129"/>
        <v>-387766</v>
      </c>
      <c r="AN69" s="355">
        <f t="shared" si="129"/>
        <v>-141756</v>
      </c>
      <c r="AO69" s="355">
        <f t="shared" si="129"/>
        <v>-141788</v>
      </c>
      <c r="AP69" s="355">
        <f t="shared" si="129"/>
        <v>-264076</v>
      </c>
      <c r="AQ69" s="355">
        <f t="shared" si="129"/>
        <v>-202794</v>
      </c>
      <c r="AR69" s="355">
        <f t="shared" si="129"/>
        <v>-206090</v>
      </c>
      <c r="AS69" s="355">
        <f t="shared" si="129"/>
        <v>-26926</v>
      </c>
      <c r="AT69" s="355">
        <f t="shared" si="129"/>
        <v>-481163</v>
      </c>
      <c r="AU69" s="355">
        <f t="shared" si="129"/>
        <v>254735</v>
      </c>
      <c r="AV69" s="355">
        <f t="shared" si="129"/>
        <v>125</v>
      </c>
      <c r="AW69" s="355">
        <f t="shared" si="129"/>
        <v>-1969.28</v>
      </c>
      <c r="AX69" s="355">
        <f t="shared" si="129"/>
        <v>14785</v>
      </c>
      <c r="AY69" s="355">
        <f t="shared" si="129"/>
        <v>162455</v>
      </c>
      <c r="AZ69" s="355">
        <f t="shared" si="129"/>
        <v>-27478.71</v>
      </c>
      <c r="BA69" s="355">
        <f t="shared" si="129"/>
        <v>-65775.765</v>
      </c>
      <c r="BB69" s="355">
        <f t="shared" si="129"/>
        <v>659053</v>
      </c>
      <c r="BC69" s="355">
        <f t="shared" si="129"/>
        <v>-56534.585</v>
      </c>
      <c r="BD69" s="355">
        <f t="shared" si="129"/>
        <v>61088.12</v>
      </c>
      <c r="BE69" s="355">
        <f t="shared" si="129"/>
        <v>-25842.065</v>
      </c>
      <c r="BF69" s="355">
        <f t="shared" si="129"/>
        <v>-5785</v>
      </c>
      <c r="BG69" s="355">
        <f t="shared" si="129"/>
        <v>-108695.415</v>
      </c>
      <c r="BH69" s="355">
        <f t="shared" si="129"/>
        <v>-156163.59</v>
      </c>
      <c r="BI69" s="355">
        <f t="shared" si="129"/>
        <v>-53600</v>
      </c>
      <c r="BJ69" s="355">
        <f t="shared" si="129"/>
        <v>294608.1</v>
      </c>
      <c r="BK69" s="355">
        <f t="shared" si="129"/>
        <v>-34400</v>
      </c>
      <c r="BL69" s="355">
        <f t="shared" si="129"/>
        <v>168850</v>
      </c>
      <c r="BM69" s="355">
        <f t="shared" si="129"/>
        <v>-73950</v>
      </c>
      <c r="BN69" s="355">
        <f t="shared" si="129"/>
        <v>-34400</v>
      </c>
      <c r="BO69" s="355">
        <f t="shared" si="129"/>
        <v>279654</v>
      </c>
      <c r="BP69" s="355">
        <f t="shared" si="129"/>
        <v>-1601698</v>
      </c>
      <c r="BQ69" s="355">
        <f t="shared" si="129"/>
        <v>-726695.5</v>
      </c>
      <c r="BR69" s="355">
        <f t="shared" si="129"/>
        <v>-27555</v>
      </c>
      <c r="BS69" s="355">
        <f t="shared" si="129"/>
        <v>252140.525</v>
      </c>
      <c r="BT69" s="355">
        <f t="shared" si="129"/>
        <v>28273.785</v>
      </c>
      <c r="BU69" s="355">
        <f t="shared" si="129"/>
        <v>210904</v>
      </c>
      <c r="BV69" s="355">
        <f t="shared" si="129"/>
        <v>-2848000.94</v>
      </c>
      <c r="BW69" s="355">
        <f t="shared" si="129"/>
        <v>1571435.98</v>
      </c>
      <c r="BX69" s="355">
        <f t="shared" si="129"/>
        <v>-1118197.935</v>
      </c>
      <c r="BY69" s="355">
        <f t="shared" si="129"/>
        <v>0</v>
      </c>
      <c r="BZ69" s="355">
        <f t="shared" si="129"/>
        <v>0</v>
      </c>
      <c r="CA69" s="355">
        <f t="shared" si="129"/>
        <v>0</v>
      </c>
      <c r="CB69" s="355">
        <f t="shared" si="129"/>
        <v>-287818</v>
      </c>
      <c r="CC69" s="355">
        <f t="shared" si="129"/>
        <v>2897235</v>
      </c>
      <c r="CD69" s="355">
        <f t="shared" si="129"/>
        <v>-823340</v>
      </c>
      <c r="CE69" s="355">
        <f t="shared" si="129"/>
        <v>-2423009.75</v>
      </c>
      <c r="CF69" s="355">
        <f t="shared" si="129"/>
        <v>339741</v>
      </c>
      <c r="CG69" s="355">
        <f t="shared" si="129"/>
        <v>-1075362</v>
      </c>
      <c r="CH69" s="355">
        <f t="shared" si="129"/>
        <v>437902.065</v>
      </c>
      <c r="CI69" s="355">
        <f t="shared" si="129"/>
        <v>1526477.115</v>
      </c>
      <c r="CJ69" s="355">
        <f t="shared" si="129"/>
        <v>595446.885</v>
      </c>
      <c r="CK69" s="355">
        <f t="shared" si="129"/>
        <v>1093397.02</v>
      </c>
      <c r="CL69" s="355">
        <f t="shared" si="129"/>
        <v>1902766.435</v>
      </c>
      <c r="CM69" s="355">
        <f t="shared" si="129"/>
        <v>-752932.785</v>
      </c>
      <c r="CN69" s="355">
        <f t="shared" si="129"/>
        <v>-642171.67</v>
      </c>
      <c r="CO69" s="355">
        <f t="shared" si="129"/>
        <v>299889</v>
      </c>
    </row>
    <row r="70" ht="18.0" customHeight="1">
      <c r="A70" s="1"/>
      <c r="B70" s="1"/>
      <c r="C70" s="1"/>
      <c r="D70" s="1"/>
      <c r="E70" s="1"/>
      <c r="F70" s="280" t="s">
        <v>65</v>
      </c>
      <c r="G70" s="321" t="s">
        <v>66</v>
      </c>
      <c r="H70" s="322"/>
      <c r="I70" s="323"/>
      <c r="J70" s="323">
        <v>3000.0</v>
      </c>
      <c r="K70" s="323">
        <v>2000.0</v>
      </c>
      <c r="L70" s="323"/>
      <c r="M70" s="323"/>
      <c r="N70" s="324"/>
      <c r="O70" s="323"/>
      <c r="P70" s="323"/>
      <c r="Q70" s="323"/>
      <c r="R70" s="323"/>
      <c r="S70" s="325"/>
      <c r="T70" s="326"/>
      <c r="U70" s="323"/>
      <c r="V70" s="323"/>
      <c r="W70" s="323"/>
      <c r="X70" s="323"/>
      <c r="Y70" s="323"/>
      <c r="Z70" s="323"/>
      <c r="AA70" s="327"/>
      <c r="AB70" s="327"/>
      <c r="AC70" s="327"/>
      <c r="AD70" s="327"/>
      <c r="AE70" s="321"/>
      <c r="AF70" s="328"/>
      <c r="AG70" s="327"/>
      <c r="AH70" s="327"/>
      <c r="AI70" s="327"/>
      <c r="AJ70" s="327"/>
      <c r="AK70" s="327"/>
      <c r="AL70" s="327"/>
      <c r="AM70" s="327"/>
      <c r="AN70" s="327"/>
      <c r="AO70" s="327"/>
      <c r="AP70" s="327"/>
      <c r="AQ70" s="327"/>
      <c r="AR70" s="327"/>
      <c r="AS70" s="327"/>
      <c r="AT70" s="327"/>
      <c r="AU70" s="327"/>
      <c r="AV70" s="327"/>
      <c r="AW70" s="327"/>
      <c r="AX70" s="327"/>
      <c r="AY70" s="327"/>
      <c r="AZ70" s="327"/>
      <c r="BA70" s="327"/>
      <c r="BB70" s="327"/>
      <c r="BC70" s="327"/>
      <c r="BD70" s="327"/>
      <c r="BE70" s="327"/>
      <c r="BF70" s="327"/>
      <c r="BG70" s="327"/>
      <c r="BH70" s="327"/>
      <c r="BI70" s="327"/>
      <c r="BJ70" s="327"/>
      <c r="BK70" s="327"/>
      <c r="BL70" s="327"/>
      <c r="BM70" s="327"/>
      <c r="BN70" s="327"/>
      <c r="BO70" s="327">
        <v>420000.0</v>
      </c>
      <c r="BP70" s="327">
        <v>3000000.0</v>
      </c>
      <c r="BQ70" s="327"/>
      <c r="BR70" s="327"/>
      <c r="BS70" s="327"/>
      <c r="BT70" s="327"/>
      <c r="BU70" s="327">
        <v>3000000.0</v>
      </c>
      <c r="BV70" s="327"/>
      <c r="BW70" s="327"/>
      <c r="BX70" s="327"/>
      <c r="BY70" s="327"/>
      <c r="BZ70" s="327"/>
      <c r="CA70" s="327"/>
      <c r="CB70" s="327">
        <v>1000000.0</v>
      </c>
      <c r="CC70" s="327"/>
      <c r="CD70" s="327"/>
      <c r="CE70" s="327"/>
      <c r="CF70" s="327"/>
      <c r="CG70" s="327"/>
      <c r="CH70" s="327"/>
      <c r="CI70" s="327"/>
      <c r="CJ70" s="327"/>
      <c r="CK70" s="327"/>
      <c r="CL70" s="327"/>
      <c r="CM70" s="327"/>
      <c r="CN70" s="327"/>
      <c r="CO70" s="327"/>
    </row>
    <row r="71" ht="18.0" customHeight="1">
      <c r="A71" s="1"/>
      <c r="B71" s="1"/>
      <c r="C71" s="1"/>
      <c r="D71" s="1"/>
      <c r="E71" s="1"/>
      <c r="F71" s="290"/>
      <c r="G71" s="332" t="s">
        <v>67</v>
      </c>
      <c r="H71" s="333"/>
      <c r="I71" s="334"/>
      <c r="J71" s="334"/>
      <c r="K71" s="334"/>
      <c r="L71" s="334">
        <v>5000.0</v>
      </c>
      <c r="M71" s="334"/>
      <c r="N71" s="335"/>
      <c r="O71" s="334"/>
      <c r="P71" s="334"/>
      <c r="Q71" s="334"/>
      <c r="R71" s="334"/>
      <c r="S71" s="336"/>
      <c r="T71" s="337"/>
      <c r="U71" s="334"/>
      <c r="V71" s="334"/>
      <c r="W71" s="334"/>
      <c r="X71" s="334"/>
      <c r="Y71" s="334"/>
      <c r="Z71" s="334"/>
      <c r="AA71" s="338"/>
      <c r="AB71" s="338"/>
      <c r="AC71" s="358"/>
      <c r="AD71" s="338"/>
      <c r="AE71" s="332"/>
      <c r="AF71" s="359"/>
      <c r="AG71" s="338"/>
      <c r="AH71" s="338"/>
      <c r="AI71" s="338"/>
      <c r="AJ71" s="338">
        <v>5000000.0</v>
      </c>
      <c r="AK71" s="338"/>
      <c r="AL71" s="338"/>
      <c r="AM71" s="338"/>
      <c r="AN71" s="338"/>
      <c r="AO71" s="338"/>
      <c r="AP71" s="338"/>
      <c r="AQ71" s="338"/>
      <c r="AR71" s="338"/>
      <c r="AS71" s="338"/>
      <c r="AT71" s="338"/>
      <c r="AU71" s="338"/>
      <c r="AV71" s="338"/>
      <c r="AW71" s="338"/>
      <c r="AX71" s="338"/>
      <c r="AY71" s="338"/>
      <c r="AZ71" s="338"/>
      <c r="BA71" s="338"/>
      <c r="BB71" s="338"/>
      <c r="BC71" s="338"/>
      <c r="BD71" s="338"/>
      <c r="BE71" s="338"/>
      <c r="BF71" s="338"/>
      <c r="BG71" s="338"/>
      <c r="BH71" s="338"/>
      <c r="BI71" s="338"/>
      <c r="BJ71" s="338"/>
      <c r="BK71" s="338"/>
      <c r="BL71" s="338"/>
      <c r="BM71" s="338"/>
      <c r="BN71" s="338"/>
      <c r="BO71" s="338"/>
      <c r="BP71" s="338"/>
      <c r="BQ71" s="338"/>
      <c r="BR71" s="338"/>
      <c r="BS71" s="338"/>
      <c r="BT71" s="338"/>
      <c r="BU71" s="338"/>
      <c r="BV71" s="338"/>
      <c r="BW71" s="338"/>
      <c r="BX71" s="338"/>
      <c r="BY71" s="338"/>
      <c r="BZ71" s="338"/>
      <c r="CA71" s="338"/>
      <c r="CB71" s="338"/>
      <c r="CC71" s="338"/>
      <c r="CD71" s="338"/>
      <c r="CE71" s="338"/>
      <c r="CF71" s="338"/>
      <c r="CG71" s="338"/>
      <c r="CH71" s="338"/>
      <c r="CI71" s="338"/>
      <c r="CJ71" s="338"/>
      <c r="CK71" s="338"/>
      <c r="CL71" s="338"/>
      <c r="CM71" s="338"/>
      <c r="CN71" s="338"/>
      <c r="CO71" s="338"/>
    </row>
    <row r="72" ht="18.0" customHeight="1">
      <c r="A72" s="1"/>
      <c r="B72" s="1"/>
      <c r="C72" s="1"/>
      <c r="D72" s="1"/>
      <c r="E72" s="1"/>
      <c r="F72" s="290"/>
      <c r="G72" s="360" t="s">
        <v>68</v>
      </c>
      <c r="H72" s="361"/>
      <c r="I72" s="362"/>
      <c r="J72" s="362"/>
      <c r="K72" s="362"/>
      <c r="L72" s="362"/>
      <c r="M72" s="362"/>
      <c r="N72" s="363"/>
      <c r="O72" s="362"/>
      <c r="P72" s="362"/>
      <c r="Q72" s="362"/>
      <c r="R72" s="362"/>
      <c r="S72" s="364"/>
      <c r="T72" s="365"/>
      <c r="U72" s="362"/>
      <c r="V72" s="362"/>
      <c r="W72" s="362"/>
      <c r="X72" s="362"/>
      <c r="Y72" s="362"/>
      <c r="Z72" s="362"/>
      <c r="AA72" s="366"/>
      <c r="AB72" s="366"/>
      <c r="AC72" s="366"/>
      <c r="AD72" s="366"/>
      <c r="AE72" s="367"/>
      <c r="AF72" s="368">
        <v>184531.0</v>
      </c>
      <c r="AG72" s="366"/>
      <c r="AH72" s="366"/>
      <c r="AI72" s="366"/>
      <c r="AJ72" s="366"/>
      <c r="AK72" s="366"/>
      <c r="AL72" s="366"/>
      <c r="AM72" s="366"/>
      <c r="AN72" s="366"/>
      <c r="AO72" s="366"/>
      <c r="AP72" s="366"/>
      <c r="AQ72" s="366"/>
      <c r="AR72" s="366"/>
      <c r="AS72" s="366"/>
      <c r="AT72" s="366"/>
      <c r="AU72" s="366"/>
      <c r="AV72" s="366"/>
      <c r="AW72" s="366"/>
      <c r="AX72" s="366"/>
      <c r="AY72" s="366"/>
      <c r="AZ72" s="366"/>
      <c r="BA72" s="366"/>
      <c r="BB72" s="366"/>
      <c r="BC72" s="366"/>
      <c r="BD72" s="366"/>
      <c r="BE72" s="366"/>
      <c r="BF72" s="366"/>
      <c r="BG72" s="366"/>
      <c r="BH72" s="366"/>
      <c r="BI72" s="366"/>
      <c r="BJ72" s="366"/>
      <c r="BK72" s="366"/>
      <c r="BL72" s="366"/>
      <c r="BM72" s="366"/>
      <c r="BN72" s="366"/>
      <c r="BO72" s="366"/>
      <c r="BP72" s="366"/>
      <c r="BQ72" s="366"/>
      <c r="BR72" s="366"/>
      <c r="BS72" s="366"/>
      <c r="BT72" s="366"/>
      <c r="BU72" s="366"/>
      <c r="BV72" s="366"/>
      <c r="BW72" s="366"/>
      <c r="BX72" s="366"/>
      <c r="BY72" s="366"/>
      <c r="BZ72" s="366"/>
      <c r="CA72" s="366"/>
      <c r="CB72" s="366"/>
      <c r="CC72" s="366"/>
      <c r="CD72" s="366"/>
      <c r="CE72" s="366"/>
      <c r="CF72" s="366"/>
      <c r="CG72" s="366"/>
      <c r="CH72" s="366"/>
      <c r="CI72" s="366"/>
      <c r="CJ72" s="366"/>
      <c r="CK72" s="366"/>
      <c r="CL72" s="366"/>
      <c r="CM72" s="366"/>
      <c r="CN72" s="366"/>
      <c r="CO72" s="366"/>
    </row>
    <row r="73" ht="18.0" customHeight="1">
      <c r="A73" s="1"/>
      <c r="B73" s="1"/>
      <c r="C73" s="1"/>
      <c r="D73" s="1"/>
      <c r="E73" s="1"/>
      <c r="F73" s="290"/>
      <c r="G73" s="369" t="s">
        <v>69</v>
      </c>
      <c r="H73" s="370"/>
      <c r="I73" s="362"/>
      <c r="J73" s="362"/>
      <c r="K73" s="362"/>
      <c r="L73" s="362">
        <v>0.0</v>
      </c>
      <c r="M73" s="362">
        <v>0.0</v>
      </c>
      <c r="N73" s="371"/>
      <c r="O73" s="362"/>
      <c r="P73" s="362"/>
      <c r="Q73" s="362"/>
      <c r="R73" s="362">
        <v>0.0</v>
      </c>
      <c r="S73" s="364">
        <v>0.0</v>
      </c>
      <c r="T73" s="365"/>
      <c r="U73" s="362"/>
      <c r="V73" s="362"/>
      <c r="W73" s="362"/>
      <c r="X73" s="362">
        <v>1377.0</v>
      </c>
      <c r="Y73" s="362"/>
      <c r="Z73" s="362"/>
      <c r="AA73" s="372"/>
      <c r="AB73" s="372"/>
      <c r="AC73" s="372"/>
      <c r="AD73" s="372"/>
      <c r="AE73" s="373"/>
      <c r="AF73" s="374"/>
      <c r="AG73" s="372"/>
      <c r="AH73" s="366">
        <v>149788.0</v>
      </c>
      <c r="AI73" s="366">
        <v>-149788.0</v>
      </c>
      <c r="AJ73" s="372"/>
      <c r="AK73" s="372"/>
      <c r="AL73" s="372"/>
      <c r="AM73" s="372"/>
      <c r="AN73" s="372"/>
      <c r="AO73" s="372"/>
      <c r="AP73" s="372"/>
      <c r="AQ73" s="372"/>
      <c r="AR73" s="372"/>
      <c r="AS73" s="372"/>
      <c r="AT73" s="372"/>
      <c r="AU73" s="372"/>
      <c r="AV73" s="372">
        <v>600000.0</v>
      </c>
      <c r="AW73" s="372"/>
      <c r="AX73" s="372"/>
      <c r="AY73" s="372"/>
      <c r="AZ73" s="372"/>
      <c r="BA73" s="372"/>
      <c r="BB73" s="372"/>
      <c r="BC73" s="372"/>
      <c r="BD73" s="372"/>
      <c r="BE73" s="372"/>
      <c r="BF73" s="372"/>
      <c r="BG73" s="372"/>
      <c r="BH73" s="372"/>
      <c r="BI73" s="372"/>
      <c r="BJ73" s="372"/>
      <c r="BK73" s="372"/>
      <c r="BL73" s="372"/>
      <c r="BM73" s="372"/>
      <c r="BN73" s="372"/>
      <c r="BO73" s="372"/>
      <c r="BP73" s="372"/>
      <c r="BQ73" s="372"/>
      <c r="BR73" s="372"/>
      <c r="BS73" s="372"/>
      <c r="BT73" s="372"/>
      <c r="BU73" s="372"/>
      <c r="BV73" s="372"/>
      <c r="BW73" s="372"/>
      <c r="BX73" s="372"/>
      <c r="BY73" s="372"/>
      <c r="BZ73" s="372"/>
      <c r="CA73" s="372"/>
      <c r="CB73" s="372"/>
      <c r="CC73" s="372"/>
      <c r="CD73" s="372"/>
      <c r="CE73" s="372"/>
      <c r="CF73" s="372"/>
      <c r="CG73" s="372"/>
      <c r="CH73" s="372"/>
      <c r="CI73" s="372"/>
      <c r="CJ73" s="372"/>
      <c r="CK73" s="372"/>
      <c r="CL73" s="372"/>
      <c r="CM73" s="372"/>
      <c r="CN73" s="372"/>
      <c r="CO73" s="372"/>
    </row>
    <row r="74" ht="18.0" customHeight="1">
      <c r="A74" s="1"/>
      <c r="B74" s="1"/>
      <c r="C74" s="1"/>
      <c r="D74" s="1"/>
      <c r="E74" s="1"/>
      <c r="F74" s="290"/>
      <c r="G74" s="375"/>
      <c r="H74" s="301">
        <v>70.0</v>
      </c>
      <c r="I74" s="302">
        <v>161.0</v>
      </c>
      <c r="J74" s="302">
        <v>2161.0</v>
      </c>
      <c r="K74" s="302">
        <v>5098.0</v>
      </c>
      <c r="L74" s="302">
        <v>2331.0</v>
      </c>
      <c r="M74" s="302">
        <v>213.0</v>
      </c>
      <c r="N74" s="303">
        <f>67+627+176</f>
        <v>870</v>
      </c>
      <c r="O74" s="302">
        <v>131.0</v>
      </c>
      <c r="P74" s="302">
        <v>82.0</v>
      </c>
      <c r="Q74" s="302">
        <v>64.0</v>
      </c>
      <c r="R74" s="302">
        <v>862.0</v>
      </c>
      <c r="S74" s="304">
        <v>238.0</v>
      </c>
      <c r="T74" s="305">
        <v>3809.0</v>
      </c>
      <c r="U74" s="302">
        <v>493.0</v>
      </c>
      <c r="V74" s="302">
        <v>238.0</v>
      </c>
      <c r="W74" s="302">
        <v>3468.0</v>
      </c>
      <c r="X74" s="302">
        <v>934.0</v>
      </c>
      <c r="Y74" s="302"/>
      <c r="Z74" s="302"/>
      <c r="AA74" s="306"/>
      <c r="AB74" s="306"/>
      <c r="AC74" s="306"/>
      <c r="AD74" s="306"/>
      <c r="AE74" s="300"/>
      <c r="AF74" s="307"/>
      <c r="AG74" s="306"/>
      <c r="AH74" s="306"/>
      <c r="AI74" s="306"/>
      <c r="AJ74" s="306"/>
      <c r="AK74" s="306"/>
      <c r="AL74" s="306"/>
      <c r="AM74" s="306"/>
      <c r="AN74" s="306"/>
      <c r="AO74" s="306"/>
      <c r="AP74" s="306"/>
      <c r="AQ74" s="306"/>
      <c r="AR74" s="306"/>
      <c r="AS74" s="306"/>
      <c r="AT74" s="306"/>
      <c r="AU74" s="306"/>
      <c r="AV74" s="306"/>
      <c r="AW74" s="306"/>
      <c r="AX74" s="306"/>
      <c r="AY74" s="306"/>
      <c r="AZ74" s="306"/>
      <c r="BA74" s="306"/>
      <c r="BB74" s="306">
        <v>2780640.0</v>
      </c>
      <c r="BC74" s="306"/>
      <c r="BD74" s="306"/>
      <c r="BE74" s="306"/>
      <c r="BF74" s="306"/>
      <c r="BG74" s="306"/>
      <c r="BH74" s="306"/>
      <c r="BI74" s="306"/>
      <c r="BJ74" s="306"/>
      <c r="BK74" s="306"/>
      <c r="BL74" s="306"/>
      <c r="BM74" s="306"/>
      <c r="BN74" s="306"/>
      <c r="BO74" s="306"/>
      <c r="BP74" s="306"/>
      <c r="BQ74" s="306"/>
      <c r="BR74" s="306"/>
      <c r="BS74" s="306"/>
      <c r="BT74" s="306"/>
      <c r="BU74" s="306"/>
      <c r="BV74" s="306"/>
      <c r="BW74" s="306"/>
      <c r="BX74" s="306"/>
      <c r="BY74" s="306"/>
      <c r="BZ74" s="306"/>
      <c r="CA74" s="306"/>
      <c r="CB74" s="306"/>
      <c r="CC74" s="306"/>
      <c r="CD74" s="306"/>
      <c r="CE74" s="306"/>
      <c r="CF74" s="306"/>
      <c r="CG74" s="306"/>
      <c r="CH74" s="306"/>
      <c r="CI74" s="306"/>
      <c r="CJ74" s="306"/>
      <c r="CK74" s="306"/>
      <c r="CL74" s="306"/>
      <c r="CM74" s="306"/>
      <c r="CN74" s="306"/>
      <c r="CO74" s="306"/>
    </row>
    <row r="75" ht="18.0" customHeight="1">
      <c r="A75" s="1"/>
      <c r="B75" s="1"/>
      <c r="C75" s="1"/>
      <c r="D75" s="1"/>
      <c r="E75" s="1"/>
      <c r="F75" s="309"/>
      <c r="G75" s="310" t="s">
        <v>70</v>
      </c>
      <c r="H75" s="311">
        <f t="shared" ref="H75:I75" si="130">SUM(H70:H74)</f>
        <v>70</v>
      </c>
      <c r="I75" s="312">
        <f t="shared" si="130"/>
        <v>161</v>
      </c>
      <c r="J75" s="312">
        <v>5161.0</v>
      </c>
      <c r="K75" s="312">
        <v>7098.0</v>
      </c>
      <c r="L75" s="312">
        <v>7331.0</v>
      </c>
      <c r="M75" s="312">
        <v>213.0</v>
      </c>
      <c r="N75" s="313">
        <f>SUM(N70:N74)</f>
        <v>870</v>
      </c>
      <c r="O75" s="312">
        <v>131.0</v>
      </c>
      <c r="P75" s="312">
        <v>82.0</v>
      </c>
      <c r="Q75" s="312">
        <v>64.0</v>
      </c>
      <c r="R75" s="312">
        <v>862.0</v>
      </c>
      <c r="S75" s="315">
        <v>238.0</v>
      </c>
      <c r="T75" s="316">
        <v>3809.0</v>
      </c>
      <c r="U75" s="312">
        <v>493.0</v>
      </c>
      <c r="V75" s="312">
        <v>238.0</v>
      </c>
      <c r="W75" s="312">
        <v>3468.0</v>
      </c>
      <c r="X75" s="312">
        <v>2311.0</v>
      </c>
      <c r="Y75" s="312"/>
      <c r="Z75" s="312"/>
      <c r="AA75" s="317"/>
      <c r="AB75" s="317">
        <f t="shared" ref="AB75:CO75" si="131">SUM(AB70:AB74)</f>
        <v>0</v>
      </c>
      <c r="AC75" s="317">
        <f t="shared" si="131"/>
        <v>0</v>
      </c>
      <c r="AD75" s="317">
        <f t="shared" si="131"/>
        <v>0</v>
      </c>
      <c r="AE75" s="318">
        <f t="shared" si="131"/>
        <v>0</v>
      </c>
      <c r="AF75" s="319">
        <f t="shared" si="131"/>
        <v>184531</v>
      </c>
      <c r="AG75" s="317">
        <f t="shared" si="131"/>
        <v>0</v>
      </c>
      <c r="AH75" s="317">
        <f t="shared" si="131"/>
        <v>149788</v>
      </c>
      <c r="AI75" s="317">
        <f t="shared" si="131"/>
        <v>-149788</v>
      </c>
      <c r="AJ75" s="317">
        <f t="shared" si="131"/>
        <v>5000000</v>
      </c>
      <c r="AK75" s="317">
        <f t="shared" si="131"/>
        <v>0</v>
      </c>
      <c r="AL75" s="317">
        <f t="shared" si="131"/>
        <v>0</v>
      </c>
      <c r="AM75" s="317">
        <f t="shared" si="131"/>
        <v>0</v>
      </c>
      <c r="AN75" s="317">
        <f t="shared" si="131"/>
        <v>0</v>
      </c>
      <c r="AO75" s="317">
        <f t="shared" si="131"/>
        <v>0</v>
      </c>
      <c r="AP75" s="317">
        <f t="shared" si="131"/>
        <v>0</v>
      </c>
      <c r="AQ75" s="317">
        <f t="shared" si="131"/>
        <v>0</v>
      </c>
      <c r="AR75" s="317">
        <f t="shared" si="131"/>
        <v>0</v>
      </c>
      <c r="AS75" s="317">
        <f t="shared" si="131"/>
        <v>0</v>
      </c>
      <c r="AT75" s="317">
        <f t="shared" si="131"/>
        <v>0</v>
      </c>
      <c r="AU75" s="317">
        <f t="shared" si="131"/>
        <v>0</v>
      </c>
      <c r="AV75" s="317">
        <f t="shared" si="131"/>
        <v>600000</v>
      </c>
      <c r="AW75" s="317">
        <f t="shared" si="131"/>
        <v>0</v>
      </c>
      <c r="AX75" s="317">
        <f t="shared" si="131"/>
        <v>0</v>
      </c>
      <c r="AY75" s="317">
        <f t="shared" si="131"/>
        <v>0</v>
      </c>
      <c r="AZ75" s="317">
        <f t="shared" si="131"/>
        <v>0</v>
      </c>
      <c r="BA75" s="317">
        <f t="shared" si="131"/>
        <v>0</v>
      </c>
      <c r="BB75" s="317">
        <f t="shared" si="131"/>
        <v>2780640</v>
      </c>
      <c r="BC75" s="317">
        <f t="shared" si="131"/>
        <v>0</v>
      </c>
      <c r="BD75" s="317">
        <f t="shared" si="131"/>
        <v>0</v>
      </c>
      <c r="BE75" s="317">
        <f t="shared" si="131"/>
        <v>0</v>
      </c>
      <c r="BF75" s="317">
        <f t="shared" si="131"/>
        <v>0</v>
      </c>
      <c r="BG75" s="317">
        <f t="shared" si="131"/>
        <v>0</v>
      </c>
      <c r="BH75" s="317">
        <f t="shared" si="131"/>
        <v>0</v>
      </c>
      <c r="BI75" s="317">
        <f t="shared" si="131"/>
        <v>0</v>
      </c>
      <c r="BJ75" s="317">
        <f t="shared" si="131"/>
        <v>0</v>
      </c>
      <c r="BK75" s="317">
        <f t="shared" si="131"/>
        <v>0</v>
      </c>
      <c r="BL75" s="317">
        <f t="shared" si="131"/>
        <v>0</v>
      </c>
      <c r="BM75" s="317">
        <f t="shared" si="131"/>
        <v>0</v>
      </c>
      <c r="BN75" s="317">
        <f t="shared" si="131"/>
        <v>0</v>
      </c>
      <c r="BO75" s="317">
        <f t="shared" si="131"/>
        <v>420000</v>
      </c>
      <c r="BP75" s="317">
        <f t="shared" si="131"/>
        <v>3000000</v>
      </c>
      <c r="BQ75" s="317">
        <f t="shared" si="131"/>
        <v>0</v>
      </c>
      <c r="BR75" s="317">
        <f t="shared" si="131"/>
        <v>0</v>
      </c>
      <c r="BS75" s="317">
        <f t="shared" si="131"/>
        <v>0</v>
      </c>
      <c r="BT75" s="317">
        <f t="shared" si="131"/>
        <v>0</v>
      </c>
      <c r="BU75" s="317">
        <f t="shared" si="131"/>
        <v>3000000</v>
      </c>
      <c r="BV75" s="317">
        <f t="shared" si="131"/>
        <v>0</v>
      </c>
      <c r="BW75" s="317">
        <f t="shared" si="131"/>
        <v>0</v>
      </c>
      <c r="BX75" s="317">
        <f t="shared" si="131"/>
        <v>0</v>
      </c>
      <c r="BY75" s="317">
        <f t="shared" si="131"/>
        <v>0</v>
      </c>
      <c r="BZ75" s="317">
        <f t="shared" si="131"/>
        <v>0</v>
      </c>
      <c r="CA75" s="317">
        <f t="shared" si="131"/>
        <v>0</v>
      </c>
      <c r="CB75" s="317">
        <f t="shared" si="131"/>
        <v>1000000</v>
      </c>
      <c r="CC75" s="317">
        <f t="shared" si="131"/>
        <v>0</v>
      </c>
      <c r="CD75" s="317">
        <f t="shared" si="131"/>
        <v>0</v>
      </c>
      <c r="CE75" s="317">
        <f t="shared" si="131"/>
        <v>0</v>
      </c>
      <c r="CF75" s="317">
        <f t="shared" si="131"/>
        <v>0</v>
      </c>
      <c r="CG75" s="317">
        <f t="shared" si="131"/>
        <v>0</v>
      </c>
      <c r="CH75" s="317">
        <f t="shared" si="131"/>
        <v>0</v>
      </c>
      <c r="CI75" s="317">
        <f t="shared" si="131"/>
        <v>0</v>
      </c>
      <c r="CJ75" s="317">
        <f t="shared" si="131"/>
        <v>0</v>
      </c>
      <c r="CK75" s="317">
        <f t="shared" si="131"/>
        <v>0</v>
      </c>
      <c r="CL75" s="317">
        <f t="shared" si="131"/>
        <v>0</v>
      </c>
      <c r="CM75" s="317">
        <f t="shared" si="131"/>
        <v>0</v>
      </c>
      <c r="CN75" s="317">
        <f t="shared" si="131"/>
        <v>0</v>
      </c>
      <c r="CO75" s="317">
        <f t="shared" si="131"/>
        <v>0</v>
      </c>
    </row>
    <row r="76" ht="18.0" customHeight="1">
      <c r="A76" s="1"/>
      <c r="B76" s="1"/>
      <c r="C76" s="1"/>
      <c r="D76" s="1"/>
      <c r="E76" s="1"/>
      <c r="F76" s="320" t="s">
        <v>71</v>
      </c>
      <c r="G76" s="376" t="s">
        <v>72</v>
      </c>
      <c r="H76" s="377"/>
      <c r="I76" s="378"/>
      <c r="J76" s="378"/>
      <c r="K76" s="378"/>
      <c r="L76" s="378"/>
      <c r="M76" s="378"/>
      <c r="N76" s="379"/>
      <c r="O76" s="378">
        <v>858.0</v>
      </c>
      <c r="P76" s="378"/>
      <c r="Q76" s="378"/>
      <c r="R76" s="378"/>
      <c r="S76" s="380">
        <v>205.0</v>
      </c>
      <c r="T76" s="381"/>
      <c r="U76" s="378"/>
      <c r="V76" s="378"/>
      <c r="W76" s="378"/>
      <c r="X76" s="378"/>
      <c r="Y76" s="378"/>
      <c r="Z76" s="378"/>
      <c r="AA76" s="382"/>
      <c r="AB76" s="382"/>
      <c r="AC76" s="382"/>
      <c r="AD76" s="382"/>
      <c r="AE76" s="383"/>
      <c r="AF76" s="384"/>
      <c r="AG76" s="382"/>
      <c r="AH76" s="382"/>
      <c r="AI76" s="382"/>
      <c r="AJ76" s="382"/>
      <c r="AK76" s="382"/>
      <c r="AL76" s="382"/>
      <c r="AM76" s="382"/>
      <c r="AN76" s="382"/>
      <c r="AO76" s="382"/>
      <c r="AP76" s="382"/>
      <c r="AQ76" s="382"/>
      <c r="AR76" s="382"/>
      <c r="AS76" s="382"/>
      <c r="AT76" s="382"/>
      <c r="AU76" s="382"/>
      <c r="AV76" s="382"/>
      <c r="AW76" s="382"/>
      <c r="AX76" s="382"/>
      <c r="AY76" s="382"/>
      <c r="AZ76" s="382"/>
      <c r="BA76" s="382"/>
      <c r="BB76" s="382"/>
      <c r="BC76" s="382"/>
      <c r="BD76" s="382"/>
      <c r="BE76" s="382"/>
      <c r="BF76" s="382"/>
      <c r="BG76" s="382"/>
      <c r="BH76" s="382"/>
      <c r="BI76" s="382"/>
      <c r="BJ76" s="382"/>
      <c r="BK76" s="382"/>
      <c r="BL76" s="382"/>
      <c r="BM76" s="382">
        <v>670272.0</v>
      </c>
      <c r="BN76" s="382"/>
      <c r="BO76" s="382"/>
      <c r="BP76" s="382"/>
      <c r="BQ76" s="382"/>
      <c r="BR76" s="382"/>
      <c r="BS76" s="382"/>
      <c r="BT76" s="382"/>
      <c r="BU76" s="382"/>
      <c r="BV76" s="382"/>
      <c r="BW76" s="382"/>
      <c r="BX76" s="382"/>
      <c r="BY76" s="382"/>
      <c r="BZ76" s="382"/>
      <c r="CA76" s="382"/>
      <c r="CB76" s="382"/>
      <c r="CC76" s="382"/>
      <c r="CD76" s="382"/>
      <c r="CE76" s="382"/>
      <c r="CF76" s="382"/>
      <c r="CG76" s="382"/>
      <c r="CH76" s="382"/>
      <c r="CI76" s="382"/>
      <c r="CJ76" s="382"/>
      <c r="CK76" s="382"/>
      <c r="CL76" s="382"/>
      <c r="CM76" s="382"/>
      <c r="CN76" s="382"/>
      <c r="CO76" s="382"/>
    </row>
    <row r="77" ht="18.0" customHeight="1">
      <c r="A77" s="1"/>
      <c r="B77" s="1"/>
      <c r="C77" s="1"/>
      <c r="D77" s="1"/>
      <c r="E77" s="1"/>
      <c r="F77" s="290"/>
      <c r="G77" s="385" t="s">
        <v>73</v>
      </c>
      <c r="H77" s="292"/>
      <c r="I77" s="293">
        <v>4279.0</v>
      </c>
      <c r="J77" s="293">
        <v>80.0</v>
      </c>
      <c r="K77" s="293"/>
      <c r="L77" s="293"/>
      <c r="M77" s="293"/>
      <c r="N77" s="294"/>
      <c r="O77" s="386"/>
      <c r="P77" s="386"/>
      <c r="Q77" s="386"/>
      <c r="R77" s="386"/>
      <c r="S77" s="295"/>
      <c r="T77" s="296"/>
      <c r="U77" s="293">
        <v>4301.0</v>
      </c>
      <c r="V77" s="293"/>
      <c r="W77" s="293"/>
      <c r="X77" s="293"/>
      <c r="Y77" s="293"/>
      <c r="Z77" s="293"/>
      <c r="AA77" s="297"/>
      <c r="AB77" s="297"/>
      <c r="AC77" s="297"/>
      <c r="AD77" s="297"/>
      <c r="AE77" s="291"/>
      <c r="AF77" s="298"/>
      <c r="AG77" s="297">
        <v>526900.0</v>
      </c>
      <c r="AH77" s="297"/>
      <c r="AI77" s="297"/>
      <c r="AJ77" s="297"/>
      <c r="AK77" s="297"/>
      <c r="AL77" s="297"/>
      <c r="AM77" s="297"/>
      <c r="AN77" s="297"/>
      <c r="AO77" s="297"/>
      <c r="AP77" s="297"/>
      <c r="AQ77" s="297"/>
      <c r="AR77" s="297">
        <v>18762.0</v>
      </c>
      <c r="AS77" s="297">
        <v>418000.0</v>
      </c>
      <c r="AT77" s="297"/>
      <c r="AU77" s="297"/>
      <c r="AV77" s="297"/>
      <c r="AW77" s="297"/>
      <c r="AX77" s="297"/>
      <c r="AY77" s="297"/>
      <c r="AZ77" s="297"/>
      <c r="BA77" s="297"/>
      <c r="BB77" s="297"/>
      <c r="BC77" s="297"/>
      <c r="BD77" s="297"/>
      <c r="BE77" s="297">
        <v>133000.0</v>
      </c>
      <c r="BF77" s="297"/>
      <c r="BG77" s="297"/>
      <c r="BH77" s="297"/>
      <c r="BI77" s="297"/>
      <c r="BJ77" s="297"/>
      <c r="BK77" s="297"/>
      <c r="BL77" s="297"/>
      <c r="BM77" s="297"/>
      <c r="BN77" s="297"/>
      <c r="BO77" s="297"/>
      <c r="BP77" s="297"/>
      <c r="BQ77" s="297"/>
      <c r="BR77" s="297"/>
      <c r="BS77" s="297"/>
      <c r="BT77" s="297"/>
      <c r="BU77" s="297"/>
      <c r="BV77" s="297"/>
      <c r="BW77" s="297"/>
      <c r="BX77" s="297"/>
      <c r="BY77" s="297"/>
      <c r="BZ77" s="297"/>
      <c r="CA77" s="297"/>
      <c r="CB77" s="297"/>
      <c r="CC77" s="297"/>
      <c r="CD77" s="297"/>
      <c r="CE77" s="297"/>
      <c r="CF77" s="297"/>
      <c r="CG77" s="297"/>
      <c r="CH77" s="297"/>
      <c r="CI77" s="297"/>
      <c r="CJ77" s="297"/>
      <c r="CK77" s="297"/>
      <c r="CL77" s="299">
        <v>1520218.0</v>
      </c>
      <c r="CM77" s="299">
        <v>1838882.0</v>
      </c>
      <c r="CN77" s="297"/>
      <c r="CO77" s="297"/>
    </row>
    <row r="78" ht="18.0" customHeight="1">
      <c r="A78" s="1"/>
      <c r="B78" s="1"/>
      <c r="C78" s="1"/>
      <c r="D78" s="1"/>
      <c r="E78" s="1"/>
      <c r="F78" s="290"/>
      <c r="G78" s="385" t="s">
        <v>74</v>
      </c>
      <c r="H78" s="292"/>
      <c r="I78" s="293">
        <v>514.0</v>
      </c>
      <c r="J78" s="293">
        <v>225.0</v>
      </c>
      <c r="K78" s="293"/>
      <c r="L78" s="293"/>
      <c r="M78" s="293"/>
      <c r="N78" s="294"/>
      <c r="O78" s="293">
        <v>369.0</v>
      </c>
      <c r="P78" s="293"/>
      <c r="Q78" s="293"/>
      <c r="R78" s="293"/>
      <c r="S78" s="295"/>
      <c r="T78" s="296"/>
      <c r="U78" s="293">
        <v>497.0</v>
      </c>
      <c r="V78" s="293"/>
      <c r="W78" s="293"/>
      <c r="X78" s="293"/>
      <c r="Y78" s="293"/>
      <c r="Z78" s="293"/>
      <c r="AA78" s="297"/>
      <c r="AB78" s="297"/>
      <c r="AC78" s="297"/>
      <c r="AD78" s="297"/>
      <c r="AE78" s="291"/>
      <c r="AF78" s="298"/>
      <c r="AG78" s="297">
        <v>70000.0</v>
      </c>
      <c r="AH78" s="297"/>
      <c r="AI78" s="297"/>
      <c r="AJ78" s="297"/>
      <c r="AK78" s="297"/>
      <c r="AL78" s="297"/>
      <c r="AM78" s="297"/>
      <c r="AN78" s="297"/>
      <c r="AO78" s="297"/>
      <c r="AP78" s="297"/>
      <c r="AQ78" s="297"/>
      <c r="AR78" s="297"/>
      <c r="AS78" s="297">
        <v>132800.0</v>
      </c>
      <c r="AT78" s="297"/>
      <c r="AU78" s="297"/>
      <c r="AV78" s="297"/>
      <c r="AW78" s="297"/>
      <c r="AX78" s="297"/>
      <c r="AY78" s="297"/>
      <c r="AZ78" s="297"/>
      <c r="BA78" s="297"/>
      <c r="BB78" s="297"/>
      <c r="BC78" s="297"/>
      <c r="BD78" s="297"/>
      <c r="BE78" s="297">
        <v>217700.0</v>
      </c>
      <c r="BF78" s="297"/>
      <c r="BG78" s="297"/>
      <c r="BH78" s="297"/>
      <c r="BI78" s="297"/>
      <c r="BJ78" s="297"/>
      <c r="BK78" s="297"/>
      <c r="BL78" s="297"/>
      <c r="BM78" s="297"/>
      <c r="BN78" s="297"/>
      <c r="BO78" s="297"/>
      <c r="BP78" s="297"/>
      <c r="BQ78" s="297"/>
      <c r="BR78" s="297"/>
      <c r="BS78" s="297"/>
      <c r="BT78" s="297"/>
      <c r="BU78" s="297"/>
      <c r="BV78" s="297"/>
      <c r="BW78" s="297"/>
      <c r="BX78" s="297"/>
      <c r="BY78" s="297"/>
      <c r="BZ78" s="297"/>
      <c r="CA78" s="297"/>
      <c r="CB78" s="297"/>
      <c r="CC78" s="297"/>
      <c r="CD78" s="297"/>
      <c r="CE78" s="297"/>
      <c r="CF78" s="297"/>
      <c r="CG78" s="297"/>
      <c r="CH78" s="297"/>
      <c r="CI78" s="297"/>
      <c r="CJ78" s="297"/>
      <c r="CK78" s="297"/>
      <c r="CL78" s="297"/>
      <c r="CM78" s="297"/>
      <c r="CN78" s="297"/>
      <c r="CO78" s="297"/>
    </row>
    <row r="79" ht="18.0" customHeight="1">
      <c r="A79" s="1"/>
      <c r="B79" s="1"/>
      <c r="C79" s="1"/>
      <c r="D79" s="1"/>
      <c r="E79" s="1"/>
      <c r="F79" s="290"/>
      <c r="G79" s="385" t="s">
        <v>75</v>
      </c>
      <c r="H79" s="292">
        <v>72.0</v>
      </c>
      <c r="I79" s="293">
        <v>65.0</v>
      </c>
      <c r="J79" s="293">
        <v>70.0</v>
      </c>
      <c r="K79" s="293">
        <v>85.0</v>
      </c>
      <c r="L79" s="293">
        <v>172.0</v>
      </c>
      <c r="M79" s="293">
        <v>61.0</v>
      </c>
      <c r="N79" s="294">
        <v>83.0</v>
      </c>
      <c r="O79" s="293">
        <v>64.0</v>
      </c>
      <c r="P79" s="293">
        <v>63.0</v>
      </c>
      <c r="Q79" s="293">
        <v>63.0</v>
      </c>
      <c r="R79" s="293">
        <v>64.0</v>
      </c>
      <c r="S79" s="295">
        <v>64.0</v>
      </c>
      <c r="T79" s="296"/>
      <c r="U79" s="293">
        <v>227.0</v>
      </c>
      <c r="V79" s="293">
        <v>230.0</v>
      </c>
      <c r="W79" s="293">
        <v>246.0</v>
      </c>
      <c r="X79" s="293">
        <v>157.0</v>
      </c>
      <c r="Y79" s="293"/>
      <c r="Z79" s="293"/>
      <c r="AA79" s="297"/>
      <c r="AB79" s="297"/>
      <c r="AC79" s="297"/>
      <c r="AD79" s="297"/>
      <c r="AE79" s="291"/>
      <c r="AF79" s="298"/>
      <c r="AG79" s="297"/>
      <c r="AH79" s="297"/>
      <c r="AI79" s="297"/>
      <c r="AJ79" s="297"/>
      <c r="AK79" s="297"/>
      <c r="AL79" s="297"/>
      <c r="AM79" s="297"/>
      <c r="AN79" s="297">
        <v>20460.0</v>
      </c>
      <c r="AO79" s="297">
        <v>6050.0</v>
      </c>
      <c r="AP79" s="297">
        <v>8030.0</v>
      </c>
      <c r="AQ79" s="297">
        <v>5000.0</v>
      </c>
      <c r="AR79" s="297">
        <v>5000.0</v>
      </c>
      <c r="AS79" s="297">
        <v>5000.0</v>
      </c>
      <c r="AT79" s="297"/>
      <c r="AU79" s="297"/>
      <c r="AV79" s="297"/>
      <c r="AW79" s="297">
        <v>23100.0</v>
      </c>
      <c r="AX79" s="297">
        <v>10210.0</v>
      </c>
      <c r="AY79" s="297"/>
      <c r="AZ79" s="297"/>
      <c r="BA79" s="297"/>
      <c r="BB79" s="297"/>
      <c r="BC79" s="297"/>
      <c r="BD79" s="297"/>
      <c r="BE79" s="297"/>
      <c r="BF79" s="297"/>
      <c r="BG79" s="297"/>
      <c r="BH79" s="297"/>
      <c r="BI79" s="297"/>
      <c r="BJ79" s="297">
        <v>10210.0</v>
      </c>
      <c r="BK79" s="297"/>
      <c r="BL79" s="297"/>
      <c r="BM79" s="297"/>
      <c r="BN79" s="297"/>
      <c r="BO79" s="297"/>
      <c r="BP79" s="297">
        <v>48480.0</v>
      </c>
      <c r="BQ79" s="297"/>
      <c r="BR79" s="297"/>
      <c r="BS79" s="297"/>
      <c r="BT79" s="297">
        <v>20000.0</v>
      </c>
      <c r="BU79" s="297">
        <v>76300.0</v>
      </c>
      <c r="BV79" s="297">
        <v>64385.0</v>
      </c>
      <c r="BW79" s="297">
        <v>20000.0</v>
      </c>
      <c r="BX79" s="297"/>
      <c r="BY79" s="297"/>
      <c r="BZ79" s="297"/>
      <c r="CA79" s="297"/>
      <c r="CB79" s="297"/>
      <c r="CC79" s="297">
        <f>175200+52500</f>
        <v>227700</v>
      </c>
      <c r="CD79" s="297">
        <v>111600.0</v>
      </c>
      <c r="CE79" s="297">
        <f>201917+12965</f>
        <v>214882</v>
      </c>
      <c r="CF79" s="297"/>
      <c r="CG79" s="297"/>
      <c r="CH79" s="297"/>
      <c r="CI79" s="297"/>
      <c r="CJ79" s="297"/>
      <c r="CK79" s="299"/>
      <c r="CL79" s="297"/>
      <c r="CM79" s="299"/>
      <c r="CN79" s="297"/>
      <c r="CO79" s="297"/>
    </row>
    <row r="80" ht="18.0" customHeight="1">
      <c r="A80" s="1"/>
      <c r="B80" s="1"/>
      <c r="C80" s="1"/>
      <c r="D80" s="1"/>
      <c r="E80" s="1"/>
      <c r="F80" s="290"/>
      <c r="G80" s="387" t="s">
        <v>76</v>
      </c>
      <c r="H80" s="292"/>
      <c r="I80" s="293"/>
      <c r="J80" s="293"/>
      <c r="K80" s="293"/>
      <c r="L80" s="293">
        <v>0.0</v>
      </c>
      <c r="M80" s="293">
        <v>0.0</v>
      </c>
      <c r="N80" s="388"/>
      <c r="O80" s="293"/>
      <c r="P80" s="293"/>
      <c r="Q80" s="293"/>
      <c r="R80" s="293">
        <v>0.0</v>
      </c>
      <c r="S80" s="295">
        <v>0.0</v>
      </c>
      <c r="T80" s="296"/>
      <c r="U80" s="293"/>
      <c r="V80" s="293"/>
      <c r="W80" s="293"/>
      <c r="X80" s="293"/>
      <c r="Y80" s="293"/>
      <c r="Z80" s="293"/>
      <c r="AA80" s="297"/>
      <c r="AB80" s="297"/>
      <c r="AC80" s="297"/>
      <c r="AD80" s="297"/>
      <c r="AE80" s="291"/>
      <c r="AF80" s="298"/>
      <c r="AG80" s="297"/>
      <c r="AH80" s="297"/>
      <c r="AI80" s="297"/>
      <c r="AJ80" s="297">
        <f>-92168+7974</f>
        <v>-84194</v>
      </c>
      <c r="AK80" s="297"/>
      <c r="AL80" s="297"/>
      <c r="AM80" s="297"/>
      <c r="AN80" s="297">
        <v>3991.0</v>
      </c>
      <c r="AO80" s="297"/>
      <c r="AP80" s="297">
        <v>9006.0</v>
      </c>
      <c r="AQ80" s="297">
        <v>9140.0</v>
      </c>
      <c r="AR80" s="297"/>
      <c r="AS80" s="297">
        <v>43955.0</v>
      </c>
      <c r="AT80" s="297">
        <v>31770.0</v>
      </c>
      <c r="AU80" s="297"/>
      <c r="AV80" s="297"/>
      <c r="AW80" s="297">
        <v>5099.0</v>
      </c>
      <c r="AX80" s="297">
        <v>800.0</v>
      </c>
      <c r="AY80" s="297">
        <v>9154.0</v>
      </c>
      <c r="AZ80" s="297">
        <v>-2355.0</v>
      </c>
      <c r="BA80" s="297">
        <v>-19236.0</v>
      </c>
      <c r="BB80" s="297">
        <v>-6657.0</v>
      </c>
      <c r="BC80" s="297">
        <v>-2989.0</v>
      </c>
      <c r="BD80" s="297">
        <v>13508.0</v>
      </c>
      <c r="BE80" s="297">
        <v>4869.0</v>
      </c>
      <c r="BF80" s="297">
        <v>11178.0</v>
      </c>
      <c r="BG80" s="297"/>
      <c r="BH80" s="297">
        <v>-4169.0</v>
      </c>
      <c r="BI80" s="297">
        <v>-4524.0</v>
      </c>
      <c r="BJ80" s="297"/>
      <c r="BK80" s="297"/>
      <c r="BL80" s="297">
        <v>3140.0</v>
      </c>
      <c r="BM80" s="297">
        <v>-59211.0</v>
      </c>
      <c r="BN80" s="297">
        <v>30160.0</v>
      </c>
      <c r="BO80" s="297"/>
      <c r="BP80" s="297">
        <v>17735.0</v>
      </c>
      <c r="BQ80" s="297">
        <v>32372.0</v>
      </c>
      <c r="BR80" s="297">
        <v>15000.0</v>
      </c>
      <c r="BS80" s="297">
        <v>60550.0</v>
      </c>
      <c r="BT80" s="297">
        <v>15000.0</v>
      </c>
      <c r="BU80" s="297">
        <v>-12350.0</v>
      </c>
      <c r="BV80" s="297">
        <v>11181.0</v>
      </c>
      <c r="BW80" s="297">
        <v>15000.0</v>
      </c>
      <c r="BX80" s="297">
        <v>36238.0</v>
      </c>
      <c r="BY80" s="297"/>
      <c r="BZ80" s="297"/>
      <c r="CA80" s="297"/>
      <c r="CB80" s="297">
        <f>CB15*2%</f>
        <v>19682.54</v>
      </c>
      <c r="CC80" s="297">
        <v>-12538.0</v>
      </c>
      <c r="CD80" s="297">
        <v>20389.0</v>
      </c>
      <c r="CE80" s="297">
        <v>-37028.0</v>
      </c>
      <c r="CF80" s="297">
        <f>CF15*2%</f>
        <v>21003.8</v>
      </c>
      <c r="CG80" s="297">
        <v>80700.0</v>
      </c>
      <c r="CH80" s="297">
        <f t="shared" ref="CH80:CJ80" si="132">CH15*2%</f>
        <v>23145.58</v>
      </c>
      <c r="CI80" s="297">
        <f t="shared" si="132"/>
        <v>22765.46</v>
      </c>
      <c r="CJ80" s="297">
        <f t="shared" si="132"/>
        <v>24773.02</v>
      </c>
      <c r="CK80" s="299">
        <v>134921.0</v>
      </c>
      <c r="CL80" s="297">
        <f t="shared" ref="CL80:CO80" si="133">CL15*2%</f>
        <v>20436.4</v>
      </c>
      <c r="CM80" s="297">
        <f t="shared" si="133"/>
        <v>20769.28</v>
      </c>
      <c r="CN80" s="297">
        <f t="shared" si="133"/>
        <v>0</v>
      </c>
      <c r="CO80" s="297">
        <f t="shared" si="133"/>
        <v>0</v>
      </c>
    </row>
    <row r="81" ht="18.0" customHeight="1">
      <c r="A81" s="1"/>
      <c r="B81" s="1"/>
      <c r="C81" s="1"/>
      <c r="D81" s="1"/>
      <c r="E81" s="1"/>
      <c r="F81" s="290"/>
      <c r="G81" s="389"/>
      <c r="H81" s="390"/>
      <c r="I81" s="293"/>
      <c r="J81" s="293"/>
      <c r="K81" s="293"/>
      <c r="L81" s="293"/>
      <c r="M81" s="293"/>
      <c r="N81" s="391"/>
      <c r="O81" s="293"/>
      <c r="P81" s="293"/>
      <c r="Q81" s="293"/>
      <c r="R81" s="293"/>
      <c r="S81" s="295"/>
      <c r="T81" s="296"/>
      <c r="U81" s="293"/>
      <c r="V81" s="293"/>
      <c r="W81" s="293"/>
      <c r="X81" s="293"/>
      <c r="Y81" s="293"/>
      <c r="Z81" s="293"/>
      <c r="AA81" s="392"/>
      <c r="AB81" s="392"/>
      <c r="AC81" s="392"/>
      <c r="AD81" s="392"/>
      <c r="AE81" s="393"/>
      <c r="AF81" s="394"/>
      <c r="AG81" s="392"/>
      <c r="AH81" s="392"/>
      <c r="AI81" s="392"/>
      <c r="AJ81" s="392"/>
      <c r="AK81" s="392"/>
      <c r="AL81" s="392"/>
      <c r="AM81" s="392"/>
      <c r="AN81" s="392"/>
      <c r="AO81" s="392"/>
      <c r="AP81" s="392"/>
      <c r="AQ81" s="392"/>
      <c r="AR81" s="392"/>
      <c r="AS81" s="392"/>
      <c r="AT81" s="392"/>
      <c r="AU81" s="392"/>
      <c r="AV81" s="392"/>
      <c r="AW81" s="392"/>
      <c r="AX81" s="392"/>
      <c r="AY81" s="392"/>
      <c r="AZ81" s="392"/>
      <c r="BA81" s="392">
        <v>2780640.0</v>
      </c>
      <c r="BB81" s="392"/>
      <c r="BC81" s="392"/>
      <c r="BD81" s="392"/>
      <c r="BE81" s="392"/>
      <c r="BF81" s="392"/>
      <c r="BG81" s="392">
        <v>3000000.0</v>
      </c>
      <c r="BH81" s="392"/>
      <c r="BI81" s="392"/>
      <c r="BJ81" s="392"/>
      <c r="BK81" s="392"/>
      <c r="BL81" s="392"/>
      <c r="BM81" s="392"/>
      <c r="BN81" s="392"/>
      <c r="BO81" s="392"/>
      <c r="BP81" s="392"/>
      <c r="BQ81" s="392"/>
      <c r="BR81" s="392"/>
      <c r="BS81" s="392"/>
      <c r="BT81" s="392"/>
      <c r="BU81" s="392"/>
      <c r="BV81" s="392"/>
      <c r="BW81" s="392"/>
      <c r="BX81" s="392"/>
      <c r="BY81" s="392"/>
      <c r="BZ81" s="392"/>
      <c r="CA81" s="392"/>
      <c r="CB81" s="392"/>
      <c r="CC81" s="392"/>
      <c r="CD81" s="392"/>
      <c r="CE81" s="392"/>
      <c r="CF81" s="392"/>
      <c r="CG81" s="392"/>
      <c r="CH81" s="392"/>
      <c r="CI81" s="392"/>
      <c r="CJ81" s="392"/>
      <c r="CK81" s="392"/>
      <c r="CL81" s="392"/>
      <c r="CM81" s="392"/>
      <c r="CN81" s="392"/>
      <c r="CO81" s="392"/>
    </row>
    <row r="82" ht="18.0" customHeight="1">
      <c r="A82" s="1"/>
      <c r="B82" s="1"/>
      <c r="C82" s="1"/>
      <c r="D82" s="1"/>
      <c r="E82" s="1"/>
      <c r="F82" s="290"/>
      <c r="G82" s="395" t="s">
        <v>77</v>
      </c>
      <c r="H82" s="292">
        <v>1369.0</v>
      </c>
      <c r="I82" s="293">
        <f>SUM(I93:I100)</f>
        <v>0</v>
      </c>
      <c r="J82" s="293">
        <v>1286.0</v>
      </c>
      <c r="K82" s="293">
        <v>1286.0</v>
      </c>
      <c r="L82" s="293">
        <v>1286.0</v>
      </c>
      <c r="M82" s="293">
        <v>1286.0</v>
      </c>
      <c r="N82" s="297">
        <f>SUM(N93:N100)</f>
        <v>0</v>
      </c>
      <c r="O82" s="293">
        <v>1286.0</v>
      </c>
      <c r="P82" s="293">
        <v>1286.0</v>
      </c>
      <c r="Q82" s="293">
        <v>1390.0</v>
      </c>
      <c r="R82" s="293">
        <v>1350.0</v>
      </c>
      <c r="S82" s="295">
        <v>1156.0</v>
      </c>
      <c r="T82" s="296">
        <v>1156.0</v>
      </c>
      <c r="U82" s="293">
        <v>1156.0</v>
      </c>
      <c r="V82" s="293">
        <v>1156.0</v>
      </c>
      <c r="W82" s="293">
        <v>1156.0</v>
      </c>
      <c r="X82" s="293">
        <v>1156.0</v>
      </c>
      <c r="Y82" s="293"/>
      <c r="Z82" s="293"/>
      <c r="AA82" s="297"/>
      <c r="AB82" s="297">
        <f t="shared" ref="AB82:CJ82" si="134">SUM(AB93:AB103)</f>
        <v>0</v>
      </c>
      <c r="AC82" s="297">
        <f t="shared" si="134"/>
        <v>0</v>
      </c>
      <c r="AD82" s="297">
        <f t="shared" si="134"/>
        <v>0</v>
      </c>
      <c r="AE82" s="297">
        <f t="shared" si="134"/>
        <v>0</v>
      </c>
      <c r="AF82" s="297">
        <f t="shared" si="134"/>
        <v>0</v>
      </c>
      <c r="AG82" s="297">
        <f t="shared" si="134"/>
        <v>0</v>
      </c>
      <c r="AH82" s="297">
        <f t="shared" si="134"/>
        <v>0</v>
      </c>
      <c r="AI82" s="297">
        <f t="shared" si="134"/>
        <v>0</v>
      </c>
      <c r="AJ82" s="297">
        <f t="shared" si="134"/>
        <v>0</v>
      </c>
      <c r="AK82" s="297">
        <f t="shared" si="134"/>
        <v>0</v>
      </c>
      <c r="AL82" s="297">
        <f t="shared" si="134"/>
        <v>0</v>
      </c>
      <c r="AM82" s="297">
        <f t="shared" si="134"/>
        <v>0</v>
      </c>
      <c r="AN82" s="297">
        <f t="shared" si="134"/>
        <v>0</v>
      </c>
      <c r="AO82" s="297">
        <f t="shared" si="134"/>
        <v>0</v>
      </c>
      <c r="AP82" s="297">
        <f t="shared" si="134"/>
        <v>0</v>
      </c>
      <c r="AQ82" s="297">
        <f t="shared" si="134"/>
        <v>0</v>
      </c>
      <c r="AR82" s="297">
        <f t="shared" si="134"/>
        <v>0</v>
      </c>
      <c r="AS82" s="297">
        <f t="shared" si="134"/>
        <v>0</v>
      </c>
      <c r="AT82" s="297">
        <f t="shared" si="134"/>
        <v>0</v>
      </c>
      <c r="AU82" s="297">
        <f t="shared" si="134"/>
        <v>0</v>
      </c>
      <c r="AV82" s="297">
        <f t="shared" si="134"/>
        <v>0</v>
      </c>
      <c r="AW82" s="297">
        <f t="shared" si="134"/>
        <v>0</v>
      </c>
      <c r="AX82" s="297">
        <f t="shared" si="134"/>
        <v>0</v>
      </c>
      <c r="AY82" s="297">
        <f t="shared" si="134"/>
        <v>0</v>
      </c>
      <c r="AZ82" s="297">
        <f t="shared" si="134"/>
        <v>0</v>
      </c>
      <c r="BA82" s="297">
        <f t="shared" si="134"/>
        <v>0</v>
      </c>
      <c r="BB82" s="297">
        <f t="shared" si="134"/>
        <v>0</v>
      </c>
      <c r="BC82" s="297">
        <f t="shared" si="134"/>
        <v>0</v>
      </c>
      <c r="BD82" s="297">
        <f t="shared" si="134"/>
        <v>0</v>
      </c>
      <c r="BE82" s="297">
        <f t="shared" si="134"/>
        <v>0</v>
      </c>
      <c r="BF82" s="297">
        <f t="shared" si="134"/>
        <v>0</v>
      </c>
      <c r="BG82" s="297">
        <f t="shared" si="134"/>
        <v>0</v>
      </c>
      <c r="BH82" s="297">
        <f t="shared" si="134"/>
        <v>0</v>
      </c>
      <c r="BI82" s="297">
        <f t="shared" si="134"/>
        <v>0</v>
      </c>
      <c r="BJ82" s="297">
        <f t="shared" si="134"/>
        <v>0</v>
      </c>
      <c r="BK82" s="297">
        <f t="shared" si="134"/>
        <v>0</v>
      </c>
      <c r="BL82" s="297">
        <f t="shared" si="134"/>
        <v>0</v>
      </c>
      <c r="BM82" s="297">
        <f t="shared" si="134"/>
        <v>0</v>
      </c>
      <c r="BN82" s="297">
        <f t="shared" si="134"/>
        <v>0</v>
      </c>
      <c r="BO82" s="297">
        <f t="shared" si="134"/>
        <v>0</v>
      </c>
      <c r="BP82" s="297">
        <f t="shared" si="134"/>
        <v>0</v>
      </c>
      <c r="BQ82" s="297">
        <f t="shared" si="134"/>
        <v>0</v>
      </c>
      <c r="BR82" s="297">
        <f t="shared" si="134"/>
        <v>0</v>
      </c>
      <c r="BS82" s="297">
        <f t="shared" si="134"/>
        <v>0</v>
      </c>
      <c r="BT82" s="297">
        <f t="shared" si="134"/>
        <v>0</v>
      </c>
      <c r="BU82" s="297">
        <f t="shared" si="134"/>
        <v>0</v>
      </c>
      <c r="BV82" s="297">
        <f t="shared" si="134"/>
        <v>0</v>
      </c>
      <c r="BW82" s="297">
        <f t="shared" si="134"/>
        <v>0</v>
      </c>
      <c r="BX82" s="297">
        <f t="shared" si="134"/>
        <v>0</v>
      </c>
      <c r="BY82" s="297">
        <f t="shared" si="134"/>
        <v>0</v>
      </c>
      <c r="BZ82" s="297">
        <f t="shared" si="134"/>
        <v>0</v>
      </c>
      <c r="CA82" s="297">
        <f t="shared" si="134"/>
        <v>0</v>
      </c>
      <c r="CB82" s="297">
        <f t="shared" si="134"/>
        <v>0</v>
      </c>
      <c r="CC82" s="297">
        <f t="shared" si="134"/>
        <v>0</v>
      </c>
      <c r="CD82" s="297">
        <f t="shared" si="134"/>
        <v>0</v>
      </c>
      <c r="CE82" s="297">
        <f t="shared" si="134"/>
        <v>0</v>
      </c>
      <c r="CF82" s="297">
        <f t="shared" si="134"/>
        <v>0</v>
      </c>
      <c r="CG82" s="297">
        <f t="shared" si="134"/>
        <v>0</v>
      </c>
      <c r="CH82" s="297">
        <f t="shared" si="134"/>
        <v>0</v>
      </c>
      <c r="CI82" s="297">
        <f t="shared" si="134"/>
        <v>0</v>
      </c>
      <c r="CJ82" s="297">
        <f t="shared" si="134"/>
        <v>0</v>
      </c>
      <c r="CK82" s="299">
        <v>84000.0</v>
      </c>
      <c r="CL82" s="299">
        <v>84000.0</v>
      </c>
      <c r="CM82" s="299">
        <f>84000+84000</f>
        <v>168000</v>
      </c>
      <c r="CN82" s="299">
        <v>84000.0</v>
      </c>
      <c r="CO82" s="299">
        <v>84000.0</v>
      </c>
    </row>
    <row r="83" ht="18.0" customHeight="1">
      <c r="A83" s="1"/>
      <c r="B83" s="1"/>
      <c r="C83" s="1"/>
      <c r="D83" s="1"/>
      <c r="E83" s="1"/>
      <c r="F83" s="290"/>
      <c r="G83" s="396" t="s">
        <v>78</v>
      </c>
      <c r="H83" s="301">
        <f>772-555-22+41+149</f>
        <v>385</v>
      </c>
      <c r="I83" s="302">
        <f>41+1000+74</f>
        <v>1115</v>
      </c>
      <c r="J83" s="302">
        <v>52.0</v>
      </c>
      <c r="K83" s="302">
        <v>3190.0</v>
      </c>
      <c r="L83" s="302">
        <v>2864.0</v>
      </c>
      <c r="M83" s="302">
        <v>189.0</v>
      </c>
      <c r="N83" s="306">
        <f>+M83+1</f>
        <v>190</v>
      </c>
      <c r="O83" s="302">
        <v>142.0</v>
      </c>
      <c r="P83" s="302">
        <v>41.0</v>
      </c>
      <c r="Q83" s="302">
        <v>109.0</v>
      </c>
      <c r="R83" s="302">
        <v>232.0</v>
      </c>
      <c r="S83" s="304">
        <v>41.0</v>
      </c>
      <c r="T83" s="305">
        <v>390.0</v>
      </c>
      <c r="U83" s="302">
        <v>186.0</v>
      </c>
      <c r="V83" s="302">
        <v>190.0</v>
      </c>
      <c r="W83" s="302">
        <v>337.0</v>
      </c>
      <c r="X83" s="302">
        <v>41.0</v>
      </c>
      <c r="Y83" s="302"/>
      <c r="Z83" s="302"/>
      <c r="AA83" s="306"/>
      <c r="AB83" s="306"/>
      <c r="AC83" s="306"/>
      <c r="AD83" s="306"/>
      <c r="AE83" s="300"/>
      <c r="AF83" s="307"/>
      <c r="AG83" s="306"/>
      <c r="AH83" s="306"/>
      <c r="AI83" s="306"/>
      <c r="AJ83" s="306"/>
      <c r="AK83" s="306"/>
      <c r="AL83" s="306"/>
      <c r="AM83" s="306">
        <v>100000.0</v>
      </c>
      <c r="AN83" s="306"/>
      <c r="AO83" s="306"/>
      <c r="AP83" s="306"/>
      <c r="AQ83" s="306"/>
      <c r="AR83" s="306"/>
      <c r="AS83" s="306"/>
      <c r="AT83" s="306"/>
      <c r="AU83" s="306"/>
      <c r="AV83" s="306"/>
      <c r="AW83" s="306"/>
      <c r="AX83" s="306"/>
      <c r="AY83" s="306"/>
      <c r="AZ83" s="306"/>
      <c r="BA83" s="306"/>
      <c r="BB83" s="306"/>
      <c r="BC83" s="306"/>
      <c r="BD83" s="306"/>
      <c r="BE83" s="306"/>
      <c r="BF83" s="306"/>
      <c r="BG83" s="306"/>
      <c r="BH83" s="306"/>
      <c r="BI83" s="306"/>
      <c r="BJ83" s="306"/>
      <c r="BK83" s="306"/>
      <c r="BL83" s="306"/>
      <c r="BM83" s="306"/>
      <c r="BN83" s="306"/>
      <c r="BO83" s="306"/>
      <c r="BP83" s="306"/>
      <c r="BQ83" s="306"/>
      <c r="BR83" s="306"/>
      <c r="BS83" s="306"/>
      <c r="BT83" s="306"/>
      <c r="BU83" s="306"/>
      <c r="BV83" s="306"/>
      <c r="BW83" s="306"/>
      <c r="BX83" s="306"/>
      <c r="BY83" s="306"/>
      <c r="BZ83" s="306"/>
      <c r="CA83" s="306"/>
      <c r="CB83" s="306"/>
      <c r="CC83" s="306"/>
      <c r="CD83" s="306"/>
      <c r="CE83" s="306"/>
      <c r="CF83" s="306"/>
      <c r="CG83" s="306"/>
      <c r="CH83" s="306"/>
      <c r="CI83" s="306"/>
      <c r="CJ83" s="306"/>
      <c r="CK83" s="306"/>
      <c r="CL83" s="306"/>
      <c r="CM83" s="306"/>
      <c r="CN83" s="306"/>
      <c r="CO83" s="306"/>
    </row>
    <row r="84" ht="18.0" customHeight="1">
      <c r="A84" s="1"/>
      <c r="B84" s="1"/>
      <c r="C84" s="1"/>
      <c r="D84" s="1"/>
      <c r="E84" s="1"/>
      <c r="F84" s="30"/>
      <c r="G84" s="340" t="s">
        <v>79</v>
      </c>
      <c r="H84" s="341">
        <f t="shared" ref="H84:I84" si="135">SUM(H76:H83)</f>
        <v>1826</v>
      </c>
      <c r="I84" s="342">
        <f t="shared" si="135"/>
        <v>5973</v>
      </c>
      <c r="J84" s="342">
        <v>1713.0</v>
      </c>
      <c r="K84" s="342">
        <v>4561.0</v>
      </c>
      <c r="L84" s="342">
        <v>4322.0</v>
      </c>
      <c r="M84" s="342">
        <v>1536.0</v>
      </c>
      <c r="N84" s="343">
        <f>SUM(N76:N83)</f>
        <v>273</v>
      </c>
      <c r="O84" s="342">
        <v>2719.0</v>
      </c>
      <c r="P84" s="342">
        <v>1390.0</v>
      </c>
      <c r="Q84" s="342">
        <v>1562.0</v>
      </c>
      <c r="R84" s="342">
        <v>1646.0</v>
      </c>
      <c r="S84" s="344">
        <v>1466.0</v>
      </c>
      <c r="T84" s="345">
        <v>1546.0</v>
      </c>
      <c r="U84" s="342">
        <v>6367.0</v>
      </c>
      <c r="V84" s="342">
        <v>1576.0</v>
      </c>
      <c r="W84" s="342">
        <v>1739.0</v>
      </c>
      <c r="X84" s="342">
        <v>1354.0</v>
      </c>
      <c r="Y84" s="342"/>
      <c r="Z84" s="342"/>
      <c r="AA84" s="346"/>
      <c r="AB84" s="346">
        <f t="shared" ref="AB84:CO84" si="136">SUM(AB76:AB83)</f>
        <v>0</v>
      </c>
      <c r="AC84" s="346">
        <f t="shared" si="136"/>
        <v>0</v>
      </c>
      <c r="AD84" s="346">
        <f t="shared" si="136"/>
        <v>0</v>
      </c>
      <c r="AE84" s="347">
        <f t="shared" si="136"/>
        <v>0</v>
      </c>
      <c r="AF84" s="348">
        <f t="shared" si="136"/>
        <v>0</v>
      </c>
      <c r="AG84" s="346">
        <f t="shared" si="136"/>
        <v>596900</v>
      </c>
      <c r="AH84" s="346">
        <f t="shared" si="136"/>
        <v>0</v>
      </c>
      <c r="AI84" s="346">
        <f t="shared" si="136"/>
        <v>0</v>
      </c>
      <c r="AJ84" s="346">
        <f t="shared" si="136"/>
        <v>-84194</v>
      </c>
      <c r="AK84" s="346">
        <f t="shared" si="136"/>
        <v>0</v>
      </c>
      <c r="AL84" s="346">
        <f t="shared" si="136"/>
        <v>0</v>
      </c>
      <c r="AM84" s="346">
        <f t="shared" si="136"/>
        <v>100000</v>
      </c>
      <c r="AN84" s="346">
        <f t="shared" si="136"/>
        <v>24451</v>
      </c>
      <c r="AO84" s="346">
        <f t="shared" si="136"/>
        <v>6050</v>
      </c>
      <c r="AP84" s="346">
        <f t="shared" si="136"/>
        <v>17036</v>
      </c>
      <c r="AQ84" s="346">
        <f t="shared" si="136"/>
        <v>14140</v>
      </c>
      <c r="AR84" s="346">
        <f t="shared" si="136"/>
        <v>23762</v>
      </c>
      <c r="AS84" s="346">
        <f t="shared" si="136"/>
        <v>599755</v>
      </c>
      <c r="AT84" s="346">
        <f t="shared" si="136"/>
        <v>31770</v>
      </c>
      <c r="AU84" s="346">
        <f t="shared" si="136"/>
        <v>0</v>
      </c>
      <c r="AV84" s="346">
        <f t="shared" si="136"/>
        <v>0</v>
      </c>
      <c r="AW84" s="346">
        <f t="shared" si="136"/>
        <v>28199</v>
      </c>
      <c r="AX84" s="346">
        <f t="shared" si="136"/>
        <v>11010</v>
      </c>
      <c r="AY84" s="346">
        <f t="shared" si="136"/>
        <v>9154</v>
      </c>
      <c r="AZ84" s="346">
        <f t="shared" si="136"/>
        <v>-2355</v>
      </c>
      <c r="BA84" s="346">
        <f t="shared" si="136"/>
        <v>2761404</v>
      </c>
      <c r="BB84" s="346">
        <f t="shared" si="136"/>
        <v>-6657</v>
      </c>
      <c r="BC84" s="346">
        <f t="shared" si="136"/>
        <v>-2989</v>
      </c>
      <c r="BD84" s="346">
        <f t="shared" si="136"/>
        <v>13508</v>
      </c>
      <c r="BE84" s="346">
        <f t="shared" si="136"/>
        <v>355569</v>
      </c>
      <c r="BF84" s="346">
        <f t="shared" si="136"/>
        <v>11178</v>
      </c>
      <c r="BG84" s="346">
        <f t="shared" si="136"/>
        <v>3000000</v>
      </c>
      <c r="BH84" s="346">
        <f t="shared" si="136"/>
        <v>-4169</v>
      </c>
      <c r="BI84" s="346">
        <f t="shared" si="136"/>
        <v>-4524</v>
      </c>
      <c r="BJ84" s="346">
        <f t="shared" si="136"/>
        <v>10210</v>
      </c>
      <c r="BK84" s="346">
        <f t="shared" si="136"/>
        <v>0</v>
      </c>
      <c r="BL84" s="346">
        <f t="shared" si="136"/>
        <v>3140</v>
      </c>
      <c r="BM84" s="346">
        <f t="shared" si="136"/>
        <v>611061</v>
      </c>
      <c r="BN84" s="346">
        <f t="shared" si="136"/>
        <v>30160</v>
      </c>
      <c r="BO84" s="346">
        <f t="shared" si="136"/>
        <v>0</v>
      </c>
      <c r="BP84" s="346">
        <f t="shared" si="136"/>
        <v>66215</v>
      </c>
      <c r="BQ84" s="346">
        <f t="shared" si="136"/>
        <v>32372</v>
      </c>
      <c r="BR84" s="346">
        <f t="shared" si="136"/>
        <v>15000</v>
      </c>
      <c r="BS84" s="346">
        <f t="shared" si="136"/>
        <v>60550</v>
      </c>
      <c r="BT84" s="346">
        <f t="shared" si="136"/>
        <v>35000</v>
      </c>
      <c r="BU84" s="346">
        <f t="shared" si="136"/>
        <v>63950</v>
      </c>
      <c r="BV84" s="346">
        <f t="shared" si="136"/>
        <v>75566</v>
      </c>
      <c r="BW84" s="346">
        <f t="shared" si="136"/>
        <v>35000</v>
      </c>
      <c r="BX84" s="346">
        <f t="shared" si="136"/>
        <v>36238</v>
      </c>
      <c r="BY84" s="346">
        <f t="shared" si="136"/>
        <v>0</v>
      </c>
      <c r="BZ84" s="346">
        <f t="shared" si="136"/>
        <v>0</v>
      </c>
      <c r="CA84" s="346">
        <f t="shared" si="136"/>
        <v>0</v>
      </c>
      <c r="CB84" s="346">
        <f t="shared" si="136"/>
        <v>19682.54</v>
      </c>
      <c r="CC84" s="346">
        <f t="shared" si="136"/>
        <v>215162</v>
      </c>
      <c r="CD84" s="346">
        <f t="shared" si="136"/>
        <v>131989</v>
      </c>
      <c r="CE84" s="346">
        <f t="shared" si="136"/>
        <v>177854</v>
      </c>
      <c r="CF84" s="346">
        <f t="shared" si="136"/>
        <v>21003.8</v>
      </c>
      <c r="CG84" s="346">
        <f t="shared" si="136"/>
        <v>80700</v>
      </c>
      <c r="CH84" s="346">
        <f t="shared" si="136"/>
        <v>23145.58</v>
      </c>
      <c r="CI84" s="346">
        <f t="shared" si="136"/>
        <v>22765.46</v>
      </c>
      <c r="CJ84" s="346">
        <f t="shared" si="136"/>
        <v>24773.02</v>
      </c>
      <c r="CK84" s="346">
        <f t="shared" si="136"/>
        <v>218921</v>
      </c>
      <c r="CL84" s="346">
        <f t="shared" si="136"/>
        <v>1624654.4</v>
      </c>
      <c r="CM84" s="346">
        <f t="shared" si="136"/>
        <v>2027651.28</v>
      </c>
      <c r="CN84" s="346">
        <f t="shared" si="136"/>
        <v>84000</v>
      </c>
      <c r="CO84" s="346">
        <f t="shared" si="136"/>
        <v>84000</v>
      </c>
    </row>
    <row r="85" ht="18.0" customHeight="1">
      <c r="A85" s="1"/>
      <c r="B85" s="1"/>
      <c r="C85" s="1"/>
      <c r="D85" s="1"/>
      <c r="E85" s="1"/>
      <c r="F85" s="349" t="s">
        <v>80</v>
      </c>
      <c r="G85" s="162"/>
      <c r="H85" s="350">
        <f t="shared" ref="H85:I85" si="137">+H75-H84</f>
        <v>-1756</v>
      </c>
      <c r="I85" s="351">
        <f t="shared" si="137"/>
        <v>-5812</v>
      </c>
      <c r="J85" s="351">
        <v>3448.0</v>
      </c>
      <c r="K85" s="351">
        <v>2537.0</v>
      </c>
      <c r="L85" s="351">
        <v>3009.0</v>
      </c>
      <c r="M85" s="351">
        <v>-1323.0</v>
      </c>
      <c r="N85" s="352">
        <f>+N75-N84</f>
        <v>597</v>
      </c>
      <c r="O85" s="351">
        <v>-2588.0</v>
      </c>
      <c r="P85" s="351">
        <v>-1308.0</v>
      </c>
      <c r="Q85" s="351">
        <v>-1498.0</v>
      </c>
      <c r="R85" s="351">
        <v>-784.0</v>
      </c>
      <c r="S85" s="353">
        <v>-1228.0</v>
      </c>
      <c r="T85" s="354">
        <v>2263.0</v>
      </c>
      <c r="U85" s="351">
        <v>-5874.0</v>
      </c>
      <c r="V85" s="351">
        <v>-1338.0</v>
      </c>
      <c r="W85" s="351">
        <v>1729.0</v>
      </c>
      <c r="X85" s="351">
        <v>957.0</v>
      </c>
      <c r="Y85" s="351"/>
      <c r="Z85" s="351"/>
      <c r="AA85" s="355"/>
      <c r="AB85" s="355">
        <f t="shared" ref="AB85:CO85" si="138">+AB75-AB84</f>
        <v>0</v>
      </c>
      <c r="AC85" s="355">
        <f t="shared" si="138"/>
        <v>0</v>
      </c>
      <c r="AD85" s="355">
        <f t="shared" si="138"/>
        <v>0</v>
      </c>
      <c r="AE85" s="356">
        <f t="shared" si="138"/>
        <v>0</v>
      </c>
      <c r="AF85" s="357">
        <f t="shared" si="138"/>
        <v>184531</v>
      </c>
      <c r="AG85" s="355">
        <f t="shared" si="138"/>
        <v>-596900</v>
      </c>
      <c r="AH85" s="355">
        <f t="shared" si="138"/>
        <v>149788</v>
      </c>
      <c r="AI85" s="355">
        <f t="shared" si="138"/>
        <v>-149788</v>
      </c>
      <c r="AJ85" s="355">
        <f t="shared" si="138"/>
        <v>5084194</v>
      </c>
      <c r="AK85" s="355">
        <f t="shared" si="138"/>
        <v>0</v>
      </c>
      <c r="AL85" s="355">
        <f t="shared" si="138"/>
        <v>0</v>
      </c>
      <c r="AM85" s="355">
        <f t="shared" si="138"/>
        <v>-100000</v>
      </c>
      <c r="AN85" s="355">
        <f t="shared" si="138"/>
        <v>-24451</v>
      </c>
      <c r="AO85" s="355">
        <f t="shared" si="138"/>
        <v>-6050</v>
      </c>
      <c r="AP85" s="355">
        <f t="shared" si="138"/>
        <v>-17036</v>
      </c>
      <c r="AQ85" s="355">
        <f t="shared" si="138"/>
        <v>-14140</v>
      </c>
      <c r="AR85" s="355">
        <f t="shared" si="138"/>
        <v>-23762</v>
      </c>
      <c r="AS85" s="355">
        <f t="shared" si="138"/>
        <v>-599755</v>
      </c>
      <c r="AT85" s="355">
        <f t="shared" si="138"/>
        <v>-31770</v>
      </c>
      <c r="AU85" s="355">
        <f t="shared" si="138"/>
        <v>0</v>
      </c>
      <c r="AV85" s="355">
        <f t="shared" si="138"/>
        <v>600000</v>
      </c>
      <c r="AW85" s="355">
        <f t="shared" si="138"/>
        <v>-28199</v>
      </c>
      <c r="AX85" s="355">
        <f t="shared" si="138"/>
        <v>-11010</v>
      </c>
      <c r="AY85" s="355">
        <f t="shared" si="138"/>
        <v>-9154</v>
      </c>
      <c r="AZ85" s="355">
        <f t="shared" si="138"/>
        <v>2355</v>
      </c>
      <c r="BA85" s="355">
        <f t="shared" si="138"/>
        <v>-2761404</v>
      </c>
      <c r="BB85" s="355">
        <f t="shared" si="138"/>
        <v>2787297</v>
      </c>
      <c r="BC85" s="355">
        <f t="shared" si="138"/>
        <v>2989</v>
      </c>
      <c r="BD85" s="355">
        <f t="shared" si="138"/>
        <v>-13508</v>
      </c>
      <c r="BE85" s="355">
        <f t="shared" si="138"/>
        <v>-355569</v>
      </c>
      <c r="BF85" s="355">
        <f t="shared" si="138"/>
        <v>-11178</v>
      </c>
      <c r="BG85" s="355">
        <f t="shared" si="138"/>
        <v>-3000000</v>
      </c>
      <c r="BH85" s="355">
        <f t="shared" si="138"/>
        <v>4169</v>
      </c>
      <c r="BI85" s="355">
        <f t="shared" si="138"/>
        <v>4524</v>
      </c>
      <c r="BJ85" s="355">
        <f t="shared" si="138"/>
        <v>-10210</v>
      </c>
      <c r="BK85" s="355">
        <f t="shared" si="138"/>
        <v>0</v>
      </c>
      <c r="BL85" s="355">
        <f t="shared" si="138"/>
        <v>-3140</v>
      </c>
      <c r="BM85" s="355">
        <f t="shared" si="138"/>
        <v>-611061</v>
      </c>
      <c r="BN85" s="355">
        <f t="shared" si="138"/>
        <v>-30160</v>
      </c>
      <c r="BO85" s="355">
        <f t="shared" si="138"/>
        <v>420000</v>
      </c>
      <c r="BP85" s="355">
        <f t="shared" si="138"/>
        <v>2933785</v>
      </c>
      <c r="BQ85" s="355">
        <f t="shared" si="138"/>
        <v>-32372</v>
      </c>
      <c r="BR85" s="355">
        <f t="shared" si="138"/>
        <v>-15000</v>
      </c>
      <c r="BS85" s="355">
        <f t="shared" si="138"/>
        <v>-60550</v>
      </c>
      <c r="BT85" s="355">
        <f t="shared" si="138"/>
        <v>-35000</v>
      </c>
      <c r="BU85" s="355">
        <f t="shared" si="138"/>
        <v>2936050</v>
      </c>
      <c r="BV85" s="355">
        <f t="shared" si="138"/>
        <v>-75566</v>
      </c>
      <c r="BW85" s="355">
        <f t="shared" si="138"/>
        <v>-35000</v>
      </c>
      <c r="BX85" s="355">
        <f t="shared" si="138"/>
        <v>-36238</v>
      </c>
      <c r="BY85" s="355">
        <f t="shared" si="138"/>
        <v>0</v>
      </c>
      <c r="BZ85" s="355">
        <f t="shared" si="138"/>
        <v>0</v>
      </c>
      <c r="CA85" s="355">
        <f t="shared" si="138"/>
        <v>0</v>
      </c>
      <c r="CB85" s="355">
        <f t="shared" si="138"/>
        <v>980317.46</v>
      </c>
      <c r="CC85" s="355">
        <f t="shared" si="138"/>
        <v>-215162</v>
      </c>
      <c r="CD85" s="355">
        <f t="shared" si="138"/>
        <v>-131989</v>
      </c>
      <c r="CE85" s="355">
        <f t="shared" si="138"/>
        <v>-177854</v>
      </c>
      <c r="CF85" s="355">
        <f t="shared" si="138"/>
        <v>-21003.8</v>
      </c>
      <c r="CG85" s="355">
        <f t="shared" si="138"/>
        <v>-80700</v>
      </c>
      <c r="CH85" s="355">
        <f t="shared" si="138"/>
        <v>-23145.58</v>
      </c>
      <c r="CI85" s="355">
        <f t="shared" si="138"/>
        <v>-22765.46</v>
      </c>
      <c r="CJ85" s="355">
        <f t="shared" si="138"/>
        <v>-24773.02</v>
      </c>
      <c r="CK85" s="355">
        <f t="shared" si="138"/>
        <v>-218921</v>
      </c>
      <c r="CL85" s="355">
        <f t="shared" si="138"/>
        <v>-1624654.4</v>
      </c>
      <c r="CM85" s="355">
        <f t="shared" si="138"/>
        <v>-2027651.28</v>
      </c>
      <c r="CN85" s="355">
        <f t="shared" si="138"/>
        <v>-84000</v>
      </c>
      <c r="CO85" s="355">
        <f t="shared" si="138"/>
        <v>-84000</v>
      </c>
    </row>
    <row r="86" ht="18.0" customHeight="1">
      <c r="A86" s="1"/>
      <c r="B86" s="1"/>
      <c r="C86" s="1"/>
      <c r="D86" s="1"/>
      <c r="E86" s="1"/>
      <c r="F86" s="349" t="s">
        <v>81</v>
      </c>
      <c r="G86" s="162"/>
      <c r="H86" s="397">
        <f t="shared" ref="H86:I86" si="139">+H69+H85</f>
        <v>1905</v>
      </c>
      <c r="I86" s="398" t="str">
        <f t="shared" si="139"/>
        <v>#REF!</v>
      </c>
      <c r="J86" s="398">
        <v>347.53666666666686</v>
      </c>
      <c r="K86" s="398">
        <v>-422.3050000000003</v>
      </c>
      <c r="L86" s="398">
        <v>5570.430000000004</v>
      </c>
      <c r="M86" s="398">
        <v>9396.404999999999</v>
      </c>
      <c r="N86" s="399" t="str">
        <f>+N69+N85</f>
        <v>#REF!</v>
      </c>
      <c r="O86" s="398">
        <v>146.31000000000495</v>
      </c>
      <c r="P86" s="398">
        <v>5947.165000000001</v>
      </c>
      <c r="Q86" s="398">
        <v>-3581.66</v>
      </c>
      <c r="R86" s="398">
        <v>-2726.9599999999955</v>
      </c>
      <c r="S86" s="400">
        <v>830.635000000002</v>
      </c>
      <c r="T86" s="401">
        <v>-2129.9799999999996</v>
      </c>
      <c r="U86" s="398">
        <v>-2452.2599999999984</v>
      </c>
      <c r="V86" s="398">
        <v>-4019.1500000000015</v>
      </c>
      <c r="W86" s="398">
        <v>-254.62499999999636</v>
      </c>
      <c r="X86" s="398">
        <v>2072.4400000000023</v>
      </c>
      <c r="Y86" s="398"/>
      <c r="Z86" s="398"/>
      <c r="AA86" s="402"/>
      <c r="AB86" s="402">
        <f t="shared" ref="AB86:CO86" si="140">+AB69+AB85</f>
        <v>-157772</v>
      </c>
      <c r="AC86" s="402">
        <f t="shared" si="140"/>
        <v>-234372</v>
      </c>
      <c r="AD86" s="402">
        <f t="shared" si="140"/>
        <v>-293837</v>
      </c>
      <c r="AE86" s="403">
        <f t="shared" si="140"/>
        <v>-235230</v>
      </c>
      <c r="AF86" s="404">
        <f t="shared" si="140"/>
        <v>2199435</v>
      </c>
      <c r="AG86" s="402">
        <f t="shared" si="140"/>
        <v>-661830</v>
      </c>
      <c r="AH86" s="402">
        <f t="shared" si="140"/>
        <v>215128</v>
      </c>
      <c r="AI86" s="402">
        <f t="shared" si="140"/>
        <v>-47452</v>
      </c>
      <c r="AJ86" s="402">
        <f t="shared" si="140"/>
        <v>5011287</v>
      </c>
      <c r="AK86" s="402">
        <f t="shared" si="140"/>
        <v>-430687</v>
      </c>
      <c r="AL86" s="402">
        <f t="shared" si="140"/>
        <v>36915</v>
      </c>
      <c r="AM86" s="402">
        <f t="shared" si="140"/>
        <v>-487766</v>
      </c>
      <c r="AN86" s="402">
        <f t="shared" si="140"/>
        <v>-166207</v>
      </c>
      <c r="AO86" s="402">
        <f t="shared" si="140"/>
        <v>-147838</v>
      </c>
      <c r="AP86" s="402">
        <f t="shared" si="140"/>
        <v>-281112</v>
      </c>
      <c r="AQ86" s="402">
        <f t="shared" si="140"/>
        <v>-216934</v>
      </c>
      <c r="AR86" s="402">
        <f t="shared" si="140"/>
        <v>-229852</v>
      </c>
      <c r="AS86" s="402">
        <f t="shared" si="140"/>
        <v>-626681</v>
      </c>
      <c r="AT86" s="402">
        <f t="shared" si="140"/>
        <v>-512933</v>
      </c>
      <c r="AU86" s="402">
        <f t="shared" si="140"/>
        <v>254735</v>
      </c>
      <c r="AV86" s="402">
        <f t="shared" si="140"/>
        <v>600125</v>
      </c>
      <c r="AW86" s="402">
        <f t="shared" si="140"/>
        <v>-30168.28</v>
      </c>
      <c r="AX86" s="402">
        <f t="shared" si="140"/>
        <v>3775</v>
      </c>
      <c r="AY86" s="402">
        <f t="shared" si="140"/>
        <v>153301</v>
      </c>
      <c r="AZ86" s="402">
        <f t="shared" si="140"/>
        <v>-25123.71</v>
      </c>
      <c r="BA86" s="402">
        <f t="shared" si="140"/>
        <v>-2827179.765</v>
      </c>
      <c r="BB86" s="402">
        <f t="shared" si="140"/>
        <v>3446350</v>
      </c>
      <c r="BC86" s="402">
        <f t="shared" si="140"/>
        <v>-53545.585</v>
      </c>
      <c r="BD86" s="402">
        <f t="shared" si="140"/>
        <v>47580.12</v>
      </c>
      <c r="BE86" s="402">
        <f t="shared" si="140"/>
        <v>-381411.065</v>
      </c>
      <c r="BF86" s="402">
        <f t="shared" si="140"/>
        <v>-16963</v>
      </c>
      <c r="BG86" s="402">
        <f t="shared" si="140"/>
        <v>-3108695.415</v>
      </c>
      <c r="BH86" s="402">
        <f t="shared" si="140"/>
        <v>-151994.59</v>
      </c>
      <c r="BI86" s="402">
        <f t="shared" si="140"/>
        <v>-49076</v>
      </c>
      <c r="BJ86" s="402">
        <f t="shared" si="140"/>
        <v>284398.1</v>
      </c>
      <c r="BK86" s="402">
        <f t="shared" si="140"/>
        <v>-34400</v>
      </c>
      <c r="BL86" s="402">
        <f t="shared" si="140"/>
        <v>165710</v>
      </c>
      <c r="BM86" s="402">
        <f t="shared" si="140"/>
        <v>-685011</v>
      </c>
      <c r="BN86" s="402">
        <f t="shared" si="140"/>
        <v>-64560</v>
      </c>
      <c r="BO86" s="402">
        <f t="shared" si="140"/>
        <v>699654</v>
      </c>
      <c r="BP86" s="402">
        <f t="shared" si="140"/>
        <v>1332087</v>
      </c>
      <c r="BQ86" s="402">
        <f t="shared" si="140"/>
        <v>-759067.5</v>
      </c>
      <c r="BR86" s="402">
        <f t="shared" si="140"/>
        <v>-42555</v>
      </c>
      <c r="BS86" s="402">
        <f t="shared" si="140"/>
        <v>191590.525</v>
      </c>
      <c r="BT86" s="402">
        <f t="shared" si="140"/>
        <v>-6726.215</v>
      </c>
      <c r="BU86" s="402">
        <f t="shared" si="140"/>
        <v>3146954</v>
      </c>
      <c r="BV86" s="402">
        <f t="shared" si="140"/>
        <v>-2923566.94</v>
      </c>
      <c r="BW86" s="402">
        <f t="shared" si="140"/>
        <v>1536435.98</v>
      </c>
      <c r="BX86" s="402">
        <f t="shared" si="140"/>
        <v>-1154435.935</v>
      </c>
      <c r="BY86" s="402">
        <f t="shared" si="140"/>
        <v>0</v>
      </c>
      <c r="BZ86" s="402">
        <f t="shared" si="140"/>
        <v>0</v>
      </c>
      <c r="CA86" s="402">
        <f t="shared" si="140"/>
        <v>0</v>
      </c>
      <c r="CB86" s="402">
        <f t="shared" si="140"/>
        <v>692499.46</v>
      </c>
      <c r="CC86" s="402">
        <f t="shared" si="140"/>
        <v>2682073</v>
      </c>
      <c r="CD86" s="402">
        <f t="shared" si="140"/>
        <v>-955329</v>
      </c>
      <c r="CE86" s="402">
        <f t="shared" si="140"/>
        <v>-2600863.75</v>
      </c>
      <c r="CF86" s="402">
        <f t="shared" si="140"/>
        <v>318737.2</v>
      </c>
      <c r="CG86" s="402">
        <f t="shared" si="140"/>
        <v>-1156062</v>
      </c>
      <c r="CH86" s="402">
        <f t="shared" si="140"/>
        <v>414756.485</v>
      </c>
      <c r="CI86" s="402">
        <f t="shared" si="140"/>
        <v>1503711.655</v>
      </c>
      <c r="CJ86" s="402">
        <f t="shared" si="140"/>
        <v>570673.865</v>
      </c>
      <c r="CK86" s="402">
        <f t="shared" si="140"/>
        <v>874476.02</v>
      </c>
      <c r="CL86" s="402">
        <f t="shared" si="140"/>
        <v>278112.035</v>
      </c>
      <c r="CM86" s="402">
        <f t="shared" si="140"/>
        <v>-2780584.065</v>
      </c>
      <c r="CN86" s="402">
        <f t="shared" si="140"/>
        <v>-726171.67</v>
      </c>
      <c r="CO86" s="402">
        <f t="shared" si="140"/>
        <v>215889</v>
      </c>
    </row>
    <row r="87" ht="18.0" customHeight="1">
      <c r="A87" s="1"/>
      <c r="B87" s="1"/>
      <c r="C87" s="1"/>
      <c r="D87" s="1"/>
      <c r="E87" s="1"/>
      <c r="F87" s="405" t="s">
        <v>82</v>
      </c>
      <c r="G87" s="406"/>
      <c r="H87" s="407">
        <f t="shared" ref="H87:I87" si="141">+H58+H86</f>
        <v>14277</v>
      </c>
      <c r="I87" s="408" t="str">
        <f t="shared" si="141"/>
        <v>#REF!</v>
      </c>
      <c r="J87" s="408">
        <v>6047.934999999998</v>
      </c>
      <c r="K87" s="408">
        <v>5625.629999999997</v>
      </c>
      <c r="L87" s="408">
        <v>11196.060000000001</v>
      </c>
      <c r="M87" s="408">
        <v>20592.465</v>
      </c>
      <c r="N87" s="409" t="str">
        <f>+N58+N86</f>
        <v>#REF!</v>
      </c>
      <c r="O87" s="408">
        <v>12286.67000000001</v>
      </c>
      <c r="P87" s="408">
        <v>18233.83500000001</v>
      </c>
      <c r="Q87" s="408">
        <v>14652.17500000001</v>
      </c>
      <c r="R87" s="408">
        <v>11925.215000000015</v>
      </c>
      <c r="S87" s="410">
        <v>12755.850000000017</v>
      </c>
      <c r="T87" s="411">
        <v>10625.870000000017</v>
      </c>
      <c r="U87" s="408">
        <v>8173.610000000019</v>
      </c>
      <c r="V87" s="408">
        <v>4154.460000000017</v>
      </c>
      <c r="W87" s="408">
        <v>3899.835000000021</v>
      </c>
      <c r="X87" s="408">
        <v>5972.275000000023</v>
      </c>
      <c r="Y87" s="408"/>
      <c r="Z87" s="408"/>
      <c r="AA87" s="412">
        <v>4057182.0</v>
      </c>
      <c r="AB87" s="412">
        <f t="shared" ref="AB87:CO87" si="142">+AB58+AB86</f>
        <v>3899410</v>
      </c>
      <c r="AC87" s="412">
        <f t="shared" si="142"/>
        <v>3733737</v>
      </c>
      <c r="AD87" s="412">
        <f t="shared" si="142"/>
        <v>3316907</v>
      </c>
      <c r="AE87" s="413">
        <f t="shared" si="142"/>
        <v>2923264</v>
      </c>
      <c r="AF87" s="414">
        <f t="shared" si="142"/>
        <v>5343631</v>
      </c>
      <c r="AG87" s="412">
        <f t="shared" si="142"/>
        <v>4674091</v>
      </c>
      <c r="AH87" s="412">
        <f t="shared" si="142"/>
        <v>4912741</v>
      </c>
      <c r="AI87" s="412">
        <f t="shared" si="142"/>
        <v>4866480</v>
      </c>
      <c r="AJ87" s="412">
        <f t="shared" si="142"/>
        <v>9877197</v>
      </c>
      <c r="AK87" s="412">
        <f t="shared" si="142"/>
        <v>9430527</v>
      </c>
      <c r="AL87" s="412">
        <f t="shared" si="142"/>
        <v>9461522</v>
      </c>
      <c r="AM87" s="412">
        <f t="shared" si="142"/>
        <v>8979163</v>
      </c>
      <c r="AN87" s="412">
        <f t="shared" si="142"/>
        <v>8788085</v>
      </c>
      <c r="AO87" s="412">
        <f t="shared" si="142"/>
        <v>8589078</v>
      </c>
      <c r="AP87" s="412">
        <f t="shared" si="142"/>
        <v>8294966</v>
      </c>
      <c r="AQ87" s="412">
        <f t="shared" si="142"/>
        <v>8068878</v>
      </c>
      <c r="AR87" s="412">
        <f t="shared" si="142"/>
        <v>7836916</v>
      </c>
      <c r="AS87" s="412">
        <f t="shared" si="142"/>
        <v>7010123</v>
      </c>
      <c r="AT87" s="412">
        <f t="shared" si="142"/>
        <v>6297675</v>
      </c>
      <c r="AU87" s="412">
        <f t="shared" si="142"/>
        <v>6377640</v>
      </c>
      <c r="AV87" s="412">
        <f t="shared" si="142"/>
        <v>6980970</v>
      </c>
      <c r="AW87" s="412">
        <f t="shared" si="142"/>
        <v>6896561.72</v>
      </c>
      <c r="AX87" s="412">
        <f t="shared" si="142"/>
        <v>6840340</v>
      </c>
      <c r="AY87" s="412">
        <f t="shared" si="142"/>
        <v>7005451</v>
      </c>
      <c r="AZ87" s="412">
        <f t="shared" si="142"/>
        <v>6938910.29</v>
      </c>
      <c r="BA87" s="412">
        <f t="shared" si="142"/>
        <v>4123291.235</v>
      </c>
      <c r="BB87" s="412">
        <f t="shared" si="142"/>
        <v>7565235</v>
      </c>
      <c r="BC87" s="412">
        <f t="shared" si="142"/>
        <v>7565597.415</v>
      </c>
      <c r="BD87" s="412">
        <f t="shared" si="142"/>
        <v>7607905.12</v>
      </c>
      <c r="BE87" s="412">
        <f t="shared" si="142"/>
        <v>7260275.935</v>
      </c>
      <c r="BF87" s="412">
        <f t="shared" si="142"/>
        <v>7273098</v>
      </c>
      <c r="BG87" s="412">
        <f t="shared" si="142"/>
        <v>4173600.585</v>
      </c>
      <c r="BH87" s="412">
        <f t="shared" si="142"/>
        <v>4032255.41</v>
      </c>
      <c r="BI87" s="412">
        <f t="shared" si="142"/>
        <v>3979474</v>
      </c>
      <c r="BJ87" s="412">
        <f t="shared" si="142"/>
        <v>4264368.1</v>
      </c>
      <c r="BK87" s="412">
        <f t="shared" si="142"/>
        <v>4230820</v>
      </c>
      <c r="BL87" s="412">
        <f t="shared" si="142"/>
        <v>4396413</v>
      </c>
      <c r="BM87" s="412">
        <f t="shared" si="142"/>
        <v>3714402</v>
      </c>
      <c r="BN87" s="412">
        <f t="shared" si="142"/>
        <v>3629436</v>
      </c>
      <c r="BO87" s="412">
        <f t="shared" si="142"/>
        <v>4337690</v>
      </c>
      <c r="BP87" s="412">
        <f t="shared" si="142"/>
        <v>2003347</v>
      </c>
      <c r="BQ87" s="412">
        <f t="shared" si="142"/>
        <v>1264619.5</v>
      </c>
      <c r="BR87" s="412">
        <f t="shared" si="142"/>
        <v>1214894</v>
      </c>
      <c r="BS87" s="412">
        <f t="shared" si="142"/>
        <v>1207978.525</v>
      </c>
      <c r="BT87" s="412">
        <f t="shared" si="142"/>
        <v>1254985.785</v>
      </c>
      <c r="BU87" s="412">
        <f t="shared" si="142"/>
        <v>4300792</v>
      </c>
      <c r="BV87" s="412">
        <f t="shared" si="142"/>
        <v>1342564.06</v>
      </c>
      <c r="BW87" s="412">
        <f t="shared" si="142"/>
        <v>2906996.98</v>
      </c>
      <c r="BX87" s="412">
        <f t="shared" si="142"/>
        <v>1891671.065</v>
      </c>
      <c r="BY87" s="412">
        <f t="shared" si="142"/>
        <v>1885231</v>
      </c>
      <c r="BZ87" s="412">
        <f t="shared" si="142"/>
        <v>1885231</v>
      </c>
      <c r="CA87" s="412">
        <f t="shared" si="142"/>
        <v>1885231</v>
      </c>
      <c r="CB87" s="412">
        <f t="shared" si="142"/>
        <v>692499.46</v>
      </c>
      <c r="CC87" s="412">
        <f t="shared" si="142"/>
        <v>5057168</v>
      </c>
      <c r="CD87" s="412">
        <f t="shared" si="142"/>
        <v>4104017</v>
      </c>
      <c r="CE87" s="412">
        <f t="shared" si="142"/>
        <v>1408288.25</v>
      </c>
      <c r="CF87" s="412">
        <f t="shared" si="142"/>
        <v>1682561.2</v>
      </c>
      <c r="CG87" s="412">
        <f t="shared" si="142"/>
        <v>519524</v>
      </c>
      <c r="CH87" s="412">
        <f t="shared" si="142"/>
        <v>1004135.485</v>
      </c>
      <c r="CI87" s="412">
        <f t="shared" si="142"/>
        <v>2454260.655</v>
      </c>
      <c r="CJ87" s="412">
        <f t="shared" si="142"/>
        <v>2998424.865</v>
      </c>
      <c r="CK87" s="412">
        <f t="shared" si="142"/>
        <v>3996337.02</v>
      </c>
      <c r="CL87" s="412">
        <f t="shared" si="142"/>
        <v>4233871.035</v>
      </c>
      <c r="CM87" s="412">
        <f t="shared" si="142"/>
        <v>1601785.935</v>
      </c>
      <c r="CN87" s="412">
        <f t="shared" si="142"/>
        <v>948701.33</v>
      </c>
      <c r="CO87" s="412">
        <f t="shared" si="142"/>
        <v>1164590.33</v>
      </c>
    </row>
    <row r="88" ht="26.25" customHeight="1">
      <c r="A88" s="1"/>
      <c r="B88" s="1"/>
      <c r="C88" s="1"/>
      <c r="D88" s="1"/>
      <c r="E88" s="1"/>
      <c r="F88" s="1"/>
      <c r="G88" s="67" t="s">
        <v>83</v>
      </c>
      <c r="H88" s="1"/>
      <c r="I88" s="2"/>
      <c r="J88" s="1"/>
      <c r="K88" s="2"/>
      <c r="L88" s="1"/>
      <c r="M88" s="2"/>
      <c r="N88" s="2"/>
      <c r="O88" s="2"/>
      <c r="P88" s="2"/>
      <c r="Q88" s="2"/>
      <c r="R88" s="2"/>
      <c r="S88" s="415"/>
      <c r="T88" s="2"/>
      <c r="U88" s="415"/>
      <c r="V88" s="2"/>
      <c r="W88" s="1"/>
      <c r="X88" s="1"/>
      <c r="Y88" s="2"/>
      <c r="Z88" s="1"/>
      <c r="AA88" s="67" t="s">
        <v>83</v>
      </c>
      <c r="AB88" s="279">
        <v>3968109.0</v>
      </c>
      <c r="AC88" s="279">
        <v>3610744.0</v>
      </c>
      <c r="AD88" s="279">
        <v>3158494.0</v>
      </c>
      <c r="AE88" s="1">
        <v>3135165.0</v>
      </c>
      <c r="AF88" s="279">
        <v>5335921.0</v>
      </c>
      <c r="AG88" s="1">
        <v>4697613.0</v>
      </c>
      <c r="AH88" s="1">
        <v>4913932.0</v>
      </c>
      <c r="AI88" s="1">
        <v>4865910.0</v>
      </c>
      <c r="AJ88" s="279">
        <v>9851214.0</v>
      </c>
      <c r="AK88" s="279">
        <v>9424607.0</v>
      </c>
      <c r="AL88" s="279">
        <v>9466929.0</v>
      </c>
      <c r="AM88" s="279">
        <v>8954292.0</v>
      </c>
      <c r="AN88" s="279">
        <v>8736916.0</v>
      </c>
      <c r="AO88" s="416">
        <v>8576078.0</v>
      </c>
      <c r="AP88" s="279">
        <v>8285812.0</v>
      </c>
      <c r="AQ88" s="279">
        <v>8066768.0</v>
      </c>
      <c r="AR88" s="279">
        <v>7636804.0</v>
      </c>
      <c r="AS88" s="279">
        <v>6810608.0</v>
      </c>
      <c r="AT88" s="279">
        <v>6122905.0</v>
      </c>
      <c r="AU88" s="279">
        <v>6380845.0</v>
      </c>
      <c r="AV88" s="279">
        <v>6926730.0</v>
      </c>
      <c r="AW88" s="279">
        <v>6836565.0</v>
      </c>
      <c r="AX88" s="279">
        <v>6852150.0</v>
      </c>
      <c r="AY88" s="279">
        <v>6964034.0</v>
      </c>
      <c r="AZ88" s="279">
        <v>6950471.0</v>
      </c>
      <c r="BA88" s="279">
        <v>4118885.0</v>
      </c>
      <c r="BB88" s="279">
        <v>7619143.0</v>
      </c>
      <c r="BC88" s="279">
        <v>7560325.0</v>
      </c>
      <c r="BD88" s="279">
        <v>7641687.0</v>
      </c>
      <c r="BE88" s="279">
        <v>7290061.0</v>
      </c>
      <c r="BF88" s="279">
        <v>7282296.0</v>
      </c>
      <c r="BG88" s="1">
        <v>4184250.0</v>
      </c>
      <c r="BH88" s="279">
        <v>4028550.0</v>
      </c>
      <c r="BI88" s="279">
        <v>3979970.0</v>
      </c>
      <c r="BJ88" s="279">
        <v>4265220.0</v>
      </c>
      <c r="BK88" s="279">
        <v>4230703.0</v>
      </c>
      <c r="BL88" s="279">
        <v>4399413.0</v>
      </c>
      <c r="BM88" s="279">
        <v>3693996.0</v>
      </c>
      <c r="BN88" s="279">
        <v>3638036.0</v>
      </c>
      <c r="BO88" s="279"/>
      <c r="BP88" s="279">
        <v>1980487.0</v>
      </c>
      <c r="BQ88" s="279">
        <v>1257449.0</v>
      </c>
      <c r="BR88" s="279">
        <v>1016388.0</v>
      </c>
      <c r="BS88" s="279">
        <v>1261712.0</v>
      </c>
      <c r="BT88" s="279">
        <v>1180116.0</v>
      </c>
      <c r="BU88" s="279">
        <v>4267171.0</v>
      </c>
      <c r="BV88" s="279">
        <v>1370561.0</v>
      </c>
      <c r="BW88" s="279">
        <f>BW87</f>
        <v>2906996.98</v>
      </c>
      <c r="BX88" s="279">
        <v>1885231.0</v>
      </c>
      <c r="BY88" s="279">
        <f t="shared" ref="BY88:CA88" si="143">BY87</f>
        <v>1885231</v>
      </c>
      <c r="BZ88" s="279">
        <f t="shared" si="143"/>
        <v>1885231</v>
      </c>
      <c r="CA88" s="279">
        <f t="shared" si="143"/>
        <v>1885231</v>
      </c>
      <c r="CB88" s="279">
        <v>2375095.0</v>
      </c>
      <c r="CC88" s="417">
        <v>5059346.0</v>
      </c>
      <c r="CD88" s="417">
        <v>4009152.0</v>
      </c>
      <c r="CE88" s="417">
        <v>1363824.0</v>
      </c>
      <c r="CF88" s="279">
        <v>1675586.0</v>
      </c>
      <c r="CG88" s="279">
        <v>589379.0</v>
      </c>
      <c r="CH88" s="279">
        <v>950549.0</v>
      </c>
      <c r="CI88" s="417">
        <v>2427751.0</v>
      </c>
      <c r="CJ88" s="417">
        <v>3121861.0</v>
      </c>
      <c r="CK88" s="417">
        <v>3955759.0</v>
      </c>
      <c r="CL88" s="417">
        <v>4382370.0</v>
      </c>
      <c r="CM88" s="417">
        <v>1674873.0</v>
      </c>
      <c r="CN88" s="279"/>
      <c r="CO88" s="279"/>
    </row>
    <row r="89" ht="12.75" customHeight="1">
      <c r="A89" s="1"/>
      <c r="B89" s="1"/>
      <c r="C89" s="1"/>
      <c r="D89" s="1"/>
      <c r="E89" s="1"/>
      <c r="F89" s="1"/>
      <c r="G89" s="418" t="s">
        <v>84</v>
      </c>
      <c r="H89" s="419"/>
      <c r="I89" s="420"/>
      <c r="J89" s="419"/>
      <c r="K89" s="420"/>
      <c r="L89" s="419"/>
      <c r="M89" s="420"/>
      <c r="N89" s="421"/>
      <c r="O89" s="2"/>
      <c r="P89" s="2"/>
      <c r="Q89" s="2"/>
      <c r="R89" s="2"/>
      <c r="S89" s="422"/>
      <c r="T89" s="423" t="s">
        <v>85</v>
      </c>
      <c r="U89" s="424" t="s">
        <v>86</v>
      </c>
      <c r="V89" s="425"/>
      <c r="W89" s="1"/>
      <c r="X89" s="1"/>
      <c r="Y89" s="2"/>
      <c r="Z89" s="1"/>
      <c r="AA89" s="67" t="s">
        <v>84</v>
      </c>
      <c r="AB89" s="279">
        <f t="shared" ref="AB89:AE89" si="144">AB88-AB87</f>
        <v>68699</v>
      </c>
      <c r="AC89" s="279">
        <f t="shared" si="144"/>
        <v>-122993</v>
      </c>
      <c r="AD89" s="279">
        <f t="shared" si="144"/>
        <v>-158413</v>
      </c>
      <c r="AE89" s="279">
        <f t="shared" si="144"/>
        <v>211901</v>
      </c>
      <c r="AF89" s="279">
        <f t="shared" ref="AF89:AQ89" si="145">AF87-AF88</f>
        <v>7710</v>
      </c>
      <c r="AG89" s="279">
        <f t="shared" si="145"/>
        <v>-23522</v>
      </c>
      <c r="AH89" s="279">
        <f t="shared" si="145"/>
        <v>-1191</v>
      </c>
      <c r="AI89" s="279">
        <f t="shared" si="145"/>
        <v>570</v>
      </c>
      <c r="AJ89" s="279">
        <f t="shared" si="145"/>
        <v>25983</v>
      </c>
      <c r="AK89" s="279">
        <f t="shared" si="145"/>
        <v>5920</v>
      </c>
      <c r="AL89" s="279">
        <f t="shared" si="145"/>
        <v>-5407</v>
      </c>
      <c r="AM89" s="279">
        <f t="shared" si="145"/>
        <v>24871</v>
      </c>
      <c r="AN89" s="279">
        <f t="shared" si="145"/>
        <v>51169</v>
      </c>
      <c r="AO89" s="279">
        <f t="shared" si="145"/>
        <v>13000</v>
      </c>
      <c r="AP89" s="279">
        <f t="shared" si="145"/>
        <v>9154</v>
      </c>
      <c r="AQ89" s="279">
        <f t="shared" si="145"/>
        <v>2110</v>
      </c>
      <c r="AR89" s="279">
        <f t="shared" ref="AR89:CO89" si="146">AR88-AR87</f>
        <v>-200112</v>
      </c>
      <c r="AS89" s="279">
        <f t="shared" si="146"/>
        <v>-199515</v>
      </c>
      <c r="AT89" s="279">
        <f t="shared" si="146"/>
        <v>-174770</v>
      </c>
      <c r="AU89" s="279">
        <f t="shared" si="146"/>
        <v>3205</v>
      </c>
      <c r="AV89" s="279">
        <f t="shared" si="146"/>
        <v>-54240</v>
      </c>
      <c r="AW89" s="279">
        <f t="shared" si="146"/>
        <v>-59996.72</v>
      </c>
      <c r="AX89" s="279">
        <f t="shared" si="146"/>
        <v>11810</v>
      </c>
      <c r="AY89" s="279">
        <f t="shared" si="146"/>
        <v>-41417</v>
      </c>
      <c r="AZ89" s="279">
        <f t="shared" si="146"/>
        <v>11560.71</v>
      </c>
      <c r="BA89" s="279">
        <f t="shared" si="146"/>
        <v>-4406.235</v>
      </c>
      <c r="BB89" s="279">
        <f t="shared" si="146"/>
        <v>53908</v>
      </c>
      <c r="BC89" s="279">
        <f t="shared" si="146"/>
        <v>-5272.415</v>
      </c>
      <c r="BD89" s="279">
        <f t="shared" si="146"/>
        <v>33781.88</v>
      </c>
      <c r="BE89" s="279">
        <f t="shared" si="146"/>
        <v>29785.065</v>
      </c>
      <c r="BF89" s="279">
        <f t="shared" si="146"/>
        <v>9198</v>
      </c>
      <c r="BG89" s="279">
        <f t="shared" si="146"/>
        <v>10649.415</v>
      </c>
      <c r="BH89" s="279">
        <f t="shared" si="146"/>
        <v>-3705.41</v>
      </c>
      <c r="BI89" s="279">
        <f t="shared" si="146"/>
        <v>496</v>
      </c>
      <c r="BJ89" s="279">
        <f t="shared" si="146"/>
        <v>851.9</v>
      </c>
      <c r="BK89" s="279">
        <f t="shared" si="146"/>
        <v>-117</v>
      </c>
      <c r="BL89" s="279">
        <f t="shared" si="146"/>
        <v>3000</v>
      </c>
      <c r="BM89" s="279">
        <f t="shared" si="146"/>
        <v>-20406</v>
      </c>
      <c r="BN89" s="279">
        <f t="shared" si="146"/>
        <v>8600</v>
      </c>
      <c r="BO89" s="279">
        <f t="shared" si="146"/>
        <v>-4337690</v>
      </c>
      <c r="BP89" s="279">
        <f t="shared" si="146"/>
        <v>-22860</v>
      </c>
      <c r="BQ89" s="279">
        <f t="shared" si="146"/>
        <v>-7170.5</v>
      </c>
      <c r="BR89" s="279">
        <f t="shared" si="146"/>
        <v>-198506</v>
      </c>
      <c r="BS89" s="279">
        <f t="shared" si="146"/>
        <v>53733.475</v>
      </c>
      <c r="BT89" s="279">
        <f t="shared" si="146"/>
        <v>-74869.785</v>
      </c>
      <c r="BU89" s="279">
        <f t="shared" si="146"/>
        <v>-33621</v>
      </c>
      <c r="BV89" s="279">
        <f t="shared" si="146"/>
        <v>27996.94</v>
      </c>
      <c r="BW89" s="279">
        <f t="shared" si="146"/>
        <v>0</v>
      </c>
      <c r="BX89" s="279">
        <f t="shared" si="146"/>
        <v>-6440.065</v>
      </c>
      <c r="BY89" s="279">
        <f t="shared" si="146"/>
        <v>0</v>
      </c>
      <c r="BZ89" s="279">
        <f t="shared" si="146"/>
        <v>0</v>
      </c>
      <c r="CA89" s="279">
        <f t="shared" si="146"/>
        <v>0</v>
      </c>
      <c r="CB89" s="279">
        <f t="shared" si="146"/>
        <v>1682595.54</v>
      </c>
      <c r="CC89" s="279">
        <f t="shared" si="146"/>
        <v>2178</v>
      </c>
      <c r="CD89" s="279">
        <f t="shared" si="146"/>
        <v>-94865</v>
      </c>
      <c r="CE89" s="279">
        <f t="shared" si="146"/>
        <v>-44464.25</v>
      </c>
      <c r="CF89" s="279">
        <f t="shared" si="146"/>
        <v>-6975.2</v>
      </c>
      <c r="CG89" s="279">
        <f t="shared" si="146"/>
        <v>69855</v>
      </c>
      <c r="CH89" s="279">
        <f t="shared" si="146"/>
        <v>-53586.485</v>
      </c>
      <c r="CI89" s="279">
        <f t="shared" si="146"/>
        <v>-26509.655</v>
      </c>
      <c r="CJ89" s="279">
        <f t="shared" si="146"/>
        <v>123436.135</v>
      </c>
      <c r="CK89" s="279">
        <f t="shared" si="146"/>
        <v>-40578.02</v>
      </c>
      <c r="CL89" s="279">
        <f t="shared" si="146"/>
        <v>148498.965</v>
      </c>
      <c r="CM89" s="279">
        <f t="shared" si="146"/>
        <v>73087.065</v>
      </c>
      <c r="CN89" s="279">
        <f t="shared" si="146"/>
        <v>-948701.33</v>
      </c>
      <c r="CO89" s="279">
        <f t="shared" si="146"/>
        <v>-1164590.33</v>
      </c>
    </row>
    <row r="90" ht="12.75" customHeight="1">
      <c r="A90" s="1"/>
      <c r="B90" s="1"/>
      <c r="C90" s="1"/>
      <c r="D90" s="1"/>
      <c r="E90" s="1"/>
      <c r="F90" s="1"/>
      <c r="G90" s="1"/>
      <c r="H90" s="1"/>
      <c r="I90" s="2"/>
      <c r="J90" s="1"/>
      <c r="K90" s="2"/>
      <c r="L90" s="1"/>
      <c r="M90" s="2"/>
      <c r="N90" s="2"/>
      <c r="O90" s="2"/>
      <c r="P90" s="2"/>
      <c r="Q90" s="2"/>
      <c r="R90" s="2"/>
      <c r="S90" s="426"/>
      <c r="T90" s="427" t="s">
        <v>87</v>
      </c>
      <c r="U90" s="428">
        <v>882.7927200000213</v>
      </c>
      <c r="V90" s="429" t="s">
        <v>88</v>
      </c>
      <c r="W90" s="1"/>
      <c r="X90" s="1"/>
      <c r="Y90" s="2"/>
      <c r="Z90" s="1"/>
      <c r="AA90" s="1"/>
      <c r="AB90" s="1"/>
      <c r="AC90" s="430"/>
      <c r="AD90" s="279"/>
      <c r="AE90" s="1"/>
      <c r="AF90" s="279"/>
      <c r="AG90" s="279"/>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row>
    <row r="91" ht="12.75" customHeight="1">
      <c r="A91" s="1"/>
      <c r="B91" s="1"/>
      <c r="C91" s="1"/>
      <c r="D91" s="1"/>
      <c r="E91" s="1"/>
      <c r="F91" s="1"/>
      <c r="G91" s="1"/>
      <c r="H91" s="1"/>
      <c r="I91" s="2"/>
      <c r="J91" s="1"/>
      <c r="K91" s="2"/>
      <c r="L91" s="1"/>
      <c r="M91" s="2"/>
      <c r="N91" s="2"/>
      <c r="O91" s="2"/>
      <c r="P91" s="2"/>
      <c r="Q91" s="2"/>
      <c r="R91" s="2"/>
      <c r="S91" s="426"/>
      <c r="T91" s="431" t="s">
        <v>89</v>
      </c>
      <c r="U91" s="432">
        <v>5287.558000000003</v>
      </c>
      <c r="V91" s="433"/>
      <c r="W91" s="1"/>
      <c r="X91" s="1"/>
      <c r="Y91" s="2"/>
      <c r="Z91" s="1"/>
      <c r="AA91" s="1"/>
      <c r="AB91" s="1"/>
      <c r="AC91" s="430"/>
      <c r="AD91" s="279"/>
      <c r="AE91" s="1"/>
      <c r="AF91" s="279"/>
      <c r="AG91" s="279"/>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row>
    <row r="92" ht="12.75" customHeight="1">
      <c r="A92" s="1"/>
      <c r="B92" s="1"/>
      <c r="C92" s="434" t="s">
        <v>90</v>
      </c>
      <c r="D92" s="434"/>
      <c r="E92" s="435" t="s">
        <v>91</v>
      </c>
      <c r="F92" s="435" t="s">
        <v>92</v>
      </c>
      <c r="G92" s="435" t="s">
        <v>93</v>
      </c>
      <c r="H92" s="1">
        <v>1.0</v>
      </c>
      <c r="I92" s="2">
        <v>2.0</v>
      </c>
      <c r="J92" s="1">
        <v>3.0</v>
      </c>
      <c r="K92" s="2">
        <v>4.0</v>
      </c>
      <c r="L92" s="1">
        <v>5.0</v>
      </c>
      <c r="M92" s="2">
        <v>6.0</v>
      </c>
      <c r="N92" s="2">
        <v>7.0</v>
      </c>
      <c r="O92" s="2">
        <v>8.0</v>
      </c>
      <c r="P92" s="2">
        <v>9.0</v>
      </c>
      <c r="Q92" s="2">
        <v>10.0</v>
      </c>
      <c r="R92" s="2">
        <v>11.0</v>
      </c>
      <c r="S92" s="2">
        <v>12.0</v>
      </c>
      <c r="T92" s="2">
        <v>13.0</v>
      </c>
      <c r="U92" s="2">
        <v>14.0</v>
      </c>
      <c r="V92" s="2">
        <v>15.0</v>
      </c>
      <c r="W92" s="1">
        <v>16.0</v>
      </c>
      <c r="X92" s="1">
        <v>17.0</v>
      </c>
      <c r="Y92" s="2">
        <v>1.0</v>
      </c>
      <c r="Z92" s="1">
        <f>+Y92+1</f>
        <v>2</v>
      </c>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row>
    <row r="93" ht="12.75" customHeight="1">
      <c r="A93" s="1"/>
      <c r="B93" s="1"/>
      <c r="C93" s="436"/>
      <c r="D93" s="436" t="s">
        <v>94</v>
      </c>
      <c r="E93" s="436" t="s">
        <v>91</v>
      </c>
      <c r="F93" s="436" t="s">
        <v>95</v>
      </c>
      <c r="G93" s="436" t="s">
        <v>96</v>
      </c>
      <c r="H93" s="19" t="str">
        <f t="shared" ref="H93:J93" si="147">IF($F93&gt;=H$92,$G93,0)</f>
        <v>備考</v>
      </c>
      <c r="I93" s="20" t="str">
        <f t="shared" si="147"/>
        <v>備考</v>
      </c>
      <c r="J93" s="19" t="str">
        <f t="shared" si="147"/>
        <v>備考</v>
      </c>
      <c r="K93" s="20">
        <v>207.0</v>
      </c>
      <c r="L93" s="19" t="str">
        <f t="shared" ref="L93:O93" si="148">IF($F93&gt;=L$92,$G93,0)</f>
        <v>備考</v>
      </c>
      <c r="M93" s="20" t="str">
        <f t="shared" si="148"/>
        <v>備考</v>
      </c>
      <c r="N93" s="20" t="str">
        <f t="shared" si="148"/>
        <v>備考</v>
      </c>
      <c r="O93" s="20" t="str">
        <f t="shared" si="148"/>
        <v>備考</v>
      </c>
      <c r="P93" s="20">
        <v>207.0</v>
      </c>
      <c r="Q93" s="20">
        <v>207.0</v>
      </c>
      <c r="R93" s="20">
        <v>207.0</v>
      </c>
      <c r="S93" s="20">
        <v>207.0</v>
      </c>
      <c r="T93" s="20">
        <v>207.0</v>
      </c>
      <c r="U93" s="20">
        <v>207.0</v>
      </c>
      <c r="V93" s="20">
        <v>207.0</v>
      </c>
      <c r="W93" s="19" t="str">
        <f>IF($F93&gt;=W$92,$G93,0)</f>
        <v>備考</v>
      </c>
      <c r="X93" s="19">
        <v>207.0</v>
      </c>
      <c r="Y93" s="20"/>
      <c r="Z93" s="19" t="str">
        <f t="shared" ref="Z93:CO93" si="149">IF($F93&gt;=Z$92,$G93,0)</f>
        <v>備考</v>
      </c>
      <c r="AA93" s="19" t="str">
        <f t="shared" si="149"/>
        <v>備考</v>
      </c>
      <c r="AB93" s="19" t="str">
        <f t="shared" si="149"/>
        <v>備考</v>
      </c>
      <c r="AC93" s="19" t="str">
        <f t="shared" si="149"/>
        <v>備考</v>
      </c>
      <c r="AD93" s="19" t="str">
        <f t="shared" si="149"/>
        <v>備考</v>
      </c>
      <c r="AE93" s="19" t="str">
        <f t="shared" si="149"/>
        <v>備考</v>
      </c>
      <c r="AF93" s="19" t="str">
        <f t="shared" si="149"/>
        <v>備考</v>
      </c>
      <c r="AG93" s="19" t="str">
        <f t="shared" si="149"/>
        <v>備考</v>
      </c>
      <c r="AH93" s="19" t="str">
        <f t="shared" si="149"/>
        <v>備考</v>
      </c>
      <c r="AI93" s="19" t="str">
        <f t="shared" si="149"/>
        <v>備考</v>
      </c>
      <c r="AJ93" s="19" t="str">
        <f t="shared" si="149"/>
        <v>備考</v>
      </c>
      <c r="AK93" s="19" t="str">
        <f t="shared" si="149"/>
        <v>備考</v>
      </c>
      <c r="AL93" s="19" t="str">
        <f t="shared" si="149"/>
        <v>備考</v>
      </c>
      <c r="AM93" s="19" t="str">
        <f t="shared" si="149"/>
        <v>備考</v>
      </c>
      <c r="AN93" s="19" t="str">
        <f t="shared" si="149"/>
        <v>備考</v>
      </c>
      <c r="AO93" s="19" t="str">
        <f t="shared" si="149"/>
        <v>備考</v>
      </c>
      <c r="AP93" s="19" t="str">
        <f t="shared" si="149"/>
        <v>備考</v>
      </c>
      <c r="AQ93" s="19" t="str">
        <f t="shared" si="149"/>
        <v>備考</v>
      </c>
      <c r="AR93" s="19" t="str">
        <f t="shared" si="149"/>
        <v>備考</v>
      </c>
      <c r="AS93" s="19" t="str">
        <f t="shared" si="149"/>
        <v>備考</v>
      </c>
      <c r="AT93" s="19" t="str">
        <f t="shared" si="149"/>
        <v>備考</v>
      </c>
      <c r="AU93" s="19" t="str">
        <f t="shared" si="149"/>
        <v>備考</v>
      </c>
      <c r="AV93" s="19" t="str">
        <f t="shared" si="149"/>
        <v>備考</v>
      </c>
      <c r="AW93" s="19" t="str">
        <f t="shared" si="149"/>
        <v>備考</v>
      </c>
      <c r="AX93" s="19" t="str">
        <f t="shared" si="149"/>
        <v>備考</v>
      </c>
      <c r="AY93" s="19" t="str">
        <f t="shared" si="149"/>
        <v>備考</v>
      </c>
      <c r="AZ93" s="19" t="str">
        <f t="shared" si="149"/>
        <v>備考</v>
      </c>
      <c r="BA93" s="19" t="str">
        <f t="shared" si="149"/>
        <v>備考</v>
      </c>
      <c r="BB93" s="19" t="str">
        <f t="shared" si="149"/>
        <v>備考</v>
      </c>
      <c r="BC93" s="19" t="str">
        <f t="shared" si="149"/>
        <v>備考</v>
      </c>
      <c r="BD93" s="19" t="str">
        <f t="shared" si="149"/>
        <v>備考</v>
      </c>
      <c r="BE93" s="19" t="str">
        <f t="shared" si="149"/>
        <v>備考</v>
      </c>
      <c r="BF93" s="19" t="str">
        <f t="shared" si="149"/>
        <v>備考</v>
      </c>
      <c r="BG93" s="19" t="str">
        <f t="shared" si="149"/>
        <v>備考</v>
      </c>
      <c r="BH93" s="19" t="str">
        <f t="shared" si="149"/>
        <v>備考</v>
      </c>
      <c r="BI93" s="19" t="str">
        <f t="shared" si="149"/>
        <v>備考</v>
      </c>
      <c r="BJ93" s="19" t="str">
        <f t="shared" si="149"/>
        <v>備考</v>
      </c>
      <c r="BK93" s="19" t="str">
        <f t="shared" si="149"/>
        <v>備考</v>
      </c>
      <c r="BL93" s="19" t="str">
        <f t="shared" si="149"/>
        <v>備考</v>
      </c>
      <c r="BM93" s="19" t="str">
        <f t="shared" si="149"/>
        <v>備考</v>
      </c>
      <c r="BN93" s="19" t="str">
        <f t="shared" si="149"/>
        <v>備考</v>
      </c>
      <c r="BO93" s="19" t="str">
        <f t="shared" si="149"/>
        <v>備考</v>
      </c>
      <c r="BP93" s="19" t="str">
        <f t="shared" si="149"/>
        <v>備考</v>
      </c>
      <c r="BQ93" s="19" t="str">
        <f t="shared" si="149"/>
        <v>備考</v>
      </c>
      <c r="BR93" s="19" t="str">
        <f t="shared" si="149"/>
        <v>備考</v>
      </c>
      <c r="BS93" s="19" t="str">
        <f t="shared" si="149"/>
        <v>備考</v>
      </c>
      <c r="BT93" s="19" t="str">
        <f t="shared" si="149"/>
        <v>備考</v>
      </c>
      <c r="BU93" s="19" t="str">
        <f t="shared" si="149"/>
        <v>備考</v>
      </c>
      <c r="BV93" s="19" t="str">
        <f t="shared" si="149"/>
        <v>備考</v>
      </c>
      <c r="BW93" s="19" t="str">
        <f t="shared" si="149"/>
        <v>備考</v>
      </c>
      <c r="BX93" s="19" t="str">
        <f t="shared" si="149"/>
        <v>備考</v>
      </c>
      <c r="BY93" s="19" t="str">
        <f t="shared" si="149"/>
        <v>備考</v>
      </c>
      <c r="BZ93" s="19" t="str">
        <f t="shared" si="149"/>
        <v>備考</v>
      </c>
      <c r="CA93" s="19" t="str">
        <f t="shared" si="149"/>
        <v>備考</v>
      </c>
      <c r="CB93" s="19" t="str">
        <f t="shared" si="149"/>
        <v>備考</v>
      </c>
      <c r="CC93" s="19" t="str">
        <f t="shared" si="149"/>
        <v>備考</v>
      </c>
      <c r="CD93" s="19" t="str">
        <f t="shared" si="149"/>
        <v>備考</v>
      </c>
      <c r="CE93" s="19" t="str">
        <f t="shared" si="149"/>
        <v>備考</v>
      </c>
      <c r="CF93" s="19" t="str">
        <f t="shared" si="149"/>
        <v>備考</v>
      </c>
      <c r="CG93" s="19" t="str">
        <f t="shared" si="149"/>
        <v>備考</v>
      </c>
      <c r="CH93" s="19" t="str">
        <f t="shared" si="149"/>
        <v>備考</v>
      </c>
      <c r="CI93" s="19" t="str">
        <f t="shared" si="149"/>
        <v>備考</v>
      </c>
      <c r="CJ93" s="19" t="str">
        <f t="shared" si="149"/>
        <v>備考</v>
      </c>
      <c r="CK93" s="19" t="str">
        <f t="shared" si="149"/>
        <v>備考</v>
      </c>
      <c r="CL93" s="19" t="str">
        <f t="shared" si="149"/>
        <v>備考</v>
      </c>
      <c r="CM93" s="19" t="str">
        <f t="shared" si="149"/>
        <v>備考</v>
      </c>
      <c r="CN93" s="19" t="str">
        <f t="shared" si="149"/>
        <v>備考</v>
      </c>
      <c r="CO93" s="19" t="str">
        <f t="shared" si="149"/>
        <v>備考</v>
      </c>
    </row>
    <row r="94" ht="12.75" customHeight="1">
      <c r="A94" s="1"/>
      <c r="B94" s="1"/>
      <c r="C94" s="436"/>
      <c r="D94" s="437"/>
      <c r="E94" s="437"/>
      <c r="F94" s="436"/>
      <c r="G94" s="436"/>
      <c r="H94" s="19"/>
      <c r="I94" s="20"/>
      <c r="J94" s="19"/>
      <c r="K94" s="20"/>
      <c r="L94" s="19"/>
      <c r="M94" s="20"/>
      <c r="N94" s="20"/>
      <c r="O94" s="20"/>
      <c r="P94" s="20"/>
      <c r="Q94" s="20"/>
      <c r="R94" s="20"/>
      <c r="S94" s="20"/>
      <c r="T94" s="20"/>
      <c r="U94" s="20"/>
      <c r="V94" s="20"/>
      <c r="W94" s="19"/>
      <c r="X94" s="19"/>
      <c r="Y94" s="20"/>
      <c r="Z94" s="19"/>
      <c r="AA94" s="438"/>
      <c r="AB94" s="438"/>
      <c r="AC94" s="438"/>
      <c r="AD94" s="438"/>
      <c r="AE94" s="438"/>
      <c r="AF94" s="438"/>
      <c r="AG94" s="438"/>
      <c r="AH94" s="438"/>
      <c r="AI94" s="438"/>
      <c r="AJ94" s="438"/>
      <c r="AK94" s="438"/>
      <c r="AL94" s="438"/>
      <c r="AM94" s="438"/>
      <c r="AN94" s="438"/>
      <c r="AO94" s="438"/>
      <c r="AP94" s="438"/>
      <c r="AQ94" s="438"/>
      <c r="AR94" s="438"/>
      <c r="AS94" s="438"/>
      <c r="AT94" s="438"/>
      <c r="AU94" s="438"/>
      <c r="AV94" s="438"/>
      <c r="AW94" s="438"/>
      <c r="AX94" s="438"/>
      <c r="AY94" s="438"/>
      <c r="AZ94" s="438"/>
      <c r="BA94" s="438"/>
      <c r="BB94" s="438"/>
      <c r="BC94" s="438"/>
      <c r="BD94" s="438"/>
      <c r="BE94" s="438"/>
      <c r="BF94" s="438"/>
      <c r="BG94" s="438"/>
      <c r="BH94" s="438"/>
      <c r="BI94" s="438"/>
      <c r="BJ94" s="438"/>
      <c r="BK94" s="438"/>
      <c r="BL94" s="438"/>
      <c r="BM94" s="438"/>
      <c r="BN94" s="438"/>
      <c r="BO94" s="438"/>
      <c r="BP94" s="438"/>
      <c r="BQ94" s="438"/>
      <c r="BR94" s="438"/>
      <c r="BS94" s="438"/>
      <c r="BT94" s="438"/>
      <c r="BU94" s="438"/>
      <c r="BV94" s="438"/>
      <c r="BW94" s="438"/>
      <c r="BX94" s="438"/>
      <c r="BY94" s="438"/>
      <c r="BZ94" s="438"/>
      <c r="CA94" s="438"/>
      <c r="CB94" s="438"/>
      <c r="CC94" s="438"/>
      <c r="CD94" s="438"/>
      <c r="CE94" s="438"/>
      <c r="CF94" s="438"/>
      <c r="CG94" s="438"/>
      <c r="CH94" s="438"/>
      <c r="CI94" s="438"/>
      <c r="CJ94" s="438"/>
      <c r="CK94" s="438"/>
      <c r="CL94" s="438"/>
      <c r="CM94" s="438"/>
      <c r="CN94" s="438"/>
      <c r="CO94" s="438"/>
    </row>
    <row r="95" ht="12.75" customHeight="1">
      <c r="A95" s="1"/>
      <c r="B95" s="1"/>
      <c r="C95" s="436"/>
      <c r="D95" s="437"/>
      <c r="E95" s="437"/>
      <c r="F95" s="439"/>
      <c r="G95" s="436"/>
      <c r="H95" s="19"/>
      <c r="I95" s="20"/>
      <c r="J95" s="19"/>
      <c r="K95" s="20"/>
      <c r="L95" s="19"/>
      <c r="M95" s="20"/>
      <c r="N95" s="20"/>
      <c r="O95" s="20"/>
      <c r="P95" s="20"/>
      <c r="Q95" s="20"/>
      <c r="R95" s="20"/>
      <c r="S95" s="20"/>
      <c r="T95" s="20"/>
      <c r="U95" s="20"/>
      <c r="V95" s="20"/>
      <c r="W95" s="19"/>
      <c r="X95" s="19"/>
      <c r="Y95" s="20"/>
      <c r="Z95" s="19"/>
      <c r="AA95" s="438"/>
      <c r="AB95" s="438"/>
      <c r="AC95" s="438"/>
      <c r="AD95" s="438"/>
      <c r="AE95" s="438"/>
      <c r="AF95" s="438"/>
      <c r="AG95" s="438"/>
      <c r="AH95" s="438"/>
      <c r="AI95" s="438"/>
      <c r="AJ95" s="438"/>
      <c r="AK95" s="438"/>
      <c r="AL95" s="438"/>
      <c r="AM95" s="438"/>
      <c r="AN95" s="438"/>
      <c r="AO95" s="438"/>
      <c r="AP95" s="438"/>
      <c r="AQ95" s="438"/>
      <c r="AR95" s="438"/>
      <c r="AS95" s="438"/>
      <c r="AT95" s="438"/>
      <c r="AU95" s="438"/>
      <c r="AV95" s="438"/>
      <c r="AW95" s="438"/>
      <c r="AX95" s="438"/>
      <c r="AY95" s="438"/>
      <c r="AZ95" s="438"/>
      <c r="BA95" s="438"/>
      <c r="BB95" s="438"/>
      <c r="BC95" s="438"/>
      <c r="BD95" s="438"/>
      <c r="BE95" s="438"/>
      <c r="BF95" s="438"/>
      <c r="BG95" s="438"/>
      <c r="BH95" s="438"/>
      <c r="BI95" s="438"/>
      <c r="BJ95" s="438"/>
      <c r="BK95" s="438"/>
      <c r="BL95" s="438"/>
      <c r="BM95" s="438"/>
      <c r="BN95" s="438"/>
      <c r="BO95" s="438"/>
      <c r="BP95" s="438"/>
      <c r="BQ95" s="438"/>
      <c r="BR95" s="438"/>
      <c r="BS95" s="438"/>
      <c r="BT95" s="438"/>
      <c r="BU95" s="438"/>
      <c r="BV95" s="438"/>
      <c r="BW95" s="438"/>
      <c r="BX95" s="438"/>
      <c r="BY95" s="438"/>
      <c r="BZ95" s="438"/>
      <c r="CA95" s="438"/>
      <c r="CB95" s="438"/>
      <c r="CC95" s="438"/>
      <c r="CD95" s="438"/>
      <c r="CE95" s="438"/>
      <c r="CF95" s="438"/>
      <c r="CG95" s="438"/>
      <c r="CH95" s="438"/>
      <c r="CI95" s="438"/>
      <c r="CJ95" s="438"/>
      <c r="CK95" s="438"/>
      <c r="CL95" s="438"/>
      <c r="CM95" s="438"/>
      <c r="CN95" s="438"/>
      <c r="CO95" s="438"/>
    </row>
    <row r="96" ht="12.75" customHeight="1">
      <c r="A96" s="1"/>
      <c r="B96" s="1"/>
      <c r="C96" s="436"/>
      <c r="D96" s="437"/>
      <c r="E96" s="437"/>
      <c r="F96" s="436"/>
      <c r="G96" s="436"/>
      <c r="H96" s="19"/>
      <c r="I96" s="20"/>
      <c r="J96" s="19"/>
      <c r="K96" s="20"/>
      <c r="L96" s="19"/>
      <c r="M96" s="20"/>
      <c r="N96" s="20"/>
      <c r="O96" s="20"/>
      <c r="P96" s="20"/>
      <c r="Q96" s="20"/>
      <c r="R96" s="20"/>
      <c r="S96" s="20"/>
      <c r="T96" s="20"/>
      <c r="U96" s="20"/>
      <c r="V96" s="20"/>
      <c r="W96" s="19"/>
      <c r="X96" s="19"/>
      <c r="Y96" s="20"/>
      <c r="Z96" s="19"/>
      <c r="AA96" s="438"/>
      <c r="AB96" s="438"/>
      <c r="AC96" s="438"/>
      <c r="AD96" s="438"/>
      <c r="AE96" s="438"/>
      <c r="AF96" s="438"/>
      <c r="AG96" s="438"/>
      <c r="AH96" s="438"/>
      <c r="AI96" s="438"/>
      <c r="AJ96" s="438"/>
      <c r="AK96" s="438"/>
      <c r="AL96" s="438"/>
      <c r="AM96" s="438"/>
      <c r="AN96" s="438"/>
      <c r="AO96" s="438"/>
      <c r="AP96" s="438"/>
      <c r="AQ96" s="438"/>
      <c r="AR96" s="438"/>
      <c r="AS96" s="438"/>
      <c r="AT96" s="438"/>
      <c r="AU96" s="438"/>
      <c r="AV96" s="438"/>
      <c r="AW96" s="438"/>
      <c r="AX96" s="438"/>
      <c r="AY96" s="438"/>
      <c r="AZ96" s="438"/>
      <c r="BA96" s="438"/>
      <c r="BB96" s="438"/>
      <c r="BC96" s="438"/>
      <c r="BD96" s="438"/>
      <c r="BE96" s="438"/>
      <c r="BF96" s="438"/>
      <c r="BG96" s="438"/>
      <c r="BH96" s="438"/>
      <c r="BI96" s="438"/>
      <c r="BJ96" s="438"/>
      <c r="BK96" s="438"/>
      <c r="BL96" s="438"/>
      <c r="BM96" s="438"/>
      <c r="BN96" s="438"/>
      <c r="BO96" s="438"/>
      <c r="BP96" s="438"/>
      <c r="BQ96" s="438"/>
      <c r="BR96" s="438"/>
      <c r="BS96" s="438"/>
      <c r="BT96" s="438"/>
      <c r="BU96" s="438"/>
      <c r="BV96" s="438"/>
      <c r="BW96" s="438"/>
      <c r="BX96" s="438"/>
      <c r="BY96" s="438"/>
      <c r="BZ96" s="438"/>
      <c r="CA96" s="438"/>
      <c r="CB96" s="438"/>
      <c r="CC96" s="438"/>
      <c r="CD96" s="438"/>
      <c r="CE96" s="438"/>
      <c r="CF96" s="438"/>
      <c r="CG96" s="438"/>
      <c r="CH96" s="438"/>
      <c r="CI96" s="438"/>
      <c r="CJ96" s="438"/>
      <c r="CK96" s="438"/>
      <c r="CL96" s="438"/>
      <c r="CM96" s="438"/>
      <c r="CN96" s="438"/>
      <c r="CO96" s="438"/>
    </row>
    <row r="97" ht="12.75" customHeight="1">
      <c r="A97" s="1"/>
      <c r="B97" s="1"/>
      <c r="C97" s="436"/>
      <c r="D97" s="437"/>
      <c r="E97" s="437"/>
      <c r="F97" s="436"/>
      <c r="G97" s="436"/>
      <c r="H97" s="19"/>
      <c r="I97" s="20"/>
      <c r="J97" s="19"/>
      <c r="K97" s="20"/>
      <c r="L97" s="19"/>
      <c r="M97" s="20"/>
      <c r="N97" s="20"/>
      <c r="O97" s="20"/>
      <c r="P97" s="20"/>
      <c r="Q97" s="20"/>
      <c r="R97" s="20"/>
      <c r="S97" s="20"/>
      <c r="T97" s="20"/>
      <c r="U97" s="20"/>
      <c r="V97" s="20"/>
      <c r="W97" s="19"/>
      <c r="X97" s="19"/>
      <c r="Y97" s="20"/>
      <c r="Z97" s="19"/>
      <c r="AA97" s="438"/>
      <c r="AB97" s="438"/>
      <c r="AC97" s="438"/>
      <c r="AD97" s="438"/>
      <c r="AE97" s="438"/>
      <c r="AF97" s="438"/>
      <c r="AG97" s="438"/>
      <c r="AH97" s="438"/>
      <c r="AI97" s="438"/>
      <c r="AJ97" s="438"/>
      <c r="AK97" s="438"/>
      <c r="AL97" s="438"/>
      <c r="AM97" s="438"/>
      <c r="AN97" s="438"/>
      <c r="AO97" s="438"/>
      <c r="AP97" s="438"/>
      <c r="AQ97" s="438"/>
      <c r="AR97" s="438"/>
      <c r="AS97" s="438"/>
      <c r="AT97" s="438"/>
      <c r="AU97" s="438"/>
      <c r="AV97" s="438"/>
      <c r="AW97" s="438"/>
      <c r="AX97" s="438"/>
      <c r="AY97" s="438"/>
      <c r="AZ97" s="438"/>
      <c r="BA97" s="438"/>
      <c r="BB97" s="438"/>
      <c r="BC97" s="438"/>
      <c r="BD97" s="438"/>
      <c r="BE97" s="438"/>
      <c r="BF97" s="438"/>
      <c r="BG97" s="438"/>
      <c r="BH97" s="438"/>
      <c r="BI97" s="438"/>
      <c r="BJ97" s="438"/>
      <c r="BK97" s="438"/>
      <c r="BL97" s="438"/>
      <c r="BM97" s="438"/>
      <c r="BN97" s="438"/>
      <c r="BO97" s="438"/>
      <c r="BP97" s="438"/>
      <c r="BQ97" s="438"/>
      <c r="BR97" s="438"/>
      <c r="BS97" s="438"/>
      <c r="BT97" s="438"/>
      <c r="BU97" s="438"/>
      <c r="BV97" s="438"/>
      <c r="BW97" s="438"/>
      <c r="BX97" s="438"/>
      <c r="BY97" s="438"/>
      <c r="BZ97" s="438"/>
      <c r="CA97" s="438"/>
      <c r="CB97" s="438"/>
      <c r="CC97" s="438"/>
      <c r="CD97" s="438"/>
      <c r="CE97" s="438"/>
      <c r="CF97" s="438"/>
      <c r="CG97" s="438"/>
      <c r="CH97" s="438"/>
      <c r="CI97" s="438"/>
      <c r="CJ97" s="438"/>
      <c r="CK97" s="438"/>
      <c r="CL97" s="438"/>
      <c r="CM97" s="438"/>
      <c r="CN97" s="438"/>
      <c r="CO97" s="438"/>
    </row>
    <row r="98" ht="12.75" customHeight="1">
      <c r="A98" s="1"/>
      <c r="B98" s="1"/>
      <c r="C98" s="436"/>
      <c r="D98" s="437"/>
      <c r="E98" s="437"/>
      <c r="F98" s="436"/>
      <c r="G98" s="436"/>
      <c r="H98" s="19"/>
      <c r="I98" s="20"/>
      <c r="J98" s="19"/>
      <c r="K98" s="20"/>
      <c r="L98" s="19"/>
      <c r="M98" s="20"/>
      <c r="N98" s="20"/>
      <c r="O98" s="20"/>
      <c r="P98" s="20"/>
      <c r="Q98" s="20"/>
      <c r="R98" s="20"/>
      <c r="S98" s="20"/>
      <c r="T98" s="20"/>
      <c r="U98" s="20"/>
      <c r="V98" s="20"/>
      <c r="W98" s="19"/>
      <c r="X98" s="19"/>
      <c r="Y98" s="20"/>
      <c r="Z98" s="19"/>
      <c r="AA98" s="438"/>
      <c r="AB98" s="438"/>
      <c r="AC98" s="438"/>
      <c r="AD98" s="438"/>
      <c r="AE98" s="438"/>
      <c r="AF98" s="438"/>
      <c r="AG98" s="438"/>
      <c r="AH98" s="438"/>
      <c r="AI98" s="438"/>
      <c r="AJ98" s="438"/>
      <c r="AK98" s="438"/>
      <c r="AL98" s="438"/>
      <c r="AM98" s="438"/>
      <c r="AN98" s="438"/>
      <c r="AO98" s="438"/>
      <c r="AP98" s="438"/>
      <c r="AQ98" s="438"/>
      <c r="AR98" s="438"/>
      <c r="AS98" s="438"/>
      <c r="AT98" s="438"/>
      <c r="AU98" s="438"/>
      <c r="AV98" s="438"/>
      <c r="AW98" s="438"/>
      <c r="AX98" s="438"/>
      <c r="AY98" s="438"/>
      <c r="AZ98" s="438"/>
      <c r="BA98" s="438"/>
      <c r="BB98" s="438"/>
      <c r="BC98" s="438"/>
      <c r="BD98" s="438"/>
      <c r="BE98" s="438"/>
      <c r="BF98" s="438"/>
      <c r="BG98" s="438"/>
      <c r="BH98" s="438"/>
      <c r="BI98" s="438"/>
      <c r="BJ98" s="438"/>
      <c r="BK98" s="438"/>
      <c r="BL98" s="438"/>
      <c r="BM98" s="438"/>
      <c r="BN98" s="438"/>
      <c r="BO98" s="438"/>
      <c r="BP98" s="438"/>
      <c r="BQ98" s="438"/>
      <c r="BR98" s="438"/>
      <c r="BS98" s="438"/>
      <c r="BT98" s="438"/>
      <c r="BU98" s="438"/>
      <c r="BV98" s="438"/>
      <c r="BW98" s="438"/>
      <c r="BX98" s="438"/>
      <c r="BY98" s="438"/>
      <c r="BZ98" s="438"/>
      <c r="CA98" s="438"/>
      <c r="CB98" s="438"/>
      <c r="CC98" s="438"/>
      <c r="CD98" s="438"/>
      <c r="CE98" s="438"/>
      <c r="CF98" s="438"/>
      <c r="CG98" s="438"/>
      <c r="CH98" s="438"/>
      <c r="CI98" s="438"/>
      <c r="CJ98" s="438"/>
      <c r="CK98" s="438"/>
      <c r="CL98" s="438"/>
      <c r="CM98" s="438"/>
      <c r="CN98" s="438"/>
      <c r="CO98" s="438"/>
    </row>
    <row r="99" ht="12.75" customHeight="1">
      <c r="A99" s="1"/>
      <c r="B99" s="1"/>
      <c r="C99" s="436"/>
      <c r="D99" s="437"/>
      <c r="E99" s="437"/>
      <c r="F99" s="436"/>
      <c r="G99" s="436"/>
      <c r="H99" s="19"/>
      <c r="I99" s="20"/>
      <c r="J99" s="19"/>
      <c r="K99" s="20"/>
      <c r="L99" s="19"/>
      <c r="M99" s="20"/>
      <c r="N99" s="20"/>
      <c r="O99" s="20"/>
      <c r="P99" s="20"/>
      <c r="Q99" s="20"/>
      <c r="R99" s="20"/>
      <c r="S99" s="20"/>
      <c r="T99" s="20"/>
      <c r="U99" s="20"/>
      <c r="V99" s="20"/>
      <c r="W99" s="19"/>
      <c r="X99" s="19"/>
      <c r="Y99" s="20"/>
      <c r="Z99" s="19"/>
      <c r="AA99" s="438"/>
      <c r="AB99" s="438"/>
      <c r="AC99" s="438"/>
      <c r="AD99" s="438"/>
      <c r="AE99" s="438"/>
      <c r="AF99" s="438"/>
      <c r="AG99" s="438"/>
      <c r="AH99" s="438"/>
      <c r="AI99" s="438"/>
      <c r="AJ99" s="438"/>
      <c r="AK99" s="438"/>
      <c r="AL99" s="438"/>
      <c r="AM99" s="438"/>
      <c r="AN99" s="438"/>
      <c r="AO99" s="438"/>
      <c r="AP99" s="438"/>
      <c r="AQ99" s="438"/>
      <c r="AR99" s="438"/>
      <c r="AS99" s="438"/>
      <c r="AT99" s="438"/>
      <c r="AU99" s="438"/>
      <c r="AV99" s="438"/>
      <c r="AW99" s="438"/>
      <c r="AX99" s="438"/>
      <c r="AY99" s="438"/>
      <c r="AZ99" s="438"/>
      <c r="BA99" s="438"/>
      <c r="BB99" s="438"/>
      <c r="BC99" s="438"/>
      <c r="BD99" s="438"/>
      <c r="BE99" s="438"/>
      <c r="BF99" s="438"/>
      <c r="BG99" s="438"/>
      <c r="BH99" s="438"/>
      <c r="BI99" s="438"/>
      <c r="BJ99" s="438"/>
      <c r="BK99" s="438"/>
      <c r="BL99" s="438"/>
      <c r="BM99" s="438"/>
      <c r="BN99" s="438"/>
      <c r="BO99" s="438"/>
      <c r="BP99" s="438"/>
      <c r="BQ99" s="438"/>
      <c r="BR99" s="438"/>
      <c r="BS99" s="438"/>
      <c r="BT99" s="438"/>
      <c r="BU99" s="438"/>
      <c r="BV99" s="438"/>
      <c r="BW99" s="438"/>
      <c r="BX99" s="438"/>
      <c r="BY99" s="438"/>
      <c r="BZ99" s="438"/>
      <c r="CA99" s="438"/>
      <c r="CB99" s="438"/>
      <c r="CC99" s="438"/>
      <c r="CD99" s="438"/>
      <c r="CE99" s="438"/>
      <c r="CF99" s="438"/>
      <c r="CG99" s="438"/>
      <c r="CH99" s="438"/>
      <c r="CI99" s="438"/>
      <c r="CJ99" s="438"/>
      <c r="CK99" s="438"/>
      <c r="CL99" s="438"/>
      <c r="CM99" s="438"/>
      <c r="CN99" s="438"/>
      <c r="CO99" s="438"/>
    </row>
    <row r="100" ht="12.75" customHeight="1">
      <c r="A100" s="1"/>
      <c r="B100" s="1"/>
      <c r="C100" s="436"/>
      <c r="D100" s="437"/>
      <c r="E100" s="437"/>
      <c r="F100" s="436"/>
      <c r="G100" s="436"/>
      <c r="H100" s="19"/>
      <c r="I100" s="20"/>
      <c r="J100" s="19"/>
      <c r="K100" s="20"/>
      <c r="L100" s="19"/>
      <c r="M100" s="20"/>
      <c r="N100" s="20"/>
      <c r="O100" s="20"/>
      <c r="P100" s="20"/>
      <c r="Q100" s="20"/>
      <c r="R100" s="20"/>
      <c r="S100" s="20"/>
      <c r="T100" s="20"/>
      <c r="U100" s="20"/>
      <c r="V100" s="20"/>
      <c r="W100" s="19"/>
      <c r="X100" s="19"/>
      <c r="Y100" s="20"/>
      <c r="Z100" s="19"/>
      <c r="AA100" s="438"/>
      <c r="AB100" s="438"/>
      <c r="AC100" s="438"/>
      <c r="AD100" s="438"/>
      <c r="AE100" s="438"/>
      <c r="AF100" s="438"/>
      <c r="AG100" s="438"/>
      <c r="AH100" s="438"/>
      <c r="AI100" s="438"/>
      <c r="AJ100" s="438"/>
      <c r="AK100" s="438"/>
      <c r="AL100" s="438"/>
      <c r="AM100" s="438"/>
      <c r="AN100" s="438"/>
      <c r="AO100" s="438"/>
      <c r="AP100" s="438"/>
      <c r="AQ100" s="438"/>
      <c r="AR100" s="438"/>
      <c r="AS100" s="438"/>
      <c r="AT100" s="438"/>
      <c r="AU100" s="438"/>
      <c r="AV100" s="438"/>
      <c r="AW100" s="438"/>
      <c r="AX100" s="438"/>
      <c r="AY100" s="438"/>
      <c r="AZ100" s="438"/>
      <c r="BA100" s="438"/>
      <c r="BB100" s="438"/>
      <c r="BC100" s="438"/>
      <c r="BD100" s="438"/>
      <c r="BE100" s="438"/>
      <c r="BF100" s="438"/>
      <c r="BG100" s="438"/>
      <c r="BH100" s="438"/>
      <c r="BI100" s="438"/>
      <c r="BJ100" s="438"/>
      <c r="BK100" s="438"/>
      <c r="BL100" s="438"/>
      <c r="BM100" s="438"/>
      <c r="BN100" s="438"/>
      <c r="BO100" s="438"/>
      <c r="BP100" s="438"/>
      <c r="BQ100" s="438"/>
      <c r="BR100" s="438"/>
      <c r="BS100" s="438"/>
      <c r="BT100" s="438"/>
      <c r="BU100" s="438"/>
      <c r="BV100" s="438"/>
      <c r="BW100" s="438"/>
      <c r="BX100" s="438"/>
      <c r="BY100" s="438"/>
      <c r="BZ100" s="438"/>
      <c r="CA100" s="438"/>
      <c r="CB100" s="438"/>
      <c r="CC100" s="438"/>
      <c r="CD100" s="438"/>
      <c r="CE100" s="438"/>
      <c r="CF100" s="438"/>
      <c r="CG100" s="438"/>
      <c r="CH100" s="438"/>
      <c r="CI100" s="438"/>
      <c r="CJ100" s="438"/>
      <c r="CK100" s="438"/>
      <c r="CL100" s="438"/>
      <c r="CM100" s="438"/>
      <c r="CN100" s="438"/>
      <c r="CO100" s="438"/>
    </row>
    <row r="101" ht="12.75" customHeight="1">
      <c r="A101" s="1"/>
      <c r="B101" s="1"/>
      <c r="C101" s="436"/>
      <c r="D101" s="437"/>
      <c r="E101" s="437"/>
      <c r="F101" s="436"/>
      <c r="G101" s="436"/>
      <c r="H101" s="19"/>
      <c r="I101" s="20"/>
      <c r="J101" s="19"/>
      <c r="K101" s="20"/>
      <c r="L101" s="19"/>
      <c r="M101" s="20"/>
      <c r="N101" s="20"/>
      <c r="O101" s="20"/>
      <c r="P101" s="20"/>
      <c r="Q101" s="20"/>
      <c r="R101" s="20"/>
      <c r="S101" s="20"/>
      <c r="T101" s="20"/>
      <c r="U101" s="20"/>
      <c r="V101" s="20"/>
      <c r="W101" s="19"/>
      <c r="X101" s="19"/>
      <c r="Y101" s="20"/>
      <c r="Z101" s="19"/>
      <c r="AA101" s="438"/>
      <c r="AB101" s="438"/>
      <c r="AC101" s="438"/>
      <c r="AD101" s="438"/>
      <c r="AE101" s="438"/>
      <c r="AF101" s="438"/>
      <c r="AG101" s="438"/>
      <c r="AH101" s="438"/>
      <c r="AI101" s="438"/>
      <c r="AJ101" s="438"/>
      <c r="AK101" s="438"/>
      <c r="AL101" s="438"/>
      <c r="AM101" s="438"/>
      <c r="AN101" s="438"/>
      <c r="AO101" s="438"/>
      <c r="AP101" s="438"/>
      <c r="AQ101" s="438"/>
      <c r="AR101" s="438"/>
      <c r="AS101" s="438"/>
      <c r="AT101" s="438"/>
      <c r="AU101" s="438"/>
      <c r="AV101" s="438"/>
      <c r="AW101" s="438"/>
      <c r="AX101" s="438"/>
      <c r="AY101" s="438"/>
      <c r="AZ101" s="438"/>
      <c r="BA101" s="438"/>
      <c r="BB101" s="438"/>
      <c r="BC101" s="438"/>
      <c r="BD101" s="438"/>
      <c r="BE101" s="438"/>
      <c r="BF101" s="438"/>
      <c r="BG101" s="438"/>
      <c r="BH101" s="438"/>
      <c r="BI101" s="438"/>
      <c r="BJ101" s="438"/>
      <c r="BK101" s="438"/>
      <c r="BL101" s="438"/>
      <c r="BM101" s="438"/>
      <c r="BN101" s="438"/>
      <c r="BO101" s="438"/>
      <c r="BP101" s="438"/>
      <c r="BQ101" s="438"/>
      <c r="BR101" s="438"/>
      <c r="BS101" s="438"/>
      <c r="BT101" s="438"/>
      <c r="BU101" s="438"/>
      <c r="BV101" s="438"/>
      <c r="BW101" s="438"/>
      <c r="BX101" s="438"/>
      <c r="BY101" s="438"/>
      <c r="BZ101" s="438"/>
      <c r="CA101" s="438"/>
      <c r="CB101" s="438"/>
      <c r="CC101" s="438"/>
      <c r="CD101" s="438"/>
      <c r="CE101" s="438"/>
      <c r="CF101" s="438"/>
      <c r="CG101" s="438"/>
      <c r="CH101" s="438"/>
      <c r="CI101" s="438"/>
      <c r="CJ101" s="438"/>
      <c r="CK101" s="438"/>
      <c r="CL101" s="438"/>
      <c r="CM101" s="438"/>
      <c r="CN101" s="438"/>
      <c r="CO101" s="438"/>
    </row>
    <row r="102" ht="12.75" customHeight="1">
      <c r="A102" s="1"/>
      <c r="B102" s="1"/>
      <c r="C102" s="436"/>
      <c r="D102" s="437"/>
      <c r="E102" s="437"/>
      <c r="F102" s="436"/>
      <c r="G102" s="436"/>
      <c r="H102" s="19"/>
      <c r="I102" s="20"/>
      <c r="J102" s="19"/>
      <c r="K102" s="20"/>
      <c r="L102" s="19"/>
      <c r="M102" s="20"/>
      <c r="N102" s="20"/>
      <c r="O102" s="20"/>
      <c r="P102" s="20"/>
      <c r="Q102" s="20"/>
      <c r="R102" s="20"/>
      <c r="S102" s="20"/>
      <c r="T102" s="20"/>
      <c r="U102" s="20"/>
      <c r="V102" s="20"/>
      <c r="W102" s="19"/>
      <c r="X102" s="19"/>
      <c r="Y102" s="20"/>
      <c r="Z102" s="19"/>
      <c r="AA102" s="438"/>
      <c r="AB102" s="438"/>
      <c r="AC102" s="438"/>
      <c r="AD102" s="438"/>
      <c r="AE102" s="438"/>
      <c r="AF102" s="438"/>
      <c r="AG102" s="438"/>
      <c r="AH102" s="438"/>
      <c r="AI102" s="438"/>
      <c r="AJ102" s="438"/>
      <c r="AK102" s="438"/>
      <c r="AL102" s="438"/>
      <c r="AM102" s="438"/>
      <c r="AN102" s="438"/>
      <c r="AO102" s="438"/>
      <c r="AP102" s="438"/>
      <c r="AQ102" s="438"/>
      <c r="AR102" s="438"/>
      <c r="AS102" s="438"/>
      <c r="AT102" s="438"/>
      <c r="AU102" s="438"/>
      <c r="AV102" s="438"/>
      <c r="AW102" s="438"/>
      <c r="AX102" s="438"/>
      <c r="AY102" s="438"/>
      <c r="AZ102" s="438"/>
      <c r="BA102" s="438"/>
      <c r="BB102" s="438"/>
      <c r="BC102" s="438"/>
      <c r="BD102" s="438"/>
      <c r="BE102" s="438"/>
      <c r="BF102" s="438"/>
      <c r="BG102" s="438"/>
      <c r="BH102" s="438"/>
      <c r="BI102" s="438"/>
      <c r="BJ102" s="438"/>
      <c r="BK102" s="438"/>
      <c r="BL102" s="438"/>
      <c r="BM102" s="438"/>
      <c r="BN102" s="438"/>
      <c r="BO102" s="438"/>
      <c r="BP102" s="438"/>
      <c r="BQ102" s="438"/>
      <c r="BR102" s="438"/>
      <c r="BS102" s="438"/>
      <c r="BT102" s="438"/>
      <c r="BU102" s="438"/>
      <c r="BV102" s="438"/>
      <c r="BW102" s="438"/>
      <c r="BX102" s="438"/>
      <c r="BY102" s="438"/>
      <c r="BZ102" s="438"/>
      <c r="CA102" s="438"/>
      <c r="CB102" s="438"/>
      <c r="CC102" s="438"/>
      <c r="CD102" s="438"/>
      <c r="CE102" s="438"/>
      <c r="CF102" s="438"/>
      <c r="CG102" s="438"/>
      <c r="CH102" s="438"/>
      <c r="CI102" s="438"/>
      <c r="CJ102" s="438"/>
      <c r="CK102" s="438"/>
      <c r="CL102" s="438"/>
      <c r="CM102" s="438"/>
      <c r="CN102" s="438"/>
      <c r="CO102" s="438"/>
    </row>
    <row r="103" ht="12.75" customHeight="1">
      <c r="A103" s="1"/>
      <c r="B103" s="1"/>
      <c r="C103" s="436" t="s">
        <v>31</v>
      </c>
      <c r="D103" s="437">
        <f t="shared" ref="D103:E103" si="150">SUM(D94:D102)</f>
        <v>0</v>
      </c>
      <c r="E103" s="437">
        <f t="shared" si="150"/>
        <v>0</v>
      </c>
      <c r="F103" s="436"/>
      <c r="G103" s="436"/>
      <c r="H103" s="1"/>
      <c r="I103" s="2"/>
      <c r="J103" s="1"/>
      <c r="K103" s="2"/>
      <c r="L103" s="1"/>
      <c r="M103" s="2"/>
      <c r="N103" s="2"/>
      <c r="O103" s="2"/>
      <c r="P103" s="2"/>
      <c r="Q103" s="2"/>
      <c r="R103" s="2"/>
      <c r="S103" s="2"/>
      <c r="T103" s="2"/>
      <c r="U103" s="2"/>
      <c r="V103" s="2"/>
      <c r="W103" s="1"/>
      <c r="X103" s="1"/>
      <c r="Y103" s="2"/>
      <c r="Z103" s="1"/>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row>
    <row r="104" ht="12.75" customHeight="1">
      <c r="A104" s="1"/>
      <c r="B104" s="1"/>
      <c r="C104" s="1"/>
      <c r="D104" s="1"/>
      <c r="E104" s="1"/>
      <c r="F104" s="1"/>
      <c r="G104" s="1"/>
      <c r="H104" s="1"/>
      <c r="I104" s="2"/>
      <c r="J104" s="1"/>
      <c r="K104" s="2"/>
      <c r="L104" s="1"/>
      <c r="M104" s="2"/>
      <c r="N104" s="2"/>
      <c r="O104" s="2"/>
      <c r="P104" s="2"/>
      <c r="Q104" s="2"/>
      <c r="R104" s="2"/>
      <c r="S104" s="2"/>
      <c r="T104" s="2"/>
      <c r="U104" s="2"/>
      <c r="V104" s="2"/>
      <c r="W104" s="1"/>
      <c r="X104" s="1"/>
      <c r="Y104" s="2"/>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row>
    <row r="105" ht="12.75" customHeight="1">
      <c r="A105" s="1"/>
      <c r="B105" s="1"/>
      <c r="C105" s="1"/>
      <c r="D105" s="1"/>
      <c r="E105" s="1"/>
      <c r="F105" s="1"/>
      <c r="G105" s="1"/>
      <c r="H105" s="1"/>
      <c r="I105" s="2"/>
      <c r="J105" s="1"/>
      <c r="K105" s="2"/>
      <c r="L105" s="1"/>
      <c r="M105" s="2"/>
      <c r="N105" s="2"/>
      <c r="O105" s="2"/>
      <c r="P105" s="2"/>
      <c r="Q105" s="2"/>
      <c r="R105" s="2"/>
      <c r="S105" s="2"/>
      <c r="T105" s="2"/>
      <c r="U105" s="2"/>
      <c r="V105" s="2"/>
      <c r="W105" s="1"/>
      <c r="X105" s="1"/>
      <c r="Y105" s="2"/>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row>
    <row r="106" ht="12.75" customHeight="1">
      <c r="A106" s="1"/>
      <c r="B106" s="1"/>
      <c r="C106" s="1"/>
      <c r="D106" s="1"/>
      <c r="E106" s="1"/>
      <c r="F106" s="1"/>
      <c r="G106" s="1"/>
      <c r="H106" s="1"/>
      <c r="I106" s="2"/>
      <c r="J106" s="1"/>
      <c r="K106" s="2"/>
      <c r="L106" s="1"/>
      <c r="M106" s="2"/>
      <c r="N106" s="2"/>
      <c r="O106" s="2"/>
      <c r="P106" s="2"/>
      <c r="Q106" s="2"/>
      <c r="R106" s="2"/>
      <c r="S106" s="2"/>
      <c r="T106" s="2"/>
      <c r="U106" s="2"/>
      <c r="V106" s="2"/>
      <c r="W106" s="1"/>
      <c r="X106" s="1"/>
      <c r="Y106" s="2"/>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row>
    <row r="107" ht="12.75" customHeight="1">
      <c r="A107" s="1"/>
      <c r="B107" s="1"/>
      <c r="C107" s="1"/>
      <c r="D107" s="1"/>
      <c r="E107" s="1"/>
      <c r="F107" s="1"/>
      <c r="G107" s="1"/>
      <c r="H107" s="1"/>
      <c r="I107" s="2"/>
      <c r="J107" s="1"/>
      <c r="K107" s="2"/>
      <c r="L107" s="1"/>
      <c r="M107" s="2"/>
      <c r="N107" s="2"/>
      <c r="O107" s="2"/>
      <c r="P107" s="2"/>
      <c r="Q107" s="2"/>
      <c r="R107" s="2"/>
      <c r="S107" s="2"/>
      <c r="T107" s="2"/>
      <c r="U107" s="2"/>
      <c r="V107" s="2"/>
      <c r="W107" s="1"/>
      <c r="X107" s="1"/>
      <c r="Y107" s="2"/>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row>
    <row r="108" ht="12.75" customHeight="1">
      <c r="A108" s="1"/>
      <c r="B108" s="1"/>
      <c r="C108" s="1"/>
      <c r="D108" s="1"/>
      <c r="E108" s="1"/>
      <c r="F108" s="1"/>
      <c r="G108" s="1"/>
      <c r="H108" s="1"/>
      <c r="I108" s="2"/>
      <c r="J108" s="1"/>
      <c r="K108" s="2"/>
      <c r="L108" s="1"/>
      <c r="M108" s="2"/>
      <c r="N108" s="2"/>
      <c r="O108" s="2"/>
      <c r="P108" s="2"/>
      <c r="Q108" s="2"/>
      <c r="R108" s="2"/>
      <c r="S108" s="2"/>
      <c r="T108" s="2"/>
      <c r="U108" s="2"/>
      <c r="V108" s="2"/>
      <c r="W108" s="1"/>
      <c r="X108" s="1"/>
      <c r="Y108" s="2"/>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row>
    <row r="109" ht="12.75" customHeight="1">
      <c r="A109" s="1"/>
      <c r="B109" s="1"/>
      <c r="C109" s="1"/>
      <c r="D109" s="1"/>
      <c r="E109" s="1"/>
      <c r="F109" s="1"/>
      <c r="G109" s="1"/>
      <c r="H109" s="1"/>
      <c r="I109" s="2"/>
      <c r="J109" s="1"/>
      <c r="K109" s="2"/>
      <c r="L109" s="1"/>
      <c r="M109" s="2"/>
      <c r="N109" s="2"/>
      <c r="O109" s="2"/>
      <c r="P109" s="2"/>
      <c r="Q109" s="2"/>
      <c r="R109" s="2"/>
      <c r="S109" s="2"/>
      <c r="T109" s="2"/>
      <c r="U109" s="2"/>
      <c r="V109" s="2"/>
      <c r="W109" s="1"/>
      <c r="X109" s="1"/>
      <c r="Y109" s="2"/>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row>
    <row r="110" ht="12.75" customHeight="1">
      <c r="A110" s="1"/>
      <c r="B110" s="1"/>
      <c r="C110" s="1"/>
      <c r="D110" s="1"/>
      <c r="E110" s="1"/>
      <c r="F110" s="1"/>
      <c r="G110" s="1"/>
      <c r="H110" s="1"/>
      <c r="I110" s="2"/>
      <c r="J110" s="1"/>
      <c r="K110" s="2"/>
      <c r="L110" s="1"/>
      <c r="M110" s="2"/>
      <c r="N110" s="2"/>
      <c r="O110" s="2"/>
      <c r="P110" s="2"/>
      <c r="Q110" s="2"/>
      <c r="R110" s="2"/>
      <c r="S110" s="2"/>
      <c r="T110" s="2"/>
      <c r="U110" s="2"/>
      <c r="V110" s="2"/>
      <c r="W110" s="1"/>
      <c r="X110" s="1"/>
      <c r="Y110" s="2"/>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row>
    <row r="111" ht="12.75" customHeight="1">
      <c r="A111" s="1"/>
      <c r="B111" s="1"/>
      <c r="C111" s="1"/>
      <c r="D111" s="1"/>
      <c r="E111" s="1"/>
      <c r="F111" s="1"/>
      <c r="G111" s="1"/>
      <c r="H111" s="1"/>
      <c r="I111" s="2"/>
      <c r="J111" s="1"/>
      <c r="K111" s="2"/>
      <c r="L111" s="1"/>
      <c r="M111" s="2"/>
      <c r="N111" s="2"/>
      <c r="O111" s="2"/>
      <c r="P111" s="2"/>
      <c r="Q111" s="2"/>
      <c r="R111" s="2"/>
      <c r="S111" s="2"/>
      <c r="T111" s="2"/>
      <c r="U111" s="2"/>
      <c r="V111" s="2"/>
      <c r="W111" s="1"/>
      <c r="X111" s="1"/>
      <c r="Y111" s="2"/>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row>
    <row r="112" ht="12.75" customHeight="1">
      <c r="A112" s="1"/>
      <c r="B112" s="1"/>
      <c r="C112" s="1"/>
      <c r="D112" s="1"/>
      <c r="E112" s="1"/>
      <c r="F112" s="1"/>
      <c r="G112" s="1"/>
      <c r="H112" s="1"/>
      <c r="I112" s="2"/>
      <c r="J112" s="1"/>
      <c r="K112" s="2"/>
      <c r="L112" s="1"/>
      <c r="M112" s="2"/>
      <c r="N112" s="2"/>
      <c r="O112" s="2"/>
      <c r="P112" s="2"/>
      <c r="Q112" s="2"/>
      <c r="R112" s="2"/>
      <c r="S112" s="2"/>
      <c r="T112" s="2"/>
      <c r="U112" s="2"/>
      <c r="V112" s="2"/>
      <c r="W112" s="1"/>
      <c r="X112" s="1"/>
      <c r="Y112" s="2"/>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row>
    <row r="113" ht="12.75" customHeight="1">
      <c r="A113" s="1"/>
      <c r="B113" s="1"/>
      <c r="C113" s="1"/>
      <c r="D113" s="1"/>
      <c r="E113" s="1"/>
      <c r="F113" s="1"/>
      <c r="G113" s="1"/>
      <c r="H113" s="1"/>
      <c r="I113" s="2"/>
      <c r="J113" s="1"/>
      <c r="K113" s="2"/>
      <c r="L113" s="1"/>
      <c r="M113" s="2"/>
      <c r="N113" s="2"/>
      <c r="O113" s="2"/>
      <c r="P113" s="2"/>
      <c r="Q113" s="2"/>
      <c r="R113" s="2"/>
      <c r="S113" s="2"/>
      <c r="T113" s="2"/>
      <c r="U113" s="2"/>
      <c r="V113" s="2"/>
      <c r="W113" s="1"/>
      <c r="X113" s="1"/>
      <c r="Y113" s="2"/>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row>
    <row r="114" ht="12.75" customHeight="1">
      <c r="A114" s="1"/>
      <c r="B114" s="1"/>
      <c r="C114" s="1"/>
      <c r="D114" s="1"/>
      <c r="E114" s="1"/>
      <c r="F114" s="1"/>
      <c r="G114" s="1"/>
      <c r="H114" s="1"/>
      <c r="I114" s="2"/>
      <c r="J114" s="1"/>
      <c r="K114" s="2"/>
      <c r="L114" s="1"/>
      <c r="M114" s="2"/>
      <c r="N114" s="2"/>
      <c r="O114" s="2"/>
      <c r="P114" s="2"/>
      <c r="Q114" s="2"/>
      <c r="R114" s="2"/>
      <c r="S114" s="2"/>
      <c r="T114" s="2"/>
      <c r="U114" s="2"/>
      <c r="V114" s="2"/>
      <c r="W114" s="1"/>
      <c r="X114" s="1"/>
      <c r="Y114" s="2"/>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row>
    <row r="115" ht="12.75" customHeight="1">
      <c r="A115" s="1"/>
      <c r="B115" s="1"/>
      <c r="C115" s="1"/>
      <c r="D115" s="1"/>
      <c r="E115" s="1"/>
      <c r="F115" s="1"/>
      <c r="G115" s="1"/>
      <c r="H115" s="1"/>
      <c r="I115" s="2"/>
      <c r="J115" s="1"/>
      <c r="K115" s="2"/>
      <c r="L115" s="1"/>
      <c r="M115" s="2"/>
      <c r="N115" s="2"/>
      <c r="O115" s="2"/>
      <c r="P115" s="2"/>
      <c r="Q115" s="2"/>
      <c r="R115" s="2"/>
      <c r="S115" s="2"/>
      <c r="T115" s="2"/>
      <c r="U115" s="2"/>
      <c r="V115" s="2"/>
      <c r="W115" s="1"/>
      <c r="X115" s="1"/>
      <c r="Y115" s="2"/>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row>
    <row r="116" ht="12.75" customHeight="1">
      <c r="A116" s="1"/>
      <c r="B116" s="1"/>
      <c r="C116" s="1"/>
      <c r="D116" s="1"/>
      <c r="E116" s="1"/>
      <c r="F116" s="1"/>
      <c r="G116" s="1"/>
      <c r="H116" s="1"/>
      <c r="I116" s="2"/>
      <c r="J116" s="1"/>
      <c r="K116" s="2"/>
      <c r="L116" s="1"/>
      <c r="M116" s="2"/>
      <c r="N116" s="2"/>
      <c r="O116" s="2"/>
      <c r="P116" s="2"/>
      <c r="Q116" s="2"/>
      <c r="R116" s="2"/>
      <c r="S116" s="2"/>
      <c r="T116" s="2"/>
      <c r="U116" s="2"/>
      <c r="V116" s="2"/>
      <c r="W116" s="1"/>
      <c r="X116" s="1"/>
      <c r="Y116" s="2"/>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row>
    <row r="117" ht="12.75" customHeight="1">
      <c r="A117" s="1"/>
      <c r="B117" s="1"/>
      <c r="C117" s="1"/>
      <c r="D117" s="1"/>
      <c r="E117" s="1"/>
      <c r="F117" s="1"/>
      <c r="G117" s="1"/>
      <c r="H117" s="1"/>
      <c r="I117" s="2"/>
      <c r="J117" s="1"/>
      <c r="K117" s="2"/>
      <c r="L117" s="1"/>
      <c r="M117" s="2"/>
      <c r="N117" s="2"/>
      <c r="O117" s="2"/>
      <c r="P117" s="2"/>
      <c r="Q117" s="2"/>
      <c r="R117" s="2"/>
      <c r="S117" s="2"/>
      <c r="T117" s="2"/>
      <c r="U117" s="2"/>
      <c r="V117" s="2"/>
      <c r="W117" s="1"/>
      <c r="X117" s="1"/>
      <c r="Y117" s="2"/>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row>
    <row r="118" ht="12.75" customHeight="1">
      <c r="A118" s="1"/>
      <c r="B118" s="1"/>
      <c r="C118" s="1"/>
      <c r="D118" s="1"/>
      <c r="E118" s="1"/>
      <c r="F118" s="1"/>
      <c r="G118" s="1"/>
      <c r="H118" s="1"/>
      <c r="I118" s="2"/>
      <c r="J118" s="1"/>
      <c r="K118" s="2"/>
      <c r="L118" s="1"/>
      <c r="M118" s="2"/>
      <c r="N118" s="2"/>
      <c r="O118" s="2"/>
      <c r="P118" s="2"/>
      <c r="Q118" s="2"/>
      <c r="R118" s="2"/>
      <c r="S118" s="2"/>
      <c r="T118" s="2"/>
      <c r="U118" s="2"/>
      <c r="V118" s="2"/>
      <c r="W118" s="1"/>
      <c r="X118" s="1"/>
      <c r="Y118" s="2"/>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row>
    <row r="119" ht="12.75" customHeight="1">
      <c r="A119" s="1"/>
      <c r="B119" s="1"/>
      <c r="C119" s="1"/>
      <c r="D119" s="1"/>
      <c r="E119" s="1"/>
      <c r="F119" s="1"/>
      <c r="G119" s="1"/>
      <c r="H119" s="1"/>
      <c r="I119" s="2"/>
      <c r="J119" s="1"/>
      <c r="K119" s="2"/>
      <c r="L119" s="1"/>
      <c r="M119" s="2"/>
      <c r="N119" s="2"/>
      <c r="O119" s="2"/>
      <c r="P119" s="2"/>
      <c r="Q119" s="2"/>
      <c r="R119" s="2"/>
      <c r="S119" s="2"/>
      <c r="T119" s="2"/>
      <c r="U119" s="2"/>
      <c r="V119" s="2"/>
      <c r="W119" s="1"/>
      <c r="X119" s="1"/>
      <c r="Y119" s="2"/>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row>
    <row r="120" ht="12.75" customHeight="1">
      <c r="A120" s="1"/>
      <c r="B120" s="1"/>
      <c r="C120" s="1"/>
      <c r="D120" s="1"/>
      <c r="E120" s="1"/>
      <c r="F120" s="1"/>
      <c r="G120" s="1"/>
      <c r="H120" s="1"/>
      <c r="I120" s="2"/>
      <c r="J120" s="1"/>
      <c r="K120" s="2"/>
      <c r="L120" s="1"/>
      <c r="M120" s="2"/>
      <c r="N120" s="2"/>
      <c r="O120" s="2"/>
      <c r="P120" s="2"/>
      <c r="Q120" s="2"/>
      <c r="R120" s="2"/>
      <c r="S120" s="2"/>
      <c r="T120" s="2"/>
      <c r="U120" s="2"/>
      <c r="V120" s="2"/>
      <c r="W120" s="1"/>
      <c r="X120" s="1"/>
      <c r="Y120" s="2"/>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row>
    <row r="121" ht="12.75" customHeight="1">
      <c r="A121" s="1"/>
      <c r="B121" s="1"/>
      <c r="C121" s="1"/>
      <c r="D121" s="1"/>
      <c r="E121" s="1"/>
      <c r="F121" s="1"/>
      <c r="G121" s="1"/>
      <c r="H121" s="1"/>
      <c r="I121" s="2"/>
      <c r="J121" s="1"/>
      <c r="K121" s="2"/>
      <c r="L121" s="1"/>
      <c r="M121" s="2"/>
      <c r="N121" s="2"/>
      <c r="O121" s="2"/>
      <c r="P121" s="2"/>
      <c r="Q121" s="2"/>
      <c r="R121" s="2"/>
      <c r="S121" s="2"/>
      <c r="T121" s="2"/>
      <c r="U121" s="2"/>
      <c r="V121" s="2"/>
      <c r="W121" s="1"/>
      <c r="X121" s="1"/>
      <c r="Y121" s="2"/>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row>
    <row r="122" ht="12.75" customHeight="1">
      <c r="A122" s="1"/>
      <c r="B122" s="1"/>
      <c r="C122" s="1"/>
      <c r="D122" s="1"/>
      <c r="E122" s="1"/>
      <c r="F122" s="1"/>
      <c r="G122" s="1"/>
      <c r="H122" s="1"/>
      <c r="I122" s="2"/>
      <c r="J122" s="1"/>
      <c r="K122" s="2"/>
      <c r="L122" s="1"/>
      <c r="M122" s="2"/>
      <c r="N122" s="2"/>
      <c r="O122" s="2"/>
      <c r="P122" s="2"/>
      <c r="Q122" s="2"/>
      <c r="R122" s="2"/>
      <c r="S122" s="2"/>
      <c r="T122" s="2"/>
      <c r="U122" s="2"/>
      <c r="V122" s="2"/>
      <c r="W122" s="1"/>
      <c r="X122" s="1"/>
      <c r="Y122" s="2"/>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row>
    <row r="123" ht="12.75" customHeight="1">
      <c r="A123" s="1"/>
      <c r="B123" s="1"/>
      <c r="C123" s="1"/>
      <c r="D123" s="1"/>
      <c r="E123" s="1"/>
      <c r="F123" s="1"/>
      <c r="G123" s="1"/>
      <c r="H123" s="1"/>
      <c r="I123" s="2"/>
      <c r="J123" s="1"/>
      <c r="K123" s="2"/>
      <c r="L123" s="1"/>
      <c r="M123" s="2"/>
      <c r="N123" s="2"/>
      <c r="O123" s="2"/>
      <c r="P123" s="2"/>
      <c r="Q123" s="2"/>
      <c r="R123" s="2"/>
      <c r="S123" s="2"/>
      <c r="T123" s="2"/>
      <c r="U123" s="2"/>
      <c r="V123" s="2"/>
      <c r="W123" s="1"/>
      <c r="X123" s="1"/>
      <c r="Y123" s="2"/>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row>
    <row r="124" ht="12.75" customHeight="1">
      <c r="A124" s="1"/>
      <c r="B124" s="1"/>
      <c r="C124" s="1"/>
      <c r="D124" s="1"/>
      <c r="E124" s="1"/>
      <c r="F124" s="1"/>
      <c r="G124" s="1"/>
      <c r="H124" s="1"/>
      <c r="I124" s="2"/>
      <c r="J124" s="1"/>
      <c r="K124" s="2"/>
      <c r="L124" s="1"/>
      <c r="M124" s="2"/>
      <c r="N124" s="2"/>
      <c r="O124" s="2"/>
      <c r="P124" s="2"/>
      <c r="Q124" s="2"/>
      <c r="R124" s="2"/>
      <c r="S124" s="2"/>
      <c r="T124" s="2"/>
      <c r="U124" s="2"/>
      <c r="V124" s="2"/>
      <c r="W124" s="1"/>
      <c r="X124" s="1"/>
      <c r="Y124" s="2"/>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row>
    <row r="125" ht="12.75" customHeight="1">
      <c r="A125" s="1"/>
      <c r="B125" s="1"/>
      <c r="C125" s="1"/>
      <c r="D125" s="1"/>
      <c r="E125" s="1"/>
      <c r="F125" s="1"/>
      <c r="G125" s="1"/>
      <c r="H125" s="1"/>
      <c r="I125" s="2"/>
      <c r="J125" s="1"/>
      <c r="K125" s="2"/>
      <c r="L125" s="1"/>
      <c r="M125" s="2"/>
      <c r="N125" s="2"/>
      <c r="O125" s="2"/>
      <c r="P125" s="2"/>
      <c r="Q125" s="2"/>
      <c r="R125" s="2"/>
      <c r="S125" s="2"/>
      <c r="T125" s="2"/>
      <c r="U125" s="2"/>
      <c r="V125" s="2"/>
      <c r="W125" s="1"/>
      <c r="X125" s="1"/>
      <c r="Y125" s="2"/>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row>
    <row r="126" ht="12.75" customHeight="1">
      <c r="A126" s="1"/>
      <c r="B126" s="1"/>
      <c r="C126" s="1"/>
      <c r="D126" s="1"/>
      <c r="E126" s="1"/>
      <c r="F126" s="1"/>
      <c r="G126" s="1"/>
      <c r="H126" s="1"/>
      <c r="I126" s="2"/>
      <c r="J126" s="1"/>
      <c r="K126" s="2"/>
      <c r="L126" s="1"/>
      <c r="M126" s="2"/>
      <c r="N126" s="2"/>
      <c r="O126" s="2"/>
      <c r="P126" s="2"/>
      <c r="Q126" s="2"/>
      <c r="R126" s="2"/>
      <c r="S126" s="2"/>
      <c r="T126" s="2"/>
      <c r="U126" s="2"/>
      <c r="V126" s="2"/>
      <c r="W126" s="1"/>
      <c r="X126" s="1"/>
      <c r="Y126" s="2"/>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row>
    <row r="127" ht="12.75" customHeight="1">
      <c r="A127" s="1"/>
      <c r="B127" s="1"/>
      <c r="C127" s="1"/>
      <c r="D127" s="1"/>
      <c r="E127" s="1"/>
      <c r="F127" s="1"/>
      <c r="G127" s="1"/>
      <c r="H127" s="1"/>
      <c r="I127" s="2"/>
      <c r="J127" s="1"/>
      <c r="K127" s="2"/>
      <c r="L127" s="1"/>
      <c r="M127" s="2"/>
      <c r="N127" s="2"/>
      <c r="O127" s="2"/>
      <c r="P127" s="2"/>
      <c r="Q127" s="2"/>
      <c r="R127" s="2"/>
      <c r="S127" s="2"/>
      <c r="T127" s="2"/>
      <c r="U127" s="2"/>
      <c r="V127" s="2"/>
      <c r="W127" s="1"/>
      <c r="X127" s="1"/>
      <c r="Y127" s="2"/>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row>
    <row r="128" ht="12.75" customHeight="1">
      <c r="A128" s="1"/>
      <c r="B128" s="1"/>
      <c r="C128" s="1"/>
      <c r="D128" s="1"/>
      <c r="E128" s="1"/>
      <c r="F128" s="1"/>
      <c r="G128" s="1"/>
      <c r="H128" s="1"/>
      <c r="I128" s="2"/>
      <c r="J128" s="1"/>
      <c r="K128" s="2"/>
      <c r="L128" s="1"/>
      <c r="M128" s="2"/>
      <c r="N128" s="2"/>
      <c r="O128" s="2"/>
      <c r="P128" s="2"/>
      <c r="Q128" s="2"/>
      <c r="R128" s="2"/>
      <c r="S128" s="2"/>
      <c r="T128" s="2"/>
      <c r="U128" s="2"/>
      <c r="V128" s="2"/>
      <c r="W128" s="1"/>
      <c r="X128" s="1"/>
      <c r="Y128" s="2"/>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row>
    <row r="129" ht="12.75" customHeight="1">
      <c r="A129" s="1"/>
      <c r="B129" s="1"/>
      <c r="C129" s="1"/>
      <c r="D129" s="1"/>
      <c r="E129" s="1"/>
      <c r="F129" s="1"/>
      <c r="G129" s="1"/>
      <c r="H129" s="1"/>
      <c r="I129" s="2"/>
      <c r="J129" s="1"/>
      <c r="K129" s="2"/>
      <c r="L129" s="1"/>
      <c r="M129" s="2"/>
      <c r="N129" s="2"/>
      <c r="O129" s="2"/>
      <c r="P129" s="2"/>
      <c r="Q129" s="2"/>
      <c r="R129" s="2"/>
      <c r="S129" s="2"/>
      <c r="T129" s="2"/>
      <c r="U129" s="2"/>
      <c r="V129" s="2"/>
      <c r="W129" s="1"/>
      <c r="X129" s="1"/>
      <c r="Y129" s="2"/>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row>
    <row r="130" ht="12.75" customHeight="1">
      <c r="A130" s="1"/>
      <c r="B130" s="1"/>
      <c r="C130" s="1"/>
      <c r="D130" s="1"/>
      <c r="E130" s="1"/>
      <c r="F130" s="1"/>
      <c r="G130" s="1"/>
      <c r="H130" s="1"/>
      <c r="I130" s="2"/>
      <c r="J130" s="1"/>
      <c r="K130" s="2"/>
      <c r="L130" s="1"/>
      <c r="M130" s="2"/>
      <c r="N130" s="2"/>
      <c r="O130" s="2"/>
      <c r="P130" s="2"/>
      <c r="Q130" s="2"/>
      <c r="R130" s="2"/>
      <c r="S130" s="2"/>
      <c r="T130" s="2"/>
      <c r="U130" s="2"/>
      <c r="V130" s="2"/>
      <c r="W130" s="1"/>
      <c r="X130" s="1"/>
      <c r="Y130" s="2"/>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row>
    <row r="131" ht="12.75" customHeight="1">
      <c r="A131" s="1"/>
      <c r="B131" s="1"/>
      <c r="C131" s="1"/>
      <c r="D131" s="1"/>
      <c r="E131" s="1"/>
      <c r="F131" s="1"/>
      <c r="G131" s="1"/>
      <c r="H131" s="1"/>
      <c r="I131" s="2"/>
      <c r="J131" s="1"/>
      <c r="K131" s="2"/>
      <c r="L131" s="1"/>
      <c r="M131" s="2"/>
      <c r="N131" s="2"/>
      <c r="O131" s="2"/>
      <c r="P131" s="2"/>
      <c r="Q131" s="2"/>
      <c r="R131" s="2"/>
      <c r="S131" s="2"/>
      <c r="T131" s="2"/>
      <c r="U131" s="2"/>
      <c r="V131" s="2"/>
      <c r="W131" s="1"/>
      <c r="X131" s="1"/>
      <c r="Y131" s="2"/>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row>
    <row r="132" ht="12.75" customHeight="1">
      <c r="A132" s="1"/>
      <c r="B132" s="1"/>
      <c r="C132" s="1"/>
      <c r="D132" s="1"/>
      <c r="E132" s="1"/>
      <c r="F132" s="1"/>
      <c r="G132" s="1"/>
      <c r="H132" s="1"/>
      <c r="I132" s="2"/>
      <c r="J132" s="1"/>
      <c r="K132" s="2"/>
      <c r="L132" s="1"/>
      <c r="M132" s="2"/>
      <c r="N132" s="2"/>
      <c r="O132" s="2"/>
      <c r="P132" s="2"/>
      <c r="Q132" s="2"/>
      <c r="R132" s="2"/>
      <c r="S132" s="2"/>
      <c r="T132" s="2"/>
      <c r="U132" s="2"/>
      <c r="V132" s="2"/>
      <c r="W132" s="1"/>
      <c r="X132" s="1"/>
      <c r="Y132" s="2"/>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row>
    <row r="133" ht="12.75" customHeight="1">
      <c r="A133" s="1"/>
      <c r="B133" s="1"/>
      <c r="C133" s="1"/>
      <c r="D133" s="1"/>
      <c r="E133" s="1"/>
      <c r="F133" s="1"/>
      <c r="G133" s="1"/>
      <c r="H133" s="1"/>
      <c r="I133" s="2"/>
      <c r="J133" s="1"/>
      <c r="K133" s="2"/>
      <c r="L133" s="1"/>
      <c r="M133" s="2"/>
      <c r="N133" s="2"/>
      <c r="O133" s="2"/>
      <c r="P133" s="2"/>
      <c r="Q133" s="2"/>
      <c r="R133" s="2"/>
      <c r="S133" s="2"/>
      <c r="T133" s="2"/>
      <c r="U133" s="2"/>
      <c r="V133" s="2"/>
      <c r="W133" s="1"/>
      <c r="X133" s="1"/>
      <c r="Y133" s="2"/>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row>
    <row r="134" ht="12.75" customHeight="1">
      <c r="A134" s="1"/>
      <c r="B134" s="1"/>
      <c r="C134" s="1"/>
      <c r="D134" s="1"/>
      <c r="E134" s="1"/>
      <c r="F134" s="1"/>
      <c r="G134" s="1"/>
      <c r="H134" s="1"/>
      <c r="I134" s="2"/>
      <c r="J134" s="1"/>
      <c r="K134" s="2"/>
      <c r="L134" s="1"/>
      <c r="M134" s="2"/>
      <c r="N134" s="2"/>
      <c r="O134" s="2"/>
      <c r="P134" s="2"/>
      <c r="Q134" s="2"/>
      <c r="R134" s="2"/>
      <c r="S134" s="2"/>
      <c r="T134" s="2"/>
      <c r="U134" s="2"/>
      <c r="V134" s="2"/>
      <c r="W134" s="1"/>
      <c r="X134" s="1"/>
      <c r="Y134" s="2"/>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row>
    <row r="135" ht="12.75" customHeight="1">
      <c r="A135" s="1"/>
      <c r="B135" s="1"/>
      <c r="C135" s="1"/>
      <c r="D135" s="1"/>
      <c r="E135" s="1"/>
      <c r="F135" s="1"/>
      <c r="G135" s="1"/>
      <c r="H135" s="1"/>
      <c r="I135" s="2"/>
      <c r="J135" s="1"/>
      <c r="K135" s="2"/>
      <c r="L135" s="1"/>
      <c r="M135" s="2"/>
      <c r="N135" s="2"/>
      <c r="O135" s="2"/>
      <c r="P135" s="2"/>
      <c r="Q135" s="2"/>
      <c r="R135" s="2"/>
      <c r="S135" s="2"/>
      <c r="T135" s="2"/>
      <c r="U135" s="2"/>
      <c r="V135" s="2"/>
      <c r="W135" s="1"/>
      <c r="X135" s="1"/>
      <c r="Y135" s="2"/>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row>
    <row r="136" ht="12.75" customHeight="1">
      <c r="A136" s="1"/>
      <c r="B136" s="1"/>
      <c r="C136" s="1"/>
      <c r="D136" s="1"/>
      <c r="E136" s="1"/>
      <c r="F136" s="1"/>
      <c r="G136" s="1"/>
      <c r="H136" s="1"/>
      <c r="I136" s="2"/>
      <c r="J136" s="1"/>
      <c r="K136" s="2"/>
      <c r="L136" s="1"/>
      <c r="M136" s="2"/>
      <c r="N136" s="2"/>
      <c r="O136" s="2"/>
      <c r="P136" s="2"/>
      <c r="Q136" s="2"/>
      <c r="R136" s="2"/>
      <c r="S136" s="2"/>
      <c r="T136" s="2"/>
      <c r="U136" s="2"/>
      <c r="V136" s="2"/>
      <c r="W136" s="1"/>
      <c r="X136" s="1"/>
      <c r="Y136" s="2"/>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row>
    <row r="137" ht="12.75" customHeight="1">
      <c r="A137" s="1"/>
      <c r="B137" s="1"/>
      <c r="C137" s="1"/>
      <c r="D137" s="1"/>
      <c r="E137" s="1"/>
      <c r="F137" s="1"/>
      <c r="G137" s="1"/>
      <c r="H137" s="1"/>
      <c r="I137" s="2"/>
      <c r="J137" s="1"/>
      <c r="K137" s="2"/>
      <c r="L137" s="1"/>
      <c r="M137" s="2"/>
      <c r="N137" s="2"/>
      <c r="O137" s="2"/>
      <c r="P137" s="2"/>
      <c r="Q137" s="2"/>
      <c r="R137" s="2"/>
      <c r="S137" s="2"/>
      <c r="T137" s="2"/>
      <c r="U137" s="2"/>
      <c r="V137" s="2"/>
      <c r="W137" s="1"/>
      <c r="X137" s="1"/>
      <c r="Y137" s="2"/>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row>
    <row r="138" ht="12.75" customHeight="1">
      <c r="A138" s="1"/>
      <c r="B138" s="1"/>
      <c r="C138" s="1"/>
      <c r="D138" s="1"/>
      <c r="E138" s="1"/>
      <c r="F138" s="1"/>
      <c r="G138" s="1"/>
      <c r="H138" s="1"/>
      <c r="I138" s="2"/>
      <c r="J138" s="1"/>
      <c r="K138" s="2"/>
      <c r="L138" s="1"/>
      <c r="M138" s="2"/>
      <c r="N138" s="2"/>
      <c r="O138" s="2"/>
      <c r="P138" s="2"/>
      <c r="Q138" s="2"/>
      <c r="R138" s="2"/>
      <c r="S138" s="2"/>
      <c r="T138" s="2"/>
      <c r="U138" s="2"/>
      <c r="V138" s="2"/>
      <c r="W138" s="1"/>
      <c r="X138" s="1"/>
      <c r="Y138" s="2"/>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row>
    <row r="139" ht="12.75" customHeight="1">
      <c r="A139" s="1"/>
      <c r="B139" s="1"/>
      <c r="C139" s="1"/>
      <c r="D139" s="1"/>
      <c r="E139" s="1"/>
      <c r="F139" s="1"/>
      <c r="G139" s="1"/>
      <c r="H139" s="1"/>
      <c r="I139" s="2"/>
      <c r="J139" s="1"/>
      <c r="K139" s="2"/>
      <c r="L139" s="1"/>
      <c r="M139" s="2"/>
      <c r="N139" s="2"/>
      <c r="O139" s="2"/>
      <c r="P139" s="2"/>
      <c r="Q139" s="2"/>
      <c r="R139" s="2"/>
      <c r="S139" s="2"/>
      <c r="T139" s="2"/>
      <c r="U139" s="2"/>
      <c r="V139" s="2"/>
      <c r="W139" s="1"/>
      <c r="X139" s="1"/>
      <c r="Y139" s="2"/>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row>
    <row r="140" ht="12.75" customHeight="1">
      <c r="A140" s="1"/>
      <c r="B140" s="1"/>
      <c r="C140" s="1"/>
      <c r="D140" s="1"/>
      <c r="E140" s="1"/>
      <c r="F140" s="1"/>
      <c r="G140" s="1"/>
      <c r="H140" s="1"/>
      <c r="I140" s="2"/>
      <c r="J140" s="1"/>
      <c r="K140" s="2"/>
      <c r="L140" s="1"/>
      <c r="M140" s="2"/>
      <c r="N140" s="2"/>
      <c r="O140" s="2"/>
      <c r="P140" s="2"/>
      <c r="Q140" s="2"/>
      <c r="R140" s="2"/>
      <c r="S140" s="2"/>
      <c r="T140" s="2"/>
      <c r="U140" s="2"/>
      <c r="V140" s="2"/>
      <c r="W140" s="1"/>
      <c r="X140" s="1"/>
      <c r="Y140" s="2"/>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row>
    <row r="141" ht="12.75" customHeight="1">
      <c r="A141" s="1"/>
      <c r="B141" s="1"/>
      <c r="C141" s="1"/>
      <c r="D141" s="1"/>
      <c r="E141" s="1"/>
      <c r="F141" s="1"/>
      <c r="G141" s="1"/>
      <c r="H141" s="1"/>
      <c r="I141" s="2"/>
      <c r="J141" s="1"/>
      <c r="K141" s="2"/>
      <c r="L141" s="1"/>
      <c r="M141" s="2"/>
      <c r="N141" s="2"/>
      <c r="O141" s="2"/>
      <c r="P141" s="2"/>
      <c r="Q141" s="2"/>
      <c r="R141" s="2"/>
      <c r="S141" s="2"/>
      <c r="T141" s="2"/>
      <c r="U141" s="2"/>
      <c r="V141" s="2"/>
      <c r="W141" s="1"/>
      <c r="X141" s="1"/>
      <c r="Y141" s="2"/>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row>
    <row r="142" ht="12.75" customHeight="1">
      <c r="A142" s="1"/>
      <c r="B142" s="1"/>
      <c r="C142" s="1"/>
      <c r="D142" s="1"/>
      <c r="E142" s="1"/>
      <c r="F142" s="1"/>
      <c r="G142" s="1"/>
      <c r="H142" s="1"/>
      <c r="I142" s="2"/>
      <c r="J142" s="1"/>
      <c r="K142" s="2"/>
      <c r="L142" s="1"/>
      <c r="M142" s="2"/>
      <c r="N142" s="2"/>
      <c r="O142" s="2"/>
      <c r="P142" s="2"/>
      <c r="Q142" s="2"/>
      <c r="R142" s="2"/>
      <c r="S142" s="2"/>
      <c r="T142" s="2"/>
      <c r="U142" s="2"/>
      <c r="V142" s="2"/>
      <c r="W142" s="1"/>
      <c r="X142" s="1"/>
      <c r="Y142" s="2"/>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row>
    <row r="143" ht="12.75" customHeight="1">
      <c r="A143" s="1"/>
      <c r="B143" s="1"/>
      <c r="C143" s="1"/>
      <c r="D143" s="1"/>
      <c r="E143" s="1"/>
      <c r="F143" s="1"/>
      <c r="G143" s="1"/>
      <c r="H143" s="1"/>
      <c r="I143" s="2"/>
      <c r="J143" s="1"/>
      <c r="K143" s="2"/>
      <c r="L143" s="1"/>
      <c r="M143" s="2"/>
      <c r="N143" s="2"/>
      <c r="O143" s="2"/>
      <c r="P143" s="2"/>
      <c r="Q143" s="2"/>
      <c r="R143" s="2"/>
      <c r="S143" s="2"/>
      <c r="T143" s="2"/>
      <c r="U143" s="2"/>
      <c r="V143" s="2"/>
      <c r="W143" s="1"/>
      <c r="X143" s="1"/>
      <c r="Y143" s="2"/>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row>
    <row r="144" ht="12.75" customHeight="1">
      <c r="A144" s="1"/>
      <c r="B144" s="1"/>
      <c r="C144" s="1"/>
      <c r="D144" s="1"/>
      <c r="E144" s="1"/>
      <c r="F144" s="1"/>
      <c r="G144" s="1"/>
      <c r="H144" s="1"/>
      <c r="I144" s="2"/>
      <c r="J144" s="1"/>
      <c r="K144" s="2"/>
      <c r="L144" s="1"/>
      <c r="M144" s="2"/>
      <c r="N144" s="2"/>
      <c r="O144" s="2"/>
      <c r="P144" s="2"/>
      <c r="Q144" s="2"/>
      <c r="R144" s="2"/>
      <c r="S144" s="2"/>
      <c r="T144" s="2"/>
      <c r="U144" s="2"/>
      <c r="V144" s="2"/>
      <c r="W144" s="1"/>
      <c r="X144" s="1"/>
      <c r="Y144" s="2"/>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row>
    <row r="145" ht="12.75" customHeight="1">
      <c r="A145" s="1"/>
      <c r="B145" s="1"/>
      <c r="C145" s="1"/>
      <c r="D145" s="1"/>
      <c r="E145" s="1"/>
      <c r="F145" s="1"/>
      <c r="G145" s="1"/>
      <c r="H145" s="1"/>
      <c r="I145" s="2"/>
      <c r="J145" s="1"/>
      <c r="K145" s="2"/>
      <c r="L145" s="1"/>
      <c r="M145" s="2"/>
      <c r="N145" s="2"/>
      <c r="O145" s="2"/>
      <c r="P145" s="2"/>
      <c r="Q145" s="2"/>
      <c r="R145" s="2"/>
      <c r="S145" s="2"/>
      <c r="T145" s="2"/>
      <c r="U145" s="2"/>
      <c r="V145" s="2"/>
      <c r="W145" s="1"/>
      <c r="X145" s="1"/>
      <c r="Y145" s="2"/>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row>
    <row r="146" ht="12.75" customHeight="1">
      <c r="A146" s="1"/>
      <c r="B146" s="1"/>
      <c r="C146" s="1"/>
      <c r="D146" s="1"/>
      <c r="E146" s="1"/>
      <c r="F146" s="1"/>
      <c r="G146" s="1"/>
      <c r="H146" s="1"/>
      <c r="I146" s="2"/>
      <c r="J146" s="1"/>
      <c r="K146" s="2"/>
      <c r="L146" s="1"/>
      <c r="M146" s="2"/>
      <c r="N146" s="2"/>
      <c r="O146" s="2"/>
      <c r="P146" s="2"/>
      <c r="Q146" s="2"/>
      <c r="R146" s="2"/>
      <c r="S146" s="2"/>
      <c r="T146" s="2"/>
      <c r="U146" s="2"/>
      <c r="V146" s="2"/>
      <c r="W146" s="1"/>
      <c r="X146" s="1"/>
      <c r="Y146" s="2"/>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row>
    <row r="147" ht="12.75" customHeight="1">
      <c r="A147" s="1"/>
      <c r="B147" s="1"/>
      <c r="C147" s="1"/>
      <c r="D147" s="1"/>
      <c r="E147" s="1"/>
      <c r="F147" s="1"/>
      <c r="G147" s="1"/>
      <c r="H147" s="1"/>
      <c r="I147" s="2"/>
      <c r="J147" s="1"/>
      <c r="K147" s="2"/>
      <c r="L147" s="1"/>
      <c r="M147" s="2"/>
      <c r="N147" s="2"/>
      <c r="O147" s="2"/>
      <c r="P147" s="2"/>
      <c r="Q147" s="2"/>
      <c r="R147" s="2"/>
      <c r="S147" s="2"/>
      <c r="T147" s="2"/>
      <c r="U147" s="2"/>
      <c r="V147" s="2"/>
      <c r="W147" s="1"/>
      <c r="X147" s="1"/>
      <c r="Y147" s="2"/>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row>
    <row r="148" ht="12.75" customHeight="1">
      <c r="A148" s="1"/>
      <c r="B148" s="1"/>
      <c r="C148" s="1"/>
      <c r="D148" s="1"/>
      <c r="E148" s="1"/>
      <c r="F148" s="1"/>
      <c r="G148" s="1"/>
      <c r="H148" s="1"/>
      <c r="I148" s="2"/>
      <c r="J148" s="1"/>
      <c r="K148" s="2"/>
      <c r="L148" s="1"/>
      <c r="M148" s="2"/>
      <c r="N148" s="2"/>
      <c r="O148" s="2"/>
      <c r="P148" s="2"/>
      <c r="Q148" s="2"/>
      <c r="R148" s="2"/>
      <c r="S148" s="2"/>
      <c r="T148" s="2"/>
      <c r="U148" s="2"/>
      <c r="V148" s="2"/>
      <c r="W148" s="1"/>
      <c r="X148" s="1"/>
      <c r="Y148" s="2"/>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row>
    <row r="149" ht="12.75" customHeight="1">
      <c r="A149" s="1"/>
      <c r="B149" s="1"/>
      <c r="C149" s="1"/>
      <c r="D149" s="1"/>
      <c r="E149" s="1"/>
      <c r="F149" s="1"/>
      <c r="G149" s="1"/>
      <c r="H149" s="1"/>
      <c r="I149" s="2"/>
      <c r="J149" s="1"/>
      <c r="K149" s="2"/>
      <c r="L149" s="1"/>
      <c r="M149" s="2"/>
      <c r="N149" s="2"/>
      <c r="O149" s="2"/>
      <c r="P149" s="2"/>
      <c r="Q149" s="2"/>
      <c r="R149" s="2"/>
      <c r="S149" s="2"/>
      <c r="T149" s="2"/>
      <c r="U149" s="2"/>
      <c r="V149" s="2"/>
      <c r="W149" s="1"/>
      <c r="X149" s="1"/>
      <c r="Y149" s="2"/>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row>
    <row r="150" ht="12.75" customHeight="1">
      <c r="A150" s="1"/>
      <c r="B150" s="1"/>
      <c r="C150" s="1"/>
      <c r="D150" s="1"/>
      <c r="E150" s="1"/>
      <c r="F150" s="1"/>
      <c r="G150" s="1"/>
      <c r="H150" s="1"/>
      <c r="I150" s="2"/>
      <c r="J150" s="1"/>
      <c r="K150" s="2"/>
      <c r="L150" s="1"/>
      <c r="M150" s="2"/>
      <c r="N150" s="2"/>
      <c r="O150" s="2"/>
      <c r="P150" s="2"/>
      <c r="Q150" s="2"/>
      <c r="R150" s="2"/>
      <c r="S150" s="2"/>
      <c r="T150" s="2"/>
      <c r="U150" s="2"/>
      <c r="V150" s="2"/>
      <c r="W150" s="1"/>
      <c r="X150" s="1"/>
      <c r="Y150" s="2"/>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row>
    <row r="151" ht="12.75" customHeight="1">
      <c r="A151" s="1"/>
      <c r="B151" s="1"/>
      <c r="C151" s="1"/>
      <c r="D151" s="1"/>
      <c r="E151" s="1"/>
      <c r="F151" s="1"/>
      <c r="G151" s="1"/>
      <c r="H151" s="1"/>
      <c r="I151" s="2"/>
      <c r="J151" s="1"/>
      <c r="K151" s="2"/>
      <c r="L151" s="1"/>
      <c r="M151" s="2"/>
      <c r="N151" s="2"/>
      <c r="O151" s="2"/>
      <c r="P151" s="2"/>
      <c r="Q151" s="2"/>
      <c r="R151" s="2"/>
      <c r="S151" s="2"/>
      <c r="T151" s="2"/>
      <c r="U151" s="2"/>
      <c r="V151" s="2"/>
      <c r="W151" s="1"/>
      <c r="X151" s="1"/>
      <c r="Y151" s="2"/>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row>
    <row r="152" ht="12.75" customHeight="1">
      <c r="A152" s="1"/>
      <c r="B152" s="1"/>
      <c r="C152" s="1"/>
      <c r="D152" s="1"/>
      <c r="E152" s="1"/>
      <c r="F152" s="1"/>
      <c r="G152" s="1"/>
      <c r="H152" s="1"/>
      <c r="I152" s="2"/>
      <c r="J152" s="1"/>
      <c r="K152" s="2"/>
      <c r="L152" s="1"/>
      <c r="M152" s="2"/>
      <c r="N152" s="2"/>
      <c r="O152" s="2"/>
      <c r="P152" s="2"/>
      <c r="Q152" s="2"/>
      <c r="R152" s="2"/>
      <c r="S152" s="2"/>
      <c r="T152" s="2"/>
      <c r="U152" s="2"/>
      <c r="V152" s="2"/>
      <c r="W152" s="1"/>
      <c r="X152" s="1"/>
      <c r="Y152" s="2"/>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row>
    <row r="153" ht="12.75" customHeight="1">
      <c r="A153" s="1"/>
      <c r="B153" s="1"/>
      <c r="C153" s="1"/>
      <c r="D153" s="1"/>
      <c r="E153" s="1"/>
      <c r="F153" s="1"/>
      <c r="G153" s="1"/>
      <c r="H153" s="1"/>
      <c r="I153" s="2"/>
      <c r="J153" s="1"/>
      <c r="K153" s="2"/>
      <c r="L153" s="1"/>
      <c r="M153" s="2"/>
      <c r="N153" s="2"/>
      <c r="O153" s="2"/>
      <c r="P153" s="2"/>
      <c r="Q153" s="2"/>
      <c r="R153" s="2"/>
      <c r="S153" s="2"/>
      <c r="T153" s="2"/>
      <c r="U153" s="2"/>
      <c r="V153" s="2"/>
      <c r="W153" s="1"/>
      <c r="X153" s="1"/>
      <c r="Y153" s="2"/>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row>
    <row r="154" ht="12.75" customHeight="1">
      <c r="A154" s="1"/>
      <c r="B154" s="1"/>
      <c r="C154" s="1"/>
      <c r="D154" s="1"/>
      <c r="E154" s="1"/>
      <c r="F154" s="1"/>
      <c r="G154" s="1"/>
      <c r="H154" s="1"/>
      <c r="I154" s="2"/>
      <c r="J154" s="1"/>
      <c r="K154" s="2"/>
      <c r="L154" s="1"/>
      <c r="M154" s="2"/>
      <c r="N154" s="2"/>
      <c r="O154" s="2"/>
      <c r="P154" s="2"/>
      <c r="Q154" s="2"/>
      <c r="R154" s="2"/>
      <c r="S154" s="2"/>
      <c r="T154" s="2"/>
      <c r="U154" s="2"/>
      <c r="V154" s="2"/>
      <c r="W154" s="1"/>
      <c r="X154" s="1"/>
      <c r="Y154" s="2"/>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row>
    <row r="155" ht="12.75" customHeight="1">
      <c r="A155" s="1"/>
      <c r="B155" s="1"/>
      <c r="C155" s="1"/>
      <c r="D155" s="1"/>
      <c r="E155" s="1"/>
      <c r="F155" s="1"/>
      <c r="G155" s="1"/>
      <c r="H155" s="1"/>
      <c r="I155" s="2"/>
      <c r="J155" s="1"/>
      <c r="K155" s="2"/>
      <c r="L155" s="1"/>
      <c r="M155" s="2"/>
      <c r="N155" s="2"/>
      <c r="O155" s="2"/>
      <c r="P155" s="2"/>
      <c r="Q155" s="2"/>
      <c r="R155" s="2"/>
      <c r="S155" s="2"/>
      <c r="T155" s="2"/>
      <c r="U155" s="2"/>
      <c r="V155" s="2"/>
      <c r="W155" s="1"/>
      <c r="X155" s="1"/>
      <c r="Y155" s="2"/>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row>
    <row r="156" ht="12.75" customHeight="1">
      <c r="A156" s="1"/>
      <c r="B156" s="1"/>
      <c r="C156" s="1"/>
      <c r="D156" s="1"/>
      <c r="E156" s="1"/>
      <c r="F156" s="1"/>
      <c r="G156" s="1"/>
      <c r="H156" s="1"/>
      <c r="I156" s="2"/>
      <c r="J156" s="1"/>
      <c r="K156" s="2"/>
      <c r="L156" s="1"/>
      <c r="M156" s="2"/>
      <c r="N156" s="2"/>
      <c r="O156" s="2"/>
      <c r="P156" s="2"/>
      <c r="Q156" s="2"/>
      <c r="R156" s="2"/>
      <c r="S156" s="2"/>
      <c r="T156" s="2"/>
      <c r="U156" s="2"/>
      <c r="V156" s="2"/>
      <c r="W156" s="1"/>
      <c r="X156" s="1"/>
      <c r="Y156" s="2"/>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row>
    <row r="157" ht="12.75" customHeight="1">
      <c r="A157" s="1"/>
      <c r="B157" s="1"/>
      <c r="C157" s="1"/>
      <c r="D157" s="1"/>
      <c r="E157" s="1"/>
      <c r="F157" s="1"/>
      <c r="G157" s="1"/>
      <c r="H157" s="1"/>
      <c r="I157" s="2"/>
      <c r="J157" s="1"/>
      <c r="K157" s="2"/>
      <c r="L157" s="1"/>
      <c r="M157" s="2"/>
      <c r="N157" s="2"/>
      <c r="O157" s="2"/>
      <c r="P157" s="2"/>
      <c r="Q157" s="2"/>
      <c r="R157" s="2"/>
      <c r="S157" s="2"/>
      <c r="T157" s="2"/>
      <c r="U157" s="2"/>
      <c r="V157" s="2"/>
      <c r="W157" s="1"/>
      <c r="X157" s="1"/>
      <c r="Y157" s="2"/>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row>
    <row r="158" ht="12.75" customHeight="1">
      <c r="A158" s="1"/>
      <c r="B158" s="1"/>
      <c r="C158" s="1"/>
      <c r="D158" s="1"/>
      <c r="E158" s="1"/>
      <c r="F158" s="1"/>
      <c r="G158" s="1"/>
      <c r="H158" s="1"/>
      <c r="I158" s="2"/>
      <c r="J158" s="1"/>
      <c r="K158" s="2"/>
      <c r="L158" s="1"/>
      <c r="M158" s="2"/>
      <c r="N158" s="2"/>
      <c r="O158" s="2"/>
      <c r="P158" s="2"/>
      <c r="Q158" s="2"/>
      <c r="R158" s="2"/>
      <c r="S158" s="2"/>
      <c r="T158" s="2"/>
      <c r="U158" s="2"/>
      <c r="V158" s="2"/>
      <c r="W158" s="1"/>
      <c r="X158" s="1"/>
      <c r="Y158" s="2"/>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row>
    <row r="159" ht="12.75" customHeight="1">
      <c r="A159" s="1"/>
      <c r="B159" s="1"/>
      <c r="C159" s="1"/>
      <c r="D159" s="1"/>
      <c r="E159" s="1"/>
      <c r="F159" s="1"/>
      <c r="G159" s="1"/>
      <c r="H159" s="1"/>
      <c r="I159" s="2"/>
      <c r="J159" s="1"/>
      <c r="K159" s="2"/>
      <c r="L159" s="1"/>
      <c r="M159" s="2"/>
      <c r="N159" s="2"/>
      <c r="O159" s="2"/>
      <c r="P159" s="2"/>
      <c r="Q159" s="2"/>
      <c r="R159" s="2"/>
      <c r="S159" s="2"/>
      <c r="T159" s="2"/>
      <c r="U159" s="2"/>
      <c r="V159" s="2"/>
      <c r="W159" s="1"/>
      <c r="X159" s="1"/>
      <c r="Y159" s="2"/>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row>
    <row r="160" ht="12.75" customHeight="1">
      <c r="A160" s="1"/>
      <c r="B160" s="1"/>
      <c r="C160" s="1"/>
      <c r="D160" s="1"/>
      <c r="E160" s="1"/>
      <c r="F160" s="1"/>
      <c r="G160" s="1"/>
      <c r="H160" s="1"/>
      <c r="I160" s="2"/>
      <c r="J160" s="1"/>
      <c r="K160" s="2"/>
      <c r="L160" s="1"/>
      <c r="M160" s="2"/>
      <c r="N160" s="2"/>
      <c r="O160" s="2"/>
      <c r="P160" s="2"/>
      <c r="Q160" s="2"/>
      <c r="R160" s="2"/>
      <c r="S160" s="2"/>
      <c r="T160" s="2"/>
      <c r="U160" s="2"/>
      <c r="V160" s="2"/>
      <c r="W160" s="1"/>
      <c r="X160" s="1"/>
      <c r="Y160" s="2"/>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row>
    <row r="161" ht="12.75" customHeight="1">
      <c r="A161" s="1"/>
      <c r="B161" s="1"/>
      <c r="C161" s="1"/>
      <c r="D161" s="1"/>
      <c r="E161" s="1"/>
      <c r="F161" s="1"/>
      <c r="G161" s="1"/>
      <c r="H161" s="1"/>
      <c r="I161" s="2"/>
      <c r="J161" s="1"/>
      <c r="K161" s="2"/>
      <c r="L161" s="1"/>
      <c r="M161" s="2"/>
      <c r="N161" s="2"/>
      <c r="O161" s="2"/>
      <c r="P161" s="2"/>
      <c r="Q161" s="2"/>
      <c r="R161" s="2"/>
      <c r="S161" s="2"/>
      <c r="T161" s="2"/>
      <c r="U161" s="2"/>
      <c r="V161" s="2"/>
      <c r="W161" s="1"/>
      <c r="X161" s="1"/>
      <c r="Y161" s="2"/>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row>
    <row r="162" ht="12.75" customHeight="1">
      <c r="A162" s="1"/>
      <c r="B162" s="1"/>
      <c r="C162" s="1"/>
      <c r="D162" s="1"/>
      <c r="E162" s="1"/>
      <c r="F162" s="1"/>
      <c r="G162" s="1"/>
      <c r="H162" s="1"/>
      <c r="I162" s="2"/>
      <c r="J162" s="1"/>
      <c r="K162" s="2"/>
      <c r="L162" s="1"/>
      <c r="M162" s="2"/>
      <c r="N162" s="2"/>
      <c r="O162" s="2"/>
      <c r="P162" s="2"/>
      <c r="Q162" s="2"/>
      <c r="R162" s="2"/>
      <c r="S162" s="2"/>
      <c r="T162" s="2"/>
      <c r="U162" s="2"/>
      <c r="V162" s="2"/>
      <c r="W162" s="1"/>
      <c r="X162" s="1"/>
      <c r="Y162" s="2"/>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row>
    <row r="163" ht="12.75" customHeight="1">
      <c r="A163" s="1"/>
      <c r="B163" s="1"/>
      <c r="C163" s="1"/>
      <c r="D163" s="1"/>
      <c r="E163" s="1"/>
      <c r="F163" s="1"/>
      <c r="G163" s="1"/>
      <c r="H163" s="1"/>
      <c r="I163" s="2"/>
      <c r="J163" s="1"/>
      <c r="K163" s="2"/>
      <c r="L163" s="1"/>
      <c r="M163" s="2"/>
      <c r="N163" s="2"/>
      <c r="O163" s="2"/>
      <c r="P163" s="2"/>
      <c r="Q163" s="2"/>
      <c r="R163" s="2"/>
      <c r="S163" s="2"/>
      <c r="T163" s="2"/>
      <c r="U163" s="2"/>
      <c r="V163" s="2"/>
      <c r="W163" s="1"/>
      <c r="X163" s="1"/>
      <c r="Y163" s="2"/>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row>
    <row r="164" ht="12.75" customHeight="1">
      <c r="A164" s="1"/>
      <c r="B164" s="1"/>
      <c r="C164" s="1"/>
      <c r="D164" s="1"/>
      <c r="E164" s="1"/>
      <c r="F164" s="1"/>
      <c r="G164" s="1"/>
      <c r="H164" s="1"/>
      <c r="I164" s="2"/>
      <c r="J164" s="1"/>
      <c r="K164" s="2"/>
      <c r="L164" s="1"/>
      <c r="M164" s="2"/>
      <c r="N164" s="2"/>
      <c r="O164" s="2"/>
      <c r="P164" s="2"/>
      <c r="Q164" s="2"/>
      <c r="R164" s="2"/>
      <c r="S164" s="2"/>
      <c r="T164" s="2"/>
      <c r="U164" s="2"/>
      <c r="V164" s="2"/>
      <c r="W164" s="1"/>
      <c r="X164" s="1"/>
      <c r="Y164" s="2"/>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row>
    <row r="165" ht="12.75" customHeight="1">
      <c r="A165" s="1"/>
      <c r="B165" s="1"/>
      <c r="C165" s="1"/>
      <c r="D165" s="1"/>
      <c r="E165" s="1"/>
      <c r="F165" s="1"/>
      <c r="G165" s="1"/>
      <c r="H165" s="1"/>
      <c r="I165" s="2"/>
      <c r="J165" s="1"/>
      <c r="K165" s="2"/>
      <c r="L165" s="1"/>
      <c r="M165" s="2"/>
      <c r="N165" s="2"/>
      <c r="O165" s="2"/>
      <c r="P165" s="2"/>
      <c r="Q165" s="2"/>
      <c r="R165" s="2"/>
      <c r="S165" s="2"/>
      <c r="T165" s="2"/>
      <c r="U165" s="2"/>
      <c r="V165" s="2"/>
      <c r="W165" s="1"/>
      <c r="X165" s="1"/>
      <c r="Y165" s="2"/>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row>
    <row r="166" ht="12.75" customHeight="1">
      <c r="A166" s="1"/>
      <c r="B166" s="1"/>
      <c r="C166" s="1"/>
      <c r="D166" s="1"/>
      <c r="E166" s="1"/>
      <c r="F166" s="1"/>
      <c r="G166" s="1"/>
      <c r="H166" s="1"/>
      <c r="I166" s="2"/>
      <c r="J166" s="1"/>
      <c r="K166" s="2"/>
      <c r="L166" s="1"/>
      <c r="M166" s="2"/>
      <c r="N166" s="2"/>
      <c r="O166" s="2"/>
      <c r="P166" s="2"/>
      <c r="Q166" s="2"/>
      <c r="R166" s="2"/>
      <c r="S166" s="2"/>
      <c r="T166" s="2"/>
      <c r="U166" s="2"/>
      <c r="V166" s="2"/>
      <c r="W166" s="1"/>
      <c r="X166" s="1"/>
      <c r="Y166" s="2"/>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row>
    <row r="167" ht="12.75" customHeight="1">
      <c r="A167" s="1"/>
      <c r="B167" s="1"/>
      <c r="C167" s="1"/>
      <c r="D167" s="1"/>
      <c r="E167" s="1"/>
      <c r="F167" s="1"/>
      <c r="G167" s="1"/>
      <c r="H167" s="1"/>
      <c r="I167" s="2"/>
      <c r="J167" s="1"/>
      <c r="K167" s="2"/>
      <c r="L167" s="1"/>
      <c r="M167" s="2"/>
      <c r="N167" s="2"/>
      <c r="O167" s="2"/>
      <c r="P167" s="2"/>
      <c r="Q167" s="2"/>
      <c r="R167" s="2"/>
      <c r="S167" s="2"/>
      <c r="T167" s="2"/>
      <c r="U167" s="2"/>
      <c r="V167" s="2"/>
      <c r="W167" s="1"/>
      <c r="X167" s="1"/>
      <c r="Y167" s="2"/>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row>
    <row r="168" ht="12.75" customHeight="1">
      <c r="A168" s="1"/>
      <c r="B168" s="1"/>
      <c r="C168" s="1"/>
      <c r="D168" s="1"/>
      <c r="E168" s="1"/>
      <c r="F168" s="1"/>
      <c r="G168" s="1"/>
      <c r="H168" s="1"/>
      <c r="I168" s="2"/>
      <c r="J168" s="1"/>
      <c r="K168" s="2"/>
      <c r="L168" s="1"/>
      <c r="M168" s="2"/>
      <c r="N168" s="2"/>
      <c r="O168" s="2"/>
      <c r="P168" s="2"/>
      <c r="Q168" s="2"/>
      <c r="R168" s="2"/>
      <c r="S168" s="2"/>
      <c r="T168" s="2"/>
      <c r="U168" s="2"/>
      <c r="V168" s="2"/>
      <c r="W168" s="1"/>
      <c r="X168" s="1"/>
      <c r="Y168" s="2"/>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row>
    <row r="169" ht="12.75" customHeight="1">
      <c r="A169" s="1"/>
      <c r="B169" s="1"/>
      <c r="C169" s="1"/>
      <c r="D169" s="1"/>
      <c r="E169" s="1"/>
      <c r="F169" s="1"/>
      <c r="G169" s="1"/>
      <c r="H169" s="1"/>
      <c r="I169" s="2"/>
      <c r="J169" s="1"/>
      <c r="K169" s="2"/>
      <c r="L169" s="1"/>
      <c r="M169" s="2"/>
      <c r="N169" s="2"/>
      <c r="O169" s="2"/>
      <c r="P169" s="2"/>
      <c r="Q169" s="2"/>
      <c r="R169" s="2"/>
      <c r="S169" s="2"/>
      <c r="T169" s="2"/>
      <c r="U169" s="2"/>
      <c r="V169" s="2"/>
      <c r="W169" s="1"/>
      <c r="X169" s="1"/>
      <c r="Y169" s="2"/>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row>
    <row r="170" ht="12.75" customHeight="1">
      <c r="A170" s="1"/>
      <c r="B170" s="1"/>
      <c r="C170" s="1"/>
      <c r="D170" s="1"/>
      <c r="E170" s="1"/>
      <c r="F170" s="1"/>
      <c r="G170" s="1"/>
      <c r="H170" s="1"/>
      <c r="I170" s="2"/>
      <c r="J170" s="1"/>
      <c r="K170" s="2"/>
      <c r="L170" s="1"/>
      <c r="M170" s="2"/>
      <c r="N170" s="2"/>
      <c r="O170" s="2"/>
      <c r="P170" s="2"/>
      <c r="Q170" s="2"/>
      <c r="R170" s="2"/>
      <c r="S170" s="2"/>
      <c r="T170" s="2"/>
      <c r="U170" s="2"/>
      <c r="V170" s="2"/>
      <c r="W170" s="1"/>
      <c r="X170" s="1"/>
      <c r="Y170" s="2"/>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row>
    <row r="171" ht="12.75" customHeight="1">
      <c r="A171" s="1"/>
      <c r="B171" s="1"/>
      <c r="C171" s="1"/>
      <c r="D171" s="1"/>
      <c r="E171" s="1"/>
      <c r="F171" s="1"/>
      <c r="G171" s="1"/>
      <c r="H171" s="1"/>
      <c r="I171" s="2"/>
      <c r="J171" s="1"/>
      <c r="K171" s="2"/>
      <c r="L171" s="1"/>
      <c r="M171" s="2"/>
      <c r="N171" s="2"/>
      <c r="O171" s="2"/>
      <c r="P171" s="2"/>
      <c r="Q171" s="2"/>
      <c r="R171" s="2"/>
      <c r="S171" s="2"/>
      <c r="T171" s="2"/>
      <c r="U171" s="2"/>
      <c r="V171" s="2"/>
      <c r="W171" s="1"/>
      <c r="X171" s="1"/>
      <c r="Y171" s="2"/>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row>
    <row r="172" ht="12.75" customHeight="1">
      <c r="A172" s="1"/>
      <c r="B172" s="1"/>
      <c r="C172" s="1"/>
      <c r="D172" s="1"/>
      <c r="E172" s="1"/>
      <c r="F172" s="1"/>
      <c r="G172" s="1"/>
      <c r="H172" s="1"/>
      <c r="I172" s="2"/>
      <c r="J172" s="1"/>
      <c r="K172" s="2"/>
      <c r="L172" s="1"/>
      <c r="M172" s="2"/>
      <c r="N172" s="2"/>
      <c r="O172" s="2"/>
      <c r="P172" s="2"/>
      <c r="Q172" s="2"/>
      <c r="R172" s="2"/>
      <c r="S172" s="2"/>
      <c r="T172" s="2"/>
      <c r="U172" s="2"/>
      <c r="V172" s="2"/>
      <c r="W172" s="1"/>
      <c r="X172" s="1"/>
      <c r="Y172" s="2"/>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row>
    <row r="173" ht="12.75" customHeight="1">
      <c r="A173" s="1"/>
      <c r="B173" s="1"/>
      <c r="C173" s="1"/>
      <c r="D173" s="1"/>
      <c r="E173" s="1"/>
      <c r="F173" s="1"/>
      <c r="G173" s="1"/>
      <c r="H173" s="1"/>
      <c r="I173" s="2"/>
      <c r="J173" s="1"/>
      <c r="K173" s="2"/>
      <c r="L173" s="1"/>
      <c r="M173" s="2"/>
      <c r="N173" s="2"/>
      <c r="O173" s="2"/>
      <c r="P173" s="2"/>
      <c r="Q173" s="2"/>
      <c r="R173" s="2"/>
      <c r="S173" s="2"/>
      <c r="T173" s="2"/>
      <c r="U173" s="2"/>
      <c r="V173" s="2"/>
      <c r="W173" s="1"/>
      <c r="X173" s="1"/>
      <c r="Y173" s="2"/>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row>
    <row r="174" ht="12.75" customHeight="1">
      <c r="A174" s="1"/>
      <c r="B174" s="1"/>
      <c r="C174" s="1"/>
      <c r="D174" s="1"/>
      <c r="E174" s="1"/>
      <c r="F174" s="1"/>
      <c r="G174" s="1"/>
      <c r="H174" s="1"/>
      <c r="I174" s="2"/>
      <c r="J174" s="1"/>
      <c r="K174" s="2"/>
      <c r="L174" s="1"/>
      <c r="M174" s="2"/>
      <c r="N174" s="2"/>
      <c r="O174" s="2"/>
      <c r="P174" s="2"/>
      <c r="Q174" s="2"/>
      <c r="R174" s="2"/>
      <c r="S174" s="2"/>
      <c r="T174" s="2"/>
      <c r="U174" s="2"/>
      <c r="V174" s="2"/>
      <c r="W174" s="1"/>
      <c r="X174" s="1"/>
      <c r="Y174" s="2"/>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row>
    <row r="175" ht="12.75" customHeight="1">
      <c r="A175" s="1"/>
      <c r="B175" s="1"/>
      <c r="C175" s="1"/>
      <c r="D175" s="1"/>
      <c r="E175" s="1"/>
      <c r="F175" s="1"/>
      <c r="G175" s="1"/>
      <c r="H175" s="1"/>
      <c r="I175" s="2"/>
      <c r="J175" s="1"/>
      <c r="K175" s="2"/>
      <c r="L175" s="1"/>
      <c r="M175" s="2"/>
      <c r="N175" s="2"/>
      <c r="O175" s="2"/>
      <c r="P175" s="2"/>
      <c r="Q175" s="2"/>
      <c r="R175" s="2"/>
      <c r="S175" s="2"/>
      <c r="T175" s="2"/>
      <c r="U175" s="2"/>
      <c r="V175" s="2"/>
      <c r="W175" s="1"/>
      <c r="X175" s="1"/>
      <c r="Y175" s="2"/>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row>
    <row r="176" ht="12.75" customHeight="1">
      <c r="A176" s="1"/>
      <c r="B176" s="1"/>
      <c r="C176" s="1"/>
      <c r="D176" s="1"/>
      <c r="E176" s="1"/>
      <c r="F176" s="1"/>
      <c r="G176" s="1"/>
      <c r="H176" s="1"/>
      <c r="I176" s="2"/>
      <c r="J176" s="1"/>
      <c r="K176" s="2"/>
      <c r="L176" s="1"/>
      <c r="M176" s="2"/>
      <c r="N176" s="2"/>
      <c r="O176" s="2"/>
      <c r="P176" s="2"/>
      <c r="Q176" s="2"/>
      <c r="R176" s="2"/>
      <c r="S176" s="2"/>
      <c r="T176" s="2"/>
      <c r="U176" s="2"/>
      <c r="V176" s="2"/>
      <c r="W176" s="1"/>
      <c r="X176" s="1"/>
      <c r="Y176" s="2"/>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row>
    <row r="177" ht="12.75" customHeight="1">
      <c r="A177" s="1"/>
      <c r="B177" s="1"/>
      <c r="C177" s="1"/>
      <c r="D177" s="1"/>
      <c r="E177" s="1"/>
      <c r="F177" s="1"/>
      <c r="G177" s="1"/>
      <c r="H177" s="1"/>
      <c r="I177" s="2"/>
      <c r="J177" s="1"/>
      <c r="K177" s="2"/>
      <c r="L177" s="1"/>
      <c r="M177" s="2"/>
      <c r="N177" s="2"/>
      <c r="O177" s="2"/>
      <c r="P177" s="2"/>
      <c r="Q177" s="2"/>
      <c r="R177" s="2"/>
      <c r="S177" s="2"/>
      <c r="T177" s="2"/>
      <c r="U177" s="2"/>
      <c r="V177" s="2"/>
      <c r="W177" s="1"/>
      <c r="X177" s="1"/>
      <c r="Y177" s="2"/>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row>
    <row r="178" ht="12.75" customHeight="1">
      <c r="A178" s="1"/>
      <c r="B178" s="1"/>
      <c r="C178" s="1"/>
      <c r="D178" s="1"/>
      <c r="E178" s="1"/>
      <c r="F178" s="1"/>
      <c r="G178" s="1"/>
      <c r="H178" s="1"/>
      <c r="I178" s="2"/>
      <c r="J178" s="1"/>
      <c r="K178" s="2"/>
      <c r="L178" s="1"/>
      <c r="M178" s="2"/>
      <c r="N178" s="2"/>
      <c r="O178" s="2"/>
      <c r="P178" s="2"/>
      <c r="Q178" s="2"/>
      <c r="R178" s="2"/>
      <c r="S178" s="2"/>
      <c r="T178" s="2"/>
      <c r="U178" s="2"/>
      <c r="V178" s="2"/>
      <c r="W178" s="1"/>
      <c r="X178" s="1"/>
      <c r="Y178" s="2"/>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row>
    <row r="179" ht="12.75" customHeight="1">
      <c r="A179" s="1"/>
      <c r="B179" s="1"/>
      <c r="C179" s="1"/>
      <c r="D179" s="1"/>
      <c r="E179" s="1"/>
      <c r="F179" s="1"/>
      <c r="G179" s="1"/>
      <c r="H179" s="1"/>
      <c r="I179" s="2"/>
      <c r="J179" s="1"/>
      <c r="K179" s="2"/>
      <c r="L179" s="1"/>
      <c r="M179" s="2"/>
      <c r="N179" s="2"/>
      <c r="O179" s="2"/>
      <c r="P179" s="2"/>
      <c r="Q179" s="2"/>
      <c r="R179" s="2"/>
      <c r="S179" s="2"/>
      <c r="T179" s="2"/>
      <c r="U179" s="2"/>
      <c r="V179" s="2"/>
      <c r="W179" s="1"/>
      <c r="X179" s="1"/>
      <c r="Y179" s="2"/>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row>
    <row r="180" ht="12.75" customHeight="1">
      <c r="A180" s="1"/>
      <c r="B180" s="1"/>
      <c r="C180" s="1"/>
      <c r="D180" s="1"/>
      <c r="E180" s="1"/>
      <c r="F180" s="1"/>
      <c r="G180" s="1"/>
      <c r="H180" s="1"/>
      <c r="I180" s="2"/>
      <c r="J180" s="1"/>
      <c r="K180" s="2"/>
      <c r="L180" s="1"/>
      <c r="M180" s="2"/>
      <c r="N180" s="2"/>
      <c r="O180" s="2"/>
      <c r="P180" s="2"/>
      <c r="Q180" s="2"/>
      <c r="R180" s="2"/>
      <c r="S180" s="2"/>
      <c r="T180" s="2"/>
      <c r="U180" s="2"/>
      <c r="V180" s="2"/>
      <c r="W180" s="1"/>
      <c r="X180" s="1"/>
      <c r="Y180" s="2"/>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row>
    <row r="181" ht="12.75" customHeight="1">
      <c r="A181" s="1"/>
      <c r="B181" s="1"/>
      <c r="C181" s="1"/>
      <c r="D181" s="1"/>
      <c r="E181" s="1"/>
      <c r="F181" s="1"/>
      <c r="G181" s="1"/>
      <c r="H181" s="1"/>
      <c r="I181" s="2"/>
      <c r="J181" s="1"/>
      <c r="K181" s="2"/>
      <c r="L181" s="1"/>
      <c r="M181" s="2"/>
      <c r="N181" s="2"/>
      <c r="O181" s="2"/>
      <c r="P181" s="2"/>
      <c r="Q181" s="2"/>
      <c r="R181" s="2"/>
      <c r="S181" s="2"/>
      <c r="T181" s="2"/>
      <c r="U181" s="2"/>
      <c r="V181" s="2"/>
      <c r="W181" s="1"/>
      <c r="X181" s="1"/>
      <c r="Y181" s="2"/>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row>
    <row r="182" ht="12.75" customHeight="1">
      <c r="A182" s="1"/>
      <c r="B182" s="1"/>
      <c r="C182" s="1"/>
      <c r="D182" s="1"/>
      <c r="E182" s="1"/>
      <c r="F182" s="1"/>
      <c r="G182" s="1"/>
      <c r="H182" s="1"/>
      <c r="I182" s="2"/>
      <c r="J182" s="1"/>
      <c r="K182" s="2"/>
      <c r="L182" s="1"/>
      <c r="M182" s="2"/>
      <c r="N182" s="2"/>
      <c r="O182" s="2"/>
      <c r="P182" s="2"/>
      <c r="Q182" s="2"/>
      <c r="R182" s="2"/>
      <c r="S182" s="2"/>
      <c r="T182" s="2"/>
      <c r="U182" s="2"/>
      <c r="V182" s="2"/>
      <c r="W182" s="1"/>
      <c r="X182" s="1"/>
      <c r="Y182" s="2"/>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row>
    <row r="183" ht="12.75" customHeight="1">
      <c r="A183" s="1"/>
      <c r="B183" s="1"/>
      <c r="C183" s="1"/>
      <c r="D183" s="1"/>
      <c r="E183" s="1"/>
      <c r="F183" s="1"/>
      <c r="G183" s="1"/>
      <c r="H183" s="1"/>
      <c r="I183" s="2"/>
      <c r="J183" s="1"/>
      <c r="K183" s="2"/>
      <c r="L183" s="1"/>
      <c r="M183" s="2"/>
      <c r="N183" s="2"/>
      <c r="O183" s="2"/>
      <c r="P183" s="2"/>
      <c r="Q183" s="2"/>
      <c r="R183" s="2"/>
      <c r="S183" s="2"/>
      <c r="T183" s="2"/>
      <c r="U183" s="2"/>
      <c r="V183" s="2"/>
      <c r="W183" s="1"/>
      <c r="X183" s="1"/>
      <c r="Y183" s="2"/>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row>
    <row r="184" ht="12.75" customHeight="1">
      <c r="A184" s="1"/>
      <c r="B184" s="1"/>
      <c r="C184" s="1"/>
      <c r="D184" s="1"/>
      <c r="E184" s="1"/>
      <c r="F184" s="1"/>
      <c r="G184" s="1"/>
      <c r="H184" s="1"/>
      <c r="I184" s="2"/>
      <c r="J184" s="1"/>
      <c r="K184" s="2"/>
      <c r="L184" s="1"/>
      <c r="M184" s="2"/>
      <c r="N184" s="2"/>
      <c r="O184" s="2"/>
      <c r="P184" s="2"/>
      <c r="Q184" s="2"/>
      <c r="R184" s="2"/>
      <c r="S184" s="2"/>
      <c r="T184" s="2"/>
      <c r="U184" s="2"/>
      <c r="V184" s="2"/>
      <c r="W184" s="1"/>
      <c r="X184" s="1"/>
      <c r="Y184" s="2"/>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row>
    <row r="185" ht="12.75" customHeight="1">
      <c r="A185" s="1"/>
      <c r="B185" s="1"/>
      <c r="C185" s="1"/>
      <c r="D185" s="1"/>
      <c r="E185" s="1"/>
      <c r="F185" s="1"/>
      <c r="G185" s="1"/>
      <c r="H185" s="1"/>
      <c r="I185" s="2"/>
      <c r="J185" s="1"/>
      <c r="K185" s="2"/>
      <c r="L185" s="1"/>
      <c r="M185" s="2"/>
      <c r="N185" s="2"/>
      <c r="O185" s="2"/>
      <c r="P185" s="2"/>
      <c r="Q185" s="2"/>
      <c r="R185" s="2"/>
      <c r="S185" s="2"/>
      <c r="T185" s="2"/>
      <c r="U185" s="2"/>
      <c r="V185" s="2"/>
      <c r="W185" s="1"/>
      <c r="X185" s="1"/>
      <c r="Y185" s="2"/>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row>
    <row r="186" ht="12.75" customHeight="1">
      <c r="A186" s="1"/>
      <c r="B186" s="1"/>
      <c r="C186" s="1"/>
      <c r="D186" s="1"/>
      <c r="E186" s="1"/>
      <c r="F186" s="1"/>
      <c r="G186" s="1"/>
      <c r="H186" s="1"/>
      <c r="I186" s="2"/>
      <c r="J186" s="1"/>
      <c r="K186" s="2"/>
      <c r="L186" s="1"/>
      <c r="M186" s="2"/>
      <c r="N186" s="2"/>
      <c r="O186" s="2"/>
      <c r="P186" s="2"/>
      <c r="Q186" s="2"/>
      <c r="R186" s="2"/>
      <c r="S186" s="2"/>
      <c r="T186" s="2"/>
      <c r="U186" s="2"/>
      <c r="V186" s="2"/>
      <c r="W186" s="1"/>
      <c r="X186" s="1"/>
      <c r="Y186" s="2"/>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row>
    <row r="187" ht="12.75" customHeight="1">
      <c r="A187" s="1"/>
      <c r="B187" s="1"/>
      <c r="C187" s="1"/>
      <c r="D187" s="1"/>
      <c r="E187" s="1"/>
      <c r="F187" s="1"/>
      <c r="G187" s="1"/>
      <c r="H187" s="1"/>
      <c r="I187" s="2"/>
      <c r="J187" s="1"/>
      <c r="K187" s="2"/>
      <c r="L187" s="1"/>
      <c r="M187" s="2"/>
      <c r="N187" s="2"/>
      <c r="O187" s="2"/>
      <c r="P187" s="2"/>
      <c r="Q187" s="2"/>
      <c r="R187" s="2"/>
      <c r="S187" s="2"/>
      <c r="T187" s="2"/>
      <c r="U187" s="2"/>
      <c r="V187" s="2"/>
      <c r="W187" s="1"/>
      <c r="X187" s="1"/>
      <c r="Y187" s="2"/>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row>
    <row r="188" ht="12.75" customHeight="1">
      <c r="A188" s="1"/>
      <c r="B188" s="1"/>
      <c r="C188" s="1"/>
      <c r="D188" s="1"/>
      <c r="E188" s="1"/>
      <c r="F188" s="1"/>
      <c r="G188" s="1"/>
      <c r="H188" s="1"/>
      <c r="I188" s="2"/>
      <c r="J188" s="1"/>
      <c r="K188" s="2"/>
      <c r="L188" s="1"/>
      <c r="M188" s="2"/>
      <c r="N188" s="2"/>
      <c r="O188" s="2"/>
      <c r="P188" s="2"/>
      <c r="Q188" s="2"/>
      <c r="R188" s="2"/>
      <c r="S188" s="2"/>
      <c r="T188" s="2"/>
      <c r="U188" s="2"/>
      <c r="V188" s="2"/>
      <c r="W188" s="1"/>
      <c r="X188" s="1"/>
      <c r="Y188" s="2"/>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row>
    <row r="189" ht="12.75" customHeight="1">
      <c r="A189" s="1"/>
      <c r="B189" s="1"/>
      <c r="C189" s="1"/>
      <c r="D189" s="1"/>
      <c r="E189" s="1"/>
      <c r="F189" s="1"/>
      <c r="G189" s="1"/>
      <c r="H189" s="1"/>
      <c r="I189" s="2"/>
      <c r="J189" s="1"/>
      <c r="K189" s="2"/>
      <c r="L189" s="1"/>
      <c r="M189" s="2"/>
      <c r="N189" s="2"/>
      <c r="O189" s="2"/>
      <c r="P189" s="2"/>
      <c r="Q189" s="2"/>
      <c r="R189" s="2"/>
      <c r="S189" s="2"/>
      <c r="T189" s="2"/>
      <c r="U189" s="2"/>
      <c r="V189" s="2"/>
      <c r="W189" s="1"/>
      <c r="X189" s="1"/>
      <c r="Y189" s="2"/>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row>
    <row r="190" ht="12.75" customHeight="1">
      <c r="A190" s="1"/>
      <c r="B190" s="1"/>
      <c r="C190" s="1"/>
      <c r="D190" s="1"/>
      <c r="E190" s="1"/>
      <c r="F190" s="1"/>
      <c r="G190" s="1"/>
      <c r="H190" s="1"/>
      <c r="I190" s="2"/>
      <c r="J190" s="1"/>
      <c r="K190" s="2"/>
      <c r="L190" s="1"/>
      <c r="M190" s="2"/>
      <c r="N190" s="2"/>
      <c r="O190" s="2"/>
      <c r="P190" s="2"/>
      <c r="Q190" s="2"/>
      <c r="R190" s="2"/>
      <c r="S190" s="2"/>
      <c r="T190" s="2"/>
      <c r="U190" s="2"/>
      <c r="V190" s="2"/>
      <c r="W190" s="1"/>
      <c r="X190" s="1"/>
      <c r="Y190" s="2"/>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row>
    <row r="191" ht="12.75" customHeight="1">
      <c r="A191" s="1"/>
      <c r="B191" s="1"/>
      <c r="C191" s="1"/>
      <c r="D191" s="1"/>
      <c r="E191" s="1"/>
      <c r="F191" s="1"/>
      <c r="G191" s="1"/>
      <c r="H191" s="1"/>
      <c r="I191" s="2"/>
      <c r="J191" s="1"/>
      <c r="K191" s="2"/>
      <c r="L191" s="1"/>
      <c r="M191" s="2"/>
      <c r="N191" s="2"/>
      <c r="O191" s="2"/>
      <c r="P191" s="2"/>
      <c r="Q191" s="2"/>
      <c r="R191" s="2"/>
      <c r="S191" s="2"/>
      <c r="T191" s="2"/>
      <c r="U191" s="2"/>
      <c r="V191" s="2"/>
      <c r="W191" s="1"/>
      <c r="X191" s="1"/>
      <c r="Y191" s="2"/>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row>
    <row r="192" ht="12.75" customHeight="1">
      <c r="A192" s="1"/>
      <c r="B192" s="1"/>
      <c r="C192" s="1"/>
      <c r="D192" s="1"/>
      <c r="E192" s="1"/>
      <c r="F192" s="1"/>
      <c r="G192" s="1"/>
      <c r="H192" s="1"/>
      <c r="I192" s="2"/>
      <c r="J192" s="1"/>
      <c r="K192" s="2"/>
      <c r="L192" s="1"/>
      <c r="M192" s="2"/>
      <c r="N192" s="2"/>
      <c r="O192" s="2"/>
      <c r="P192" s="2"/>
      <c r="Q192" s="2"/>
      <c r="R192" s="2"/>
      <c r="S192" s="2"/>
      <c r="T192" s="2"/>
      <c r="U192" s="2"/>
      <c r="V192" s="2"/>
      <c r="W192" s="1"/>
      <c r="X192" s="1"/>
      <c r="Y192" s="2"/>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row>
    <row r="193" ht="12.75" customHeight="1">
      <c r="A193" s="1"/>
      <c r="B193" s="1"/>
      <c r="C193" s="1"/>
      <c r="D193" s="1"/>
      <c r="E193" s="1"/>
      <c r="F193" s="1"/>
      <c r="G193" s="1"/>
      <c r="H193" s="1"/>
      <c r="I193" s="2"/>
      <c r="J193" s="1"/>
      <c r="K193" s="2"/>
      <c r="L193" s="1"/>
      <c r="M193" s="2"/>
      <c r="N193" s="2"/>
      <c r="O193" s="2"/>
      <c r="P193" s="2"/>
      <c r="Q193" s="2"/>
      <c r="R193" s="2"/>
      <c r="S193" s="2"/>
      <c r="T193" s="2"/>
      <c r="U193" s="2"/>
      <c r="V193" s="2"/>
      <c r="W193" s="1"/>
      <c r="X193" s="1"/>
      <c r="Y193" s="2"/>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row>
    <row r="194" ht="12.75" customHeight="1">
      <c r="A194" s="1"/>
      <c r="B194" s="1"/>
      <c r="C194" s="1"/>
      <c r="D194" s="1"/>
      <c r="E194" s="1"/>
      <c r="F194" s="1"/>
      <c r="G194" s="1"/>
      <c r="H194" s="1"/>
      <c r="I194" s="2"/>
      <c r="J194" s="1"/>
      <c r="K194" s="2"/>
      <c r="L194" s="1"/>
      <c r="M194" s="2"/>
      <c r="N194" s="2"/>
      <c r="O194" s="2"/>
      <c r="P194" s="2"/>
      <c r="Q194" s="2"/>
      <c r="R194" s="2"/>
      <c r="S194" s="2"/>
      <c r="T194" s="2"/>
      <c r="U194" s="2"/>
      <c r="V194" s="2"/>
      <c r="W194" s="1"/>
      <c r="X194" s="1"/>
      <c r="Y194" s="2"/>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row>
    <row r="195" ht="12.75" customHeight="1">
      <c r="A195" s="1"/>
      <c r="B195" s="1"/>
      <c r="C195" s="1"/>
      <c r="D195" s="1"/>
      <c r="E195" s="1"/>
      <c r="F195" s="1"/>
      <c r="G195" s="1"/>
      <c r="H195" s="1"/>
      <c r="I195" s="2"/>
      <c r="J195" s="1"/>
      <c r="K195" s="2"/>
      <c r="L195" s="1"/>
      <c r="M195" s="2"/>
      <c r="N195" s="2"/>
      <c r="O195" s="2"/>
      <c r="P195" s="2"/>
      <c r="Q195" s="2"/>
      <c r="R195" s="2"/>
      <c r="S195" s="2"/>
      <c r="T195" s="2"/>
      <c r="U195" s="2"/>
      <c r="V195" s="2"/>
      <c r="W195" s="1"/>
      <c r="X195" s="1"/>
      <c r="Y195" s="2"/>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row>
    <row r="196" ht="12.75" customHeight="1">
      <c r="A196" s="1"/>
      <c r="B196" s="1"/>
      <c r="C196" s="1"/>
      <c r="D196" s="1"/>
      <c r="E196" s="1"/>
      <c r="F196" s="1"/>
      <c r="G196" s="1"/>
      <c r="H196" s="1"/>
      <c r="I196" s="2"/>
      <c r="J196" s="1"/>
      <c r="K196" s="2"/>
      <c r="L196" s="1"/>
      <c r="M196" s="2"/>
      <c r="N196" s="2"/>
      <c r="O196" s="2"/>
      <c r="P196" s="2"/>
      <c r="Q196" s="2"/>
      <c r="R196" s="2"/>
      <c r="S196" s="2"/>
      <c r="T196" s="2"/>
      <c r="U196" s="2"/>
      <c r="V196" s="2"/>
      <c r="W196" s="1"/>
      <c r="X196" s="1"/>
      <c r="Y196" s="2"/>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row>
    <row r="197" ht="12.75" customHeight="1">
      <c r="A197" s="1"/>
      <c r="B197" s="1"/>
      <c r="C197" s="1"/>
      <c r="D197" s="1"/>
      <c r="E197" s="1"/>
      <c r="F197" s="1"/>
      <c r="G197" s="1"/>
      <c r="H197" s="1"/>
      <c r="I197" s="2"/>
      <c r="J197" s="1"/>
      <c r="K197" s="2"/>
      <c r="L197" s="1"/>
      <c r="M197" s="2"/>
      <c r="N197" s="2"/>
      <c r="O197" s="2"/>
      <c r="P197" s="2"/>
      <c r="Q197" s="2"/>
      <c r="R197" s="2"/>
      <c r="S197" s="2"/>
      <c r="T197" s="2"/>
      <c r="U197" s="2"/>
      <c r="V197" s="2"/>
      <c r="W197" s="1"/>
      <c r="X197" s="1"/>
      <c r="Y197" s="2"/>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row>
    <row r="198" ht="12.75" customHeight="1">
      <c r="A198" s="1"/>
      <c r="B198" s="1"/>
      <c r="C198" s="1"/>
      <c r="D198" s="1"/>
      <c r="E198" s="1"/>
      <c r="F198" s="1"/>
      <c r="G198" s="1"/>
      <c r="H198" s="1"/>
      <c r="I198" s="2"/>
      <c r="J198" s="1"/>
      <c r="K198" s="2"/>
      <c r="L198" s="1"/>
      <c r="M198" s="2"/>
      <c r="N198" s="2"/>
      <c r="O198" s="2"/>
      <c r="P198" s="2"/>
      <c r="Q198" s="2"/>
      <c r="R198" s="2"/>
      <c r="S198" s="2"/>
      <c r="T198" s="2"/>
      <c r="U198" s="2"/>
      <c r="V198" s="2"/>
      <c r="W198" s="1"/>
      <c r="X198" s="1"/>
      <c r="Y198" s="2"/>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row>
    <row r="199" ht="12.75" customHeight="1">
      <c r="A199" s="1"/>
      <c r="B199" s="1"/>
      <c r="C199" s="1"/>
      <c r="D199" s="1"/>
      <c r="E199" s="1"/>
      <c r="F199" s="1"/>
      <c r="G199" s="1"/>
      <c r="H199" s="1"/>
      <c r="I199" s="2"/>
      <c r="J199" s="1"/>
      <c r="K199" s="2"/>
      <c r="L199" s="1"/>
      <c r="M199" s="2"/>
      <c r="N199" s="2"/>
      <c r="O199" s="2"/>
      <c r="P199" s="2"/>
      <c r="Q199" s="2"/>
      <c r="R199" s="2"/>
      <c r="S199" s="2"/>
      <c r="T199" s="2"/>
      <c r="U199" s="2"/>
      <c r="V199" s="2"/>
      <c r="W199" s="1"/>
      <c r="X199" s="1"/>
      <c r="Y199" s="2"/>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row>
    <row r="200" ht="12.75" customHeight="1">
      <c r="A200" s="1"/>
      <c r="B200" s="1"/>
      <c r="C200" s="1"/>
      <c r="D200" s="1"/>
      <c r="E200" s="1"/>
      <c r="F200" s="1"/>
      <c r="G200" s="1"/>
      <c r="H200" s="1"/>
      <c r="I200" s="2"/>
      <c r="J200" s="1"/>
      <c r="K200" s="2"/>
      <c r="L200" s="1"/>
      <c r="M200" s="2"/>
      <c r="N200" s="2"/>
      <c r="O200" s="2"/>
      <c r="P200" s="2"/>
      <c r="Q200" s="2"/>
      <c r="R200" s="2"/>
      <c r="S200" s="2"/>
      <c r="T200" s="2"/>
      <c r="U200" s="2"/>
      <c r="V200" s="2"/>
      <c r="W200" s="1"/>
      <c r="X200" s="1"/>
      <c r="Y200" s="2"/>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row>
    <row r="201" ht="12.75" customHeight="1">
      <c r="A201" s="1"/>
      <c r="B201" s="1"/>
      <c r="C201" s="1"/>
      <c r="D201" s="1"/>
      <c r="E201" s="1"/>
      <c r="F201" s="1"/>
      <c r="G201" s="1"/>
      <c r="H201" s="1"/>
      <c r="I201" s="2"/>
      <c r="J201" s="1"/>
      <c r="K201" s="2"/>
      <c r="L201" s="1"/>
      <c r="M201" s="2"/>
      <c r="N201" s="2"/>
      <c r="O201" s="2"/>
      <c r="P201" s="2"/>
      <c r="Q201" s="2"/>
      <c r="R201" s="2"/>
      <c r="S201" s="2"/>
      <c r="T201" s="2"/>
      <c r="U201" s="2"/>
      <c r="V201" s="2"/>
      <c r="W201" s="1"/>
      <c r="X201" s="1"/>
      <c r="Y201" s="2"/>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row>
    <row r="202" ht="12.75" customHeight="1">
      <c r="A202" s="1"/>
      <c r="B202" s="1"/>
      <c r="C202" s="1"/>
      <c r="D202" s="1"/>
      <c r="E202" s="1"/>
      <c r="F202" s="1"/>
      <c r="G202" s="1"/>
      <c r="H202" s="1"/>
      <c r="I202" s="2"/>
      <c r="J202" s="1"/>
      <c r="K202" s="2"/>
      <c r="L202" s="1"/>
      <c r="M202" s="2"/>
      <c r="N202" s="2"/>
      <c r="O202" s="2"/>
      <c r="P202" s="2"/>
      <c r="Q202" s="2"/>
      <c r="R202" s="2"/>
      <c r="S202" s="2"/>
      <c r="T202" s="2"/>
      <c r="U202" s="2"/>
      <c r="V202" s="2"/>
      <c r="W202" s="1"/>
      <c r="X202" s="1"/>
      <c r="Y202" s="2"/>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row>
    <row r="203" ht="12.75" customHeight="1">
      <c r="A203" s="1"/>
      <c r="B203" s="1"/>
      <c r="C203" s="1"/>
      <c r="D203" s="1"/>
      <c r="E203" s="1"/>
      <c r="F203" s="1"/>
      <c r="G203" s="1"/>
      <c r="H203" s="1"/>
      <c r="I203" s="2"/>
      <c r="J203" s="1"/>
      <c r="K203" s="2"/>
      <c r="L203" s="1"/>
      <c r="M203" s="2"/>
      <c r="N203" s="2"/>
      <c r="O203" s="2"/>
      <c r="P203" s="2"/>
      <c r="Q203" s="2"/>
      <c r="R203" s="2"/>
      <c r="S203" s="2"/>
      <c r="T203" s="2"/>
      <c r="U203" s="2"/>
      <c r="V203" s="2"/>
      <c r="W203" s="1"/>
      <c r="X203" s="1"/>
      <c r="Y203" s="2"/>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row>
    <row r="204" ht="12.75" customHeight="1">
      <c r="A204" s="1"/>
      <c r="B204" s="1"/>
      <c r="C204" s="1"/>
      <c r="D204" s="1"/>
      <c r="E204" s="1"/>
      <c r="F204" s="1"/>
      <c r="G204" s="1"/>
      <c r="H204" s="1"/>
      <c r="I204" s="2"/>
      <c r="J204" s="1"/>
      <c r="K204" s="2"/>
      <c r="L204" s="1"/>
      <c r="M204" s="2"/>
      <c r="N204" s="2"/>
      <c r="O204" s="2"/>
      <c r="P204" s="2"/>
      <c r="Q204" s="2"/>
      <c r="R204" s="2"/>
      <c r="S204" s="2"/>
      <c r="T204" s="2"/>
      <c r="U204" s="2"/>
      <c r="V204" s="2"/>
      <c r="W204" s="1"/>
      <c r="X204" s="1"/>
      <c r="Y204" s="2"/>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row>
    <row r="205" ht="12.75" customHeight="1">
      <c r="A205" s="1"/>
      <c r="B205" s="1"/>
      <c r="C205" s="1"/>
      <c r="D205" s="1"/>
      <c r="E205" s="1"/>
      <c r="F205" s="1"/>
      <c r="G205" s="1"/>
      <c r="H205" s="1"/>
      <c r="I205" s="2"/>
      <c r="J205" s="1"/>
      <c r="K205" s="2"/>
      <c r="L205" s="1"/>
      <c r="M205" s="2"/>
      <c r="N205" s="2"/>
      <c r="O205" s="2"/>
      <c r="P205" s="2"/>
      <c r="Q205" s="2"/>
      <c r="R205" s="2"/>
      <c r="S205" s="2"/>
      <c r="T205" s="2"/>
      <c r="U205" s="2"/>
      <c r="V205" s="2"/>
      <c r="W205" s="1"/>
      <c r="X205" s="1"/>
      <c r="Y205" s="2"/>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row>
    <row r="206" ht="12.75" customHeight="1">
      <c r="A206" s="1"/>
      <c r="B206" s="1"/>
      <c r="C206" s="1"/>
      <c r="D206" s="1"/>
      <c r="E206" s="1"/>
      <c r="F206" s="1"/>
      <c r="G206" s="1"/>
      <c r="H206" s="1"/>
      <c r="I206" s="2"/>
      <c r="J206" s="1"/>
      <c r="K206" s="2"/>
      <c r="L206" s="1"/>
      <c r="M206" s="2"/>
      <c r="N206" s="2"/>
      <c r="O206" s="2"/>
      <c r="P206" s="2"/>
      <c r="Q206" s="2"/>
      <c r="R206" s="2"/>
      <c r="S206" s="2"/>
      <c r="T206" s="2"/>
      <c r="U206" s="2"/>
      <c r="V206" s="2"/>
      <c r="W206" s="1"/>
      <c r="X206" s="1"/>
      <c r="Y206" s="2"/>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row>
    <row r="207" ht="12.75" customHeight="1">
      <c r="A207" s="1"/>
      <c r="B207" s="1"/>
      <c r="C207" s="1"/>
      <c r="D207" s="1"/>
      <c r="E207" s="1"/>
      <c r="F207" s="1"/>
      <c r="G207" s="1"/>
      <c r="H207" s="1"/>
      <c r="I207" s="2"/>
      <c r="J207" s="1"/>
      <c r="K207" s="2"/>
      <c r="L207" s="1"/>
      <c r="M207" s="2"/>
      <c r="N207" s="2"/>
      <c r="O207" s="2"/>
      <c r="P207" s="2"/>
      <c r="Q207" s="2"/>
      <c r="R207" s="2"/>
      <c r="S207" s="2"/>
      <c r="T207" s="2"/>
      <c r="U207" s="2"/>
      <c r="V207" s="2"/>
      <c r="W207" s="1"/>
      <c r="X207" s="1"/>
      <c r="Y207" s="2"/>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row>
    <row r="208" ht="12.75" customHeight="1">
      <c r="A208" s="1"/>
      <c r="B208" s="1"/>
      <c r="C208" s="1"/>
      <c r="D208" s="1"/>
      <c r="E208" s="1"/>
      <c r="F208" s="1"/>
      <c r="G208" s="1"/>
      <c r="H208" s="1"/>
      <c r="I208" s="2"/>
      <c r="J208" s="1"/>
      <c r="K208" s="2"/>
      <c r="L208" s="1"/>
      <c r="M208" s="2"/>
      <c r="N208" s="2"/>
      <c r="O208" s="2"/>
      <c r="P208" s="2"/>
      <c r="Q208" s="2"/>
      <c r="R208" s="2"/>
      <c r="S208" s="2"/>
      <c r="T208" s="2"/>
      <c r="U208" s="2"/>
      <c r="V208" s="2"/>
      <c r="W208" s="1"/>
      <c r="X208" s="1"/>
      <c r="Y208" s="2"/>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row>
    <row r="209" ht="12.75" customHeight="1">
      <c r="A209" s="1"/>
      <c r="B209" s="1"/>
      <c r="C209" s="1"/>
      <c r="D209" s="1"/>
      <c r="E209" s="1"/>
      <c r="F209" s="1"/>
      <c r="G209" s="1"/>
      <c r="H209" s="1"/>
      <c r="I209" s="2"/>
      <c r="J209" s="1"/>
      <c r="K209" s="2"/>
      <c r="L209" s="1"/>
      <c r="M209" s="2"/>
      <c r="N209" s="2"/>
      <c r="O209" s="2"/>
      <c r="P209" s="2"/>
      <c r="Q209" s="2"/>
      <c r="R209" s="2"/>
      <c r="S209" s="2"/>
      <c r="T209" s="2"/>
      <c r="U209" s="2"/>
      <c r="V209" s="2"/>
      <c r="W209" s="1"/>
      <c r="X209" s="1"/>
      <c r="Y209" s="2"/>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row>
    <row r="210" ht="12.75" customHeight="1">
      <c r="A210" s="1"/>
      <c r="B210" s="1"/>
      <c r="C210" s="1"/>
      <c r="D210" s="1"/>
      <c r="E210" s="1"/>
      <c r="F210" s="1"/>
      <c r="G210" s="1"/>
      <c r="H210" s="1"/>
      <c r="I210" s="2"/>
      <c r="J210" s="1"/>
      <c r="K210" s="2"/>
      <c r="L210" s="1"/>
      <c r="M210" s="2"/>
      <c r="N210" s="2"/>
      <c r="O210" s="2"/>
      <c r="P210" s="2"/>
      <c r="Q210" s="2"/>
      <c r="R210" s="2"/>
      <c r="S210" s="2"/>
      <c r="T210" s="2"/>
      <c r="U210" s="2"/>
      <c r="V210" s="2"/>
      <c r="W210" s="1"/>
      <c r="X210" s="1"/>
      <c r="Y210" s="2"/>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row>
    <row r="211" ht="12.75" customHeight="1">
      <c r="A211" s="1"/>
      <c r="B211" s="1"/>
      <c r="C211" s="1"/>
      <c r="D211" s="1"/>
      <c r="E211" s="1"/>
      <c r="F211" s="1"/>
      <c r="G211" s="1"/>
      <c r="H211" s="1"/>
      <c r="I211" s="2"/>
      <c r="J211" s="1"/>
      <c r="K211" s="2"/>
      <c r="L211" s="1"/>
      <c r="M211" s="2"/>
      <c r="N211" s="2"/>
      <c r="O211" s="2"/>
      <c r="P211" s="2"/>
      <c r="Q211" s="2"/>
      <c r="R211" s="2"/>
      <c r="S211" s="2"/>
      <c r="T211" s="2"/>
      <c r="U211" s="2"/>
      <c r="V211" s="2"/>
      <c r="W211" s="1"/>
      <c r="X211" s="1"/>
      <c r="Y211" s="2"/>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row>
    <row r="212" ht="12.75" customHeight="1">
      <c r="A212" s="1"/>
      <c r="B212" s="1"/>
      <c r="C212" s="1"/>
      <c r="D212" s="1"/>
      <c r="E212" s="1"/>
      <c r="F212" s="1"/>
      <c r="G212" s="1"/>
      <c r="H212" s="1"/>
      <c r="I212" s="2"/>
      <c r="J212" s="1"/>
      <c r="K212" s="2"/>
      <c r="L212" s="1"/>
      <c r="M212" s="2"/>
      <c r="N212" s="2"/>
      <c r="O212" s="2"/>
      <c r="P212" s="2"/>
      <c r="Q212" s="2"/>
      <c r="R212" s="2"/>
      <c r="S212" s="2"/>
      <c r="T212" s="2"/>
      <c r="U212" s="2"/>
      <c r="V212" s="2"/>
      <c r="W212" s="1"/>
      <c r="X212" s="1"/>
      <c r="Y212" s="2"/>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row>
    <row r="213" ht="12.75" customHeight="1">
      <c r="A213" s="1"/>
      <c r="B213" s="1"/>
      <c r="C213" s="1"/>
      <c r="D213" s="1"/>
      <c r="E213" s="1"/>
      <c r="F213" s="1"/>
      <c r="G213" s="1"/>
      <c r="H213" s="1"/>
      <c r="I213" s="2"/>
      <c r="J213" s="1"/>
      <c r="K213" s="2"/>
      <c r="L213" s="1"/>
      <c r="M213" s="2"/>
      <c r="N213" s="2"/>
      <c r="O213" s="2"/>
      <c r="P213" s="2"/>
      <c r="Q213" s="2"/>
      <c r="R213" s="2"/>
      <c r="S213" s="2"/>
      <c r="T213" s="2"/>
      <c r="U213" s="2"/>
      <c r="V213" s="2"/>
      <c r="W213" s="1"/>
      <c r="X213" s="1"/>
      <c r="Y213" s="2"/>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row>
    <row r="214" ht="12.75" customHeight="1">
      <c r="A214" s="1"/>
      <c r="B214" s="1"/>
      <c r="C214" s="1"/>
      <c r="D214" s="1"/>
      <c r="E214" s="1"/>
      <c r="F214" s="1"/>
      <c r="G214" s="1"/>
      <c r="H214" s="1"/>
      <c r="I214" s="2"/>
      <c r="J214" s="1"/>
      <c r="K214" s="2"/>
      <c r="L214" s="1"/>
      <c r="M214" s="2"/>
      <c r="N214" s="2"/>
      <c r="O214" s="2"/>
      <c r="P214" s="2"/>
      <c r="Q214" s="2"/>
      <c r="R214" s="2"/>
      <c r="S214" s="2"/>
      <c r="T214" s="2"/>
      <c r="U214" s="2"/>
      <c r="V214" s="2"/>
      <c r="W214" s="1"/>
      <c r="X214" s="1"/>
      <c r="Y214" s="2"/>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row>
    <row r="215" ht="12.75" customHeight="1">
      <c r="A215" s="1"/>
      <c r="B215" s="1"/>
      <c r="C215" s="1"/>
      <c r="D215" s="1"/>
      <c r="E215" s="1"/>
      <c r="F215" s="1"/>
      <c r="G215" s="1"/>
      <c r="H215" s="1"/>
      <c r="I215" s="2"/>
      <c r="J215" s="1"/>
      <c r="K215" s="2"/>
      <c r="L215" s="1"/>
      <c r="M215" s="2"/>
      <c r="N215" s="2"/>
      <c r="O215" s="2"/>
      <c r="P215" s="2"/>
      <c r="Q215" s="2"/>
      <c r="R215" s="2"/>
      <c r="S215" s="2"/>
      <c r="T215" s="2"/>
      <c r="U215" s="2"/>
      <c r="V215" s="2"/>
      <c r="W215" s="1"/>
      <c r="X215" s="1"/>
      <c r="Y215" s="2"/>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row>
    <row r="216" ht="12.75" customHeight="1">
      <c r="A216" s="1"/>
      <c r="B216" s="1"/>
      <c r="C216" s="1"/>
      <c r="D216" s="1"/>
      <c r="E216" s="1"/>
      <c r="F216" s="1"/>
      <c r="G216" s="1"/>
      <c r="H216" s="1"/>
      <c r="I216" s="2"/>
      <c r="J216" s="1"/>
      <c r="K216" s="2"/>
      <c r="L216" s="1"/>
      <c r="M216" s="2"/>
      <c r="N216" s="2"/>
      <c r="O216" s="2"/>
      <c r="P216" s="2"/>
      <c r="Q216" s="2"/>
      <c r="R216" s="2"/>
      <c r="S216" s="2"/>
      <c r="T216" s="2"/>
      <c r="U216" s="2"/>
      <c r="V216" s="2"/>
      <c r="W216" s="1"/>
      <c r="X216" s="1"/>
      <c r="Y216" s="2"/>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row>
    <row r="217" ht="12.75" customHeight="1">
      <c r="A217" s="1"/>
      <c r="B217" s="1"/>
      <c r="C217" s="1"/>
      <c r="D217" s="1"/>
      <c r="E217" s="1"/>
      <c r="F217" s="1"/>
      <c r="G217" s="1"/>
      <c r="H217" s="1"/>
      <c r="I217" s="2"/>
      <c r="J217" s="1"/>
      <c r="K217" s="2"/>
      <c r="L217" s="1"/>
      <c r="M217" s="2"/>
      <c r="N217" s="2"/>
      <c r="O217" s="2"/>
      <c r="P217" s="2"/>
      <c r="Q217" s="2"/>
      <c r="R217" s="2"/>
      <c r="S217" s="2"/>
      <c r="T217" s="2"/>
      <c r="U217" s="2"/>
      <c r="V217" s="2"/>
      <c r="W217" s="1"/>
      <c r="X217" s="1"/>
      <c r="Y217" s="2"/>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row>
    <row r="218" ht="12.75" customHeight="1">
      <c r="A218" s="1"/>
      <c r="B218" s="1"/>
      <c r="C218" s="1"/>
      <c r="D218" s="1"/>
      <c r="E218" s="1"/>
      <c r="F218" s="1"/>
      <c r="G218" s="1"/>
      <c r="H218" s="1"/>
      <c r="I218" s="2"/>
      <c r="J218" s="1"/>
      <c r="K218" s="2"/>
      <c r="L218" s="1"/>
      <c r="M218" s="2"/>
      <c r="N218" s="2"/>
      <c r="O218" s="2"/>
      <c r="P218" s="2"/>
      <c r="Q218" s="2"/>
      <c r="R218" s="2"/>
      <c r="S218" s="2"/>
      <c r="T218" s="2"/>
      <c r="U218" s="2"/>
      <c r="V218" s="2"/>
      <c r="W218" s="1"/>
      <c r="X218" s="1"/>
      <c r="Y218" s="2"/>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row>
    <row r="219" ht="12.75" customHeight="1">
      <c r="A219" s="1"/>
      <c r="B219" s="1"/>
      <c r="C219" s="1"/>
      <c r="D219" s="1"/>
      <c r="E219" s="1"/>
      <c r="F219" s="1"/>
      <c r="G219" s="1"/>
      <c r="H219" s="1"/>
      <c r="I219" s="2"/>
      <c r="J219" s="1"/>
      <c r="K219" s="2"/>
      <c r="L219" s="1"/>
      <c r="M219" s="2"/>
      <c r="N219" s="2"/>
      <c r="O219" s="2"/>
      <c r="P219" s="2"/>
      <c r="Q219" s="2"/>
      <c r="R219" s="2"/>
      <c r="S219" s="2"/>
      <c r="T219" s="2"/>
      <c r="U219" s="2"/>
      <c r="V219" s="2"/>
      <c r="W219" s="1"/>
      <c r="X219" s="1"/>
      <c r="Y219" s="2"/>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row>
    <row r="220" ht="12.75" customHeight="1">
      <c r="A220" s="1"/>
      <c r="B220" s="1"/>
      <c r="C220" s="1"/>
      <c r="D220" s="1"/>
      <c r="E220" s="1"/>
      <c r="F220" s="1"/>
      <c r="G220" s="1"/>
      <c r="H220" s="1"/>
      <c r="I220" s="2"/>
      <c r="J220" s="1"/>
      <c r="K220" s="2"/>
      <c r="L220" s="1"/>
      <c r="M220" s="2"/>
      <c r="N220" s="2"/>
      <c r="O220" s="2"/>
      <c r="P220" s="2"/>
      <c r="Q220" s="2"/>
      <c r="R220" s="2"/>
      <c r="S220" s="2"/>
      <c r="T220" s="2"/>
      <c r="U220" s="2"/>
      <c r="V220" s="2"/>
      <c r="W220" s="1"/>
      <c r="X220" s="1"/>
      <c r="Y220" s="2"/>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row>
    <row r="221" ht="12.75" customHeight="1">
      <c r="A221" s="1"/>
      <c r="B221" s="1"/>
      <c r="C221" s="1"/>
      <c r="D221" s="1"/>
      <c r="E221" s="1"/>
      <c r="F221" s="1"/>
      <c r="G221" s="1"/>
      <c r="H221" s="1"/>
      <c r="I221" s="2"/>
      <c r="J221" s="1"/>
      <c r="K221" s="2"/>
      <c r="L221" s="1"/>
      <c r="M221" s="2"/>
      <c r="N221" s="2"/>
      <c r="O221" s="2"/>
      <c r="P221" s="2"/>
      <c r="Q221" s="2"/>
      <c r="R221" s="2"/>
      <c r="S221" s="2"/>
      <c r="T221" s="2"/>
      <c r="U221" s="2"/>
      <c r="V221" s="2"/>
      <c r="W221" s="1"/>
      <c r="X221" s="1"/>
      <c r="Y221" s="2"/>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row>
    <row r="222" ht="12.75" customHeight="1">
      <c r="A222" s="1"/>
      <c r="B222" s="1"/>
      <c r="C222" s="1"/>
      <c r="D222" s="1"/>
      <c r="E222" s="1"/>
      <c r="F222" s="1"/>
      <c r="G222" s="1"/>
      <c r="H222" s="1"/>
      <c r="I222" s="2"/>
      <c r="J222" s="1"/>
      <c r="K222" s="2"/>
      <c r="L222" s="1"/>
      <c r="M222" s="2"/>
      <c r="N222" s="2"/>
      <c r="O222" s="2"/>
      <c r="P222" s="2"/>
      <c r="Q222" s="2"/>
      <c r="R222" s="2"/>
      <c r="S222" s="2"/>
      <c r="T222" s="2"/>
      <c r="U222" s="2"/>
      <c r="V222" s="2"/>
      <c r="W222" s="1"/>
      <c r="X222" s="1"/>
      <c r="Y222" s="2"/>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row>
    <row r="223" ht="12.75" customHeight="1">
      <c r="A223" s="1"/>
      <c r="B223" s="1"/>
      <c r="C223" s="1"/>
      <c r="D223" s="1"/>
      <c r="E223" s="1"/>
      <c r="F223" s="1"/>
      <c r="G223" s="1"/>
      <c r="H223" s="1"/>
      <c r="I223" s="2"/>
      <c r="J223" s="1"/>
      <c r="K223" s="2"/>
      <c r="L223" s="1"/>
      <c r="M223" s="2"/>
      <c r="N223" s="2"/>
      <c r="O223" s="2"/>
      <c r="P223" s="2"/>
      <c r="Q223" s="2"/>
      <c r="R223" s="2"/>
      <c r="S223" s="2"/>
      <c r="T223" s="2"/>
      <c r="U223" s="2"/>
      <c r="V223" s="2"/>
      <c r="W223" s="1"/>
      <c r="X223" s="1"/>
      <c r="Y223" s="2"/>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row>
    <row r="224" ht="12.75" customHeight="1">
      <c r="A224" s="1"/>
      <c r="B224" s="1"/>
      <c r="C224" s="1"/>
      <c r="D224" s="1"/>
      <c r="E224" s="1"/>
      <c r="F224" s="1"/>
      <c r="G224" s="1"/>
      <c r="H224" s="1"/>
      <c r="I224" s="2"/>
      <c r="J224" s="1"/>
      <c r="K224" s="2"/>
      <c r="L224" s="1"/>
      <c r="M224" s="2"/>
      <c r="N224" s="2"/>
      <c r="O224" s="2"/>
      <c r="P224" s="2"/>
      <c r="Q224" s="2"/>
      <c r="R224" s="2"/>
      <c r="S224" s="2"/>
      <c r="T224" s="2"/>
      <c r="U224" s="2"/>
      <c r="V224" s="2"/>
      <c r="W224" s="1"/>
      <c r="X224" s="1"/>
      <c r="Y224" s="2"/>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row>
    <row r="225" ht="12.75" customHeight="1">
      <c r="A225" s="1"/>
      <c r="B225" s="1"/>
      <c r="C225" s="1"/>
      <c r="D225" s="1"/>
      <c r="E225" s="1"/>
      <c r="F225" s="1"/>
      <c r="G225" s="1"/>
      <c r="H225" s="1"/>
      <c r="I225" s="2"/>
      <c r="J225" s="1"/>
      <c r="K225" s="2"/>
      <c r="L225" s="1"/>
      <c r="M225" s="2"/>
      <c r="N225" s="2"/>
      <c r="O225" s="2"/>
      <c r="P225" s="2"/>
      <c r="Q225" s="2"/>
      <c r="R225" s="2"/>
      <c r="S225" s="2"/>
      <c r="T225" s="2"/>
      <c r="U225" s="2"/>
      <c r="V225" s="2"/>
      <c r="W225" s="1"/>
      <c r="X225" s="1"/>
      <c r="Y225" s="2"/>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row>
    <row r="226" ht="12.75" customHeight="1">
      <c r="A226" s="1"/>
      <c r="B226" s="1"/>
      <c r="C226" s="1"/>
      <c r="D226" s="1"/>
      <c r="E226" s="1"/>
      <c r="F226" s="1"/>
      <c r="G226" s="1"/>
      <c r="H226" s="1"/>
      <c r="I226" s="2"/>
      <c r="J226" s="1"/>
      <c r="K226" s="2"/>
      <c r="L226" s="1"/>
      <c r="M226" s="2"/>
      <c r="N226" s="2"/>
      <c r="O226" s="2"/>
      <c r="P226" s="2"/>
      <c r="Q226" s="2"/>
      <c r="R226" s="2"/>
      <c r="S226" s="2"/>
      <c r="T226" s="2"/>
      <c r="U226" s="2"/>
      <c r="V226" s="2"/>
      <c r="W226" s="1"/>
      <c r="X226" s="1"/>
      <c r="Y226" s="2"/>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row>
    <row r="227" ht="12.75" customHeight="1">
      <c r="A227" s="1"/>
      <c r="B227" s="1"/>
      <c r="C227" s="1"/>
      <c r="D227" s="1"/>
      <c r="E227" s="1"/>
      <c r="F227" s="1"/>
      <c r="G227" s="1"/>
      <c r="H227" s="1"/>
      <c r="I227" s="2"/>
      <c r="J227" s="1"/>
      <c r="K227" s="2"/>
      <c r="L227" s="1"/>
      <c r="M227" s="2"/>
      <c r="N227" s="2"/>
      <c r="O227" s="2"/>
      <c r="P227" s="2"/>
      <c r="Q227" s="2"/>
      <c r="R227" s="2"/>
      <c r="S227" s="2"/>
      <c r="T227" s="2"/>
      <c r="U227" s="2"/>
      <c r="V227" s="2"/>
      <c r="W227" s="1"/>
      <c r="X227" s="1"/>
      <c r="Y227" s="2"/>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row>
    <row r="228" ht="12.75" customHeight="1">
      <c r="A228" s="1"/>
      <c r="B228" s="1"/>
      <c r="C228" s="1"/>
      <c r="D228" s="1"/>
      <c r="E228" s="1"/>
      <c r="F228" s="1"/>
      <c r="G228" s="1"/>
      <c r="H228" s="1"/>
      <c r="I228" s="2"/>
      <c r="J228" s="1"/>
      <c r="K228" s="2"/>
      <c r="L228" s="1"/>
      <c r="M228" s="2"/>
      <c r="N228" s="2"/>
      <c r="O228" s="2"/>
      <c r="P228" s="2"/>
      <c r="Q228" s="2"/>
      <c r="R228" s="2"/>
      <c r="S228" s="2"/>
      <c r="T228" s="2"/>
      <c r="U228" s="2"/>
      <c r="V228" s="2"/>
      <c r="W228" s="1"/>
      <c r="X228" s="1"/>
      <c r="Y228" s="2"/>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row>
    <row r="229" ht="12.75" customHeight="1">
      <c r="A229" s="1"/>
      <c r="B229" s="1"/>
      <c r="C229" s="1"/>
      <c r="D229" s="1"/>
      <c r="E229" s="1"/>
      <c r="F229" s="1"/>
      <c r="G229" s="1"/>
      <c r="H229" s="1"/>
      <c r="I229" s="2"/>
      <c r="J229" s="1"/>
      <c r="K229" s="2"/>
      <c r="L229" s="1"/>
      <c r="M229" s="2"/>
      <c r="N229" s="2"/>
      <c r="O229" s="2"/>
      <c r="P229" s="2"/>
      <c r="Q229" s="2"/>
      <c r="R229" s="2"/>
      <c r="S229" s="2"/>
      <c r="T229" s="2"/>
      <c r="U229" s="2"/>
      <c r="V229" s="2"/>
      <c r="W229" s="1"/>
      <c r="X229" s="1"/>
      <c r="Y229" s="2"/>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row>
    <row r="230" ht="12.75" customHeight="1">
      <c r="A230" s="1"/>
      <c r="B230" s="1"/>
      <c r="C230" s="1"/>
      <c r="D230" s="1"/>
      <c r="E230" s="1"/>
      <c r="F230" s="1"/>
      <c r="G230" s="1"/>
      <c r="H230" s="1"/>
      <c r="I230" s="2"/>
      <c r="J230" s="1"/>
      <c r="K230" s="2"/>
      <c r="L230" s="1"/>
      <c r="M230" s="2"/>
      <c r="N230" s="2"/>
      <c r="O230" s="2"/>
      <c r="P230" s="2"/>
      <c r="Q230" s="2"/>
      <c r="R230" s="2"/>
      <c r="S230" s="2"/>
      <c r="T230" s="2"/>
      <c r="U230" s="2"/>
      <c r="V230" s="2"/>
      <c r="W230" s="1"/>
      <c r="X230" s="1"/>
      <c r="Y230" s="2"/>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row>
    <row r="231" ht="12.75" customHeight="1">
      <c r="A231" s="1"/>
      <c r="B231" s="1"/>
      <c r="C231" s="1"/>
      <c r="D231" s="1"/>
      <c r="E231" s="1"/>
      <c r="F231" s="1"/>
      <c r="G231" s="1"/>
      <c r="H231" s="1"/>
      <c r="I231" s="2"/>
      <c r="J231" s="1"/>
      <c r="K231" s="2"/>
      <c r="L231" s="1"/>
      <c r="M231" s="2"/>
      <c r="N231" s="2"/>
      <c r="O231" s="2"/>
      <c r="P231" s="2"/>
      <c r="Q231" s="2"/>
      <c r="R231" s="2"/>
      <c r="S231" s="2"/>
      <c r="T231" s="2"/>
      <c r="U231" s="2"/>
      <c r="V231" s="2"/>
      <c r="W231" s="1"/>
      <c r="X231" s="1"/>
      <c r="Y231" s="2"/>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row>
    <row r="232" ht="12.75" customHeight="1">
      <c r="A232" s="1"/>
      <c r="B232" s="1"/>
      <c r="C232" s="1"/>
      <c r="D232" s="1"/>
      <c r="E232" s="1"/>
      <c r="F232" s="1"/>
      <c r="G232" s="1"/>
      <c r="H232" s="1"/>
      <c r="I232" s="2"/>
      <c r="J232" s="1"/>
      <c r="K232" s="2"/>
      <c r="L232" s="1"/>
      <c r="M232" s="2"/>
      <c r="N232" s="2"/>
      <c r="O232" s="2"/>
      <c r="P232" s="2"/>
      <c r="Q232" s="2"/>
      <c r="R232" s="2"/>
      <c r="S232" s="2"/>
      <c r="T232" s="2"/>
      <c r="U232" s="2"/>
      <c r="V232" s="2"/>
      <c r="W232" s="1"/>
      <c r="X232" s="1"/>
      <c r="Y232" s="2"/>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row>
    <row r="233" ht="12.75" customHeight="1">
      <c r="A233" s="1"/>
      <c r="B233" s="1"/>
      <c r="C233" s="1"/>
      <c r="D233" s="1"/>
      <c r="E233" s="1"/>
      <c r="F233" s="1"/>
      <c r="G233" s="1"/>
      <c r="H233" s="1"/>
      <c r="I233" s="2"/>
      <c r="J233" s="1"/>
      <c r="K233" s="2"/>
      <c r="L233" s="1"/>
      <c r="M233" s="2"/>
      <c r="N233" s="2"/>
      <c r="O233" s="2"/>
      <c r="P233" s="2"/>
      <c r="Q233" s="2"/>
      <c r="R233" s="2"/>
      <c r="S233" s="2"/>
      <c r="T233" s="2"/>
      <c r="U233" s="2"/>
      <c r="V233" s="2"/>
      <c r="W233" s="1"/>
      <c r="X233" s="1"/>
      <c r="Y233" s="2"/>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row>
    <row r="234" ht="12.75" customHeight="1">
      <c r="A234" s="1"/>
      <c r="B234" s="1"/>
      <c r="C234" s="1"/>
      <c r="D234" s="1"/>
      <c r="E234" s="1"/>
      <c r="F234" s="1"/>
      <c r="G234" s="1"/>
      <c r="H234" s="1"/>
      <c r="I234" s="2"/>
      <c r="J234" s="1"/>
      <c r="K234" s="2"/>
      <c r="L234" s="1"/>
      <c r="M234" s="2"/>
      <c r="N234" s="2"/>
      <c r="O234" s="2"/>
      <c r="P234" s="2"/>
      <c r="Q234" s="2"/>
      <c r="R234" s="2"/>
      <c r="S234" s="2"/>
      <c r="T234" s="2"/>
      <c r="U234" s="2"/>
      <c r="V234" s="2"/>
      <c r="W234" s="1"/>
      <c r="X234" s="1"/>
      <c r="Y234" s="2"/>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row>
    <row r="235" ht="12.75" customHeight="1">
      <c r="A235" s="1"/>
      <c r="B235" s="1"/>
      <c r="C235" s="1"/>
      <c r="D235" s="1"/>
      <c r="E235" s="1"/>
      <c r="F235" s="1"/>
      <c r="G235" s="1"/>
      <c r="H235" s="1"/>
      <c r="I235" s="2"/>
      <c r="J235" s="1"/>
      <c r="K235" s="2"/>
      <c r="L235" s="1"/>
      <c r="M235" s="2"/>
      <c r="N235" s="2"/>
      <c r="O235" s="2"/>
      <c r="P235" s="2"/>
      <c r="Q235" s="2"/>
      <c r="R235" s="2"/>
      <c r="S235" s="2"/>
      <c r="T235" s="2"/>
      <c r="U235" s="2"/>
      <c r="V235" s="2"/>
      <c r="W235" s="1"/>
      <c r="X235" s="1"/>
      <c r="Y235" s="2"/>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row>
    <row r="236" ht="12.75" customHeight="1">
      <c r="A236" s="1"/>
      <c r="B236" s="1"/>
      <c r="C236" s="1"/>
      <c r="D236" s="1"/>
      <c r="E236" s="1"/>
      <c r="F236" s="1"/>
      <c r="G236" s="1"/>
      <c r="H236" s="1"/>
      <c r="I236" s="2"/>
      <c r="J236" s="1"/>
      <c r="K236" s="2"/>
      <c r="L236" s="1"/>
      <c r="M236" s="2"/>
      <c r="N236" s="2"/>
      <c r="O236" s="2"/>
      <c r="P236" s="2"/>
      <c r="Q236" s="2"/>
      <c r="R236" s="2"/>
      <c r="S236" s="2"/>
      <c r="T236" s="2"/>
      <c r="U236" s="2"/>
      <c r="V236" s="2"/>
      <c r="W236" s="1"/>
      <c r="X236" s="1"/>
      <c r="Y236" s="2"/>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row>
    <row r="237" ht="12.75" customHeight="1">
      <c r="A237" s="1"/>
      <c r="B237" s="1"/>
      <c r="C237" s="1"/>
      <c r="D237" s="1"/>
      <c r="E237" s="1"/>
      <c r="F237" s="1"/>
      <c r="G237" s="1"/>
      <c r="H237" s="1"/>
      <c r="I237" s="2"/>
      <c r="J237" s="1"/>
      <c r="K237" s="2"/>
      <c r="L237" s="1"/>
      <c r="M237" s="2"/>
      <c r="N237" s="2"/>
      <c r="O237" s="2"/>
      <c r="P237" s="2"/>
      <c r="Q237" s="2"/>
      <c r="R237" s="2"/>
      <c r="S237" s="2"/>
      <c r="T237" s="2"/>
      <c r="U237" s="2"/>
      <c r="V237" s="2"/>
      <c r="W237" s="1"/>
      <c r="X237" s="1"/>
      <c r="Y237" s="2"/>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row>
    <row r="238" ht="12.75" customHeight="1">
      <c r="A238" s="1"/>
      <c r="B238" s="1"/>
      <c r="C238" s="1"/>
      <c r="D238" s="1"/>
      <c r="E238" s="1"/>
      <c r="F238" s="1"/>
      <c r="G238" s="1"/>
      <c r="H238" s="1"/>
      <c r="I238" s="2"/>
      <c r="J238" s="1"/>
      <c r="K238" s="2"/>
      <c r="L238" s="1"/>
      <c r="M238" s="2"/>
      <c r="N238" s="2"/>
      <c r="O238" s="2"/>
      <c r="P238" s="2"/>
      <c r="Q238" s="2"/>
      <c r="R238" s="2"/>
      <c r="S238" s="2"/>
      <c r="T238" s="2"/>
      <c r="U238" s="2"/>
      <c r="V238" s="2"/>
      <c r="W238" s="1"/>
      <c r="X238" s="1"/>
      <c r="Y238" s="2"/>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row>
    <row r="239" ht="12.75" customHeight="1">
      <c r="A239" s="1"/>
      <c r="B239" s="1"/>
      <c r="C239" s="1"/>
      <c r="D239" s="1"/>
      <c r="E239" s="1"/>
      <c r="F239" s="1"/>
      <c r="G239" s="1"/>
      <c r="H239" s="1"/>
      <c r="I239" s="2"/>
      <c r="J239" s="1"/>
      <c r="K239" s="2"/>
      <c r="L239" s="1"/>
      <c r="M239" s="2"/>
      <c r="N239" s="2"/>
      <c r="O239" s="2"/>
      <c r="P239" s="2"/>
      <c r="Q239" s="2"/>
      <c r="R239" s="2"/>
      <c r="S239" s="2"/>
      <c r="T239" s="2"/>
      <c r="U239" s="2"/>
      <c r="V239" s="2"/>
      <c r="W239" s="1"/>
      <c r="X239" s="1"/>
      <c r="Y239" s="2"/>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row>
    <row r="240" ht="12.75" customHeight="1">
      <c r="A240" s="1"/>
      <c r="B240" s="1"/>
      <c r="C240" s="1"/>
      <c r="D240" s="1"/>
      <c r="E240" s="1"/>
      <c r="F240" s="1"/>
      <c r="G240" s="1"/>
      <c r="H240" s="1"/>
      <c r="I240" s="2"/>
      <c r="J240" s="1"/>
      <c r="K240" s="2"/>
      <c r="L240" s="1"/>
      <c r="M240" s="2"/>
      <c r="N240" s="2"/>
      <c r="O240" s="2"/>
      <c r="P240" s="2"/>
      <c r="Q240" s="2"/>
      <c r="R240" s="2"/>
      <c r="S240" s="2"/>
      <c r="T240" s="2"/>
      <c r="U240" s="2"/>
      <c r="V240" s="2"/>
      <c r="W240" s="1"/>
      <c r="X240" s="1"/>
      <c r="Y240" s="2"/>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row>
    <row r="241" ht="12.75" customHeight="1">
      <c r="A241" s="1"/>
      <c r="B241" s="1"/>
      <c r="C241" s="1"/>
      <c r="D241" s="1"/>
      <c r="E241" s="1"/>
      <c r="F241" s="1"/>
      <c r="G241" s="1"/>
      <c r="H241" s="1"/>
      <c r="I241" s="2"/>
      <c r="J241" s="1"/>
      <c r="K241" s="2"/>
      <c r="L241" s="1"/>
      <c r="M241" s="2"/>
      <c r="N241" s="2"/>
      <c r="O241" s="2"/>
      <c r="P241" s="2"/>
      <c r="Q241" s="2"/>
      <c r="R241" s="2"/>
      <c r="S241" s="2"/>
      <c r="T241" s="2"/>
      <c r="U241" s="2"/>
      <c r="V241" s="2"/>
      <c r="W241" s="1"/>
      <c r="X241" s="1"/>
      <c r="Y241" s="2"/>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row>
    <row r="242" ht="12.75" customHeight="1">
      <c r="A242" s="1"/>
      <c r="B242" s="1"/>
      <c r="C242" s="1"/>
      <c r="D242" s="1"/>
      <c r="E242" s="1"/>
      <c r="F242" s="1"/>
      <c r="G242" s="1"/>
      <c r="H242" s="1"/>
      <c r="I242" s="2"/>
      <c r="J242" s="1"/>
      <c r="K242" s="2"/>
      <c r="L242" s="1"/>
      <c r="M242" s="2"/>
      <c r="N242" s="2"/>
      <c r="O242" s="2"/>
      <c r="P242" s="2"/>
      <c r="Q242" s="2"/>
      <c r="R242" s="2"/>
      <c r="S242" s="2"/>
      <c r="T242" s="2"/>
      <c r="U242" s="2"/>
      <c r="V242" s="2"/>
      <c r="W242" s="1"/>
      <c r="X242" s="1"/>
      <c r="Y242" s="2"/>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row>
    <row r="243" ht="12.75" customHeight="1">
      <c r="A243" s="1"/>
      <c r="B243" s="1"/>
      <c r="C243" s="1"/>
      <c r="D243" s="1"/>
      <c r="E243" s="1"/>
      <c r="F243" s="1"/>
      <c r="G243" s="1"/>
      <c r="H243" s="1"/>
      <c r="I243" s="2"/>
      <c r="J243" s="1"/>
      <c r="K243" s="2"/>
      <c r="L243" s="1"/>
      <c r="M243" s="2"/>
      <c r="N243" s="2"/>
      <c r="O243" s="2"/>
      <c r="P243" s="2"/>
      <c r="Q243" s="2"/>
      <c r="R243" s="2"/>
      <c r="S243" s="2"/>
      <c r="T243" s="2"/>
      <c r="U243" s="2"/>
      <c r="V243" s="2"/>
      <c r="W243" s="1"/>
      <c r="X243" s="1"/>
      <c r="Y243" s="2"/>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row>
    <row r="244" ht="12.75" customHeight="1">
      <c r="A244" s="1"/>
      <c r="B244" s="1"/>
      <c r="C244" s="1"/>
      <c r="D244" s="1"/>
      <c r="E244" s="1"/>
      <c r="F244" s="1"/>
      <c r="G244" s="1"/>
      <c r="H244" s="1"/>
      <c r="I244" s="2"/>
      <c r="J244" s="1"/>
      <c r="K244" s="2"/>
      <c r="L244" s="1"/>
      <c r="M244" s="2"/>
      <c r="N244" s="2"/>
      <c r="O244" s="2"/>
      <c r="P244" s="2"/>
      <c r="Q244" s="2"/>
      <c r="R244" s="2"/>
      <c r="S244" s="2"/>
      <c r="T244" s="2"/>
      <c r="U244" s="2"/>
      <c r="V244" s="2"/>
      <c r="W244" s="1"/>
      <c r="X244" s="1"/>
      <c r="Y244" s="2"/>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row>
    <row r="245" ht="12.75" customHeight="1">
      <c r="A245" s="1"/>
      <c r="B245" s="1"/>
      <c r="C245" s="1"/>
      <c r="D245" s="1"/>
      <c r="E245" s="1"/>
      <c r="F245" s="1"/>
      <c r="G245" s="1"/>
      <c r="H245" s="1"/>
      <c r="I245" s="2"/>
      <c r="J245" s="1"/>
      <c r="K245" s="2"/>
      <c r="L245" s="1"/>
      <c r="M245" s="2"/>
      <c r="N245" s="2"/>
      <c r="O245" s="2"/>
      <c r="P245" s="2"/>
      <c r="Q245" s="2"/>
      <c r="R245" s="2"/>
      <c r="S245" s="2"/>
      <c r="T245" s="2"/>
      <c r="U245" s="2"/>
      <c r="V245" s="2"/>
      <c r="W245" s="1"/>
      <c r="X245" s="1"/>
      <c r="Y245" s="2"/>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row>
    <row r="246" ht="12.75" customHeight="1">
      <c r="A246" s="1"/>
      <c r="B246" s="1"/>
      <c r="C246" s="1"/>
      <c r="D246" s="1"/>
      <c r="E246" s="1"/>
      <c r="F246" s="1"/>
      <c r="G246" s="1"/>
      <c r="H246" s="1"/>
      <c r="I246" s="2"/>
      <c r="J246" s="1"/>
      <c r="K246" s="2"/>
      <c r="L246" s="1"/>
      <c r="M246" s="2"/>
      <c r="N246" s="2"/>
      <c r="O246" s="2"/>
      <c r="P246" s="2"/>
      <c r="Q246" s="2"/>
      <c r="R246" s="2"/>
      <c r="S246" s="2"/>
      <c r="T246" s="2"/>
      <c r="U246" s="2"/>
      <c r="V246" s="2"/>
      <c r="W246" s="1"/>
      <c r="X246" s="1"/>
      <c r="Y246" s="2"/>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row>
    <row r="247" ht="12.75" customHeight="1">
      <c r="A247" s="1"/>
      <c r="B247" s="1"/>
      <c r="C247" s="1"/>
      <c r="D247" s="1"/>
      <c r="E247" s="1"/>
      <c r="F247" s="1"/>
      <c r="G247" s="1"/>
      <c r="H247" s="1"/>
      <c r="I247" s="2"/>
      <c r="J247" s="1"/>
      <c r="K247" s="2"/>
      <c r="L247" s="1"/>
      <c r="M247" s="2"/>
      <c r="N247" s="2"/>
      <c r="O247" s="2"/>
      <c r="P247" s="2"/>
      <c r="Q247" s="2"/>
      <c r="R247" s="2"/>
      <c r="S247" s="2"/>
      <c r="T247" s="2"/>
      <c r="U247" s="2"/>
      <c r="V247" s="2"/>
      <c r="W247" s="1"/>
      <c r="X247" s="1"/>
      <c r="Y247" s="2"/>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row>
    <row r="248" ht="12.75" customHeight="1">
      <c r="A248" s="1"/>
      <c r="B248" s="1"/>
      <c r="C248" s="1"/>
      <c r="D248" s="1"/>
      <c r="E248" s="1"/>
      <c r="F248" s="1"/>
      <c r="G248" s="1"/>
      <c r="H248" s="1"/>
      <c r="I248" s="2"/>
      <c r="J248" s="1"/>
      <c r="K248" s="2"/>
      <c r="L248" s="1"/>
      <c r="M248" s="2"/>
      <c r="N248" s="2"/>
      <c r="O248" s="2"/>
      <c r="P248" s="2"/>
      <c r="Q248" s="2"/>
      <c r="R248" s="2"/>
      <c r="S248" s="2"/>
      <c r="T248" s="2"/>
      <c r="U248" s="2"/>
      <c r="V248" s="2"/>
      <c r="W248" s="1"/>
      <c r="X248" s="1"/>
      <c r="Y248" s="2"/>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row>
    <row r="249" ht="12.75" customHeight="1">
      <c r="A249" s="1"/>
      <c r="B249" s="1"/>
      <c r="C249" s="1"/>
      <c r="D249" s="1"/>
      <c r="E249" s="1"/>
      <c r="F249" s="1"/>
      <c r="G249" s="1"/>
      <c r="H249" s="1"/>
      <c r="I249" s="2"/>
      <c r="J249" s="1"/>
      <c r="K249" s="2"/>
      <c r="L249" s="1"/>
      <c r="M249" s="2"/>
      <c r="N249" s="2"/>
      <c r="O249" s="2"/>
      <c r="P249" s="2"/>
      <c r="Q249" s="2"/>
      <c r="R249" s="2"/>
      <c r="S249" s="2"/>
      <c r="T249" s="2"/>
      <c r="U249" s="2"/>
      <c r="V249" s="2"/>
      <c r="W249" s="1"/>
      <c r="X249" s="1"/>
      <c r="Y249" s="2"/>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row>
    <row r="250" ht="12.75" customHeight="1">
      <c r="A250" s="1"/>
      <c r="B250" s="1"/>
      <c r="C250" s="1"/>
      <c r="D250" s="1"/>
      <c r="E250" s="1"/>
      <c r="F250" s="1"/>
      <c r="G250" s="1"/>
      <c r="H250" s="1"/>
      <c r="I250" s="2"/>
      <c r="J250" s="1"/>
      <c r="K250" s="2"/>
      <c r="L250" s="1"/>
      <c r="M250" s="2"/>
      <c r="N250" s="2"/>
      <c r="O250" s="2"/>
      <c r="P250" s="2"/>
      <c r="Q250" s="2"/>
      <c r="R250" s="2"/>
      <c r="S250" s="2"/>
      <c r="T250" s="2"/>
      <c r="U250" s="2"/>
      <c r="V250" s="2"/>
      <c r="W250" s="1"/>
      <c r="X250" s="1"/>
      <c r="Y250" s="2"/>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row>
    <row r="251" ht="12.75" customHeight="1">
      <c r="A251" s="1"/>
      <c r="B251" s="1"/>
      <c r="C251" s="1"/>
      <c r="D251" s="1"/>
      <c r="E251" s="1"/>
      <c r="F251" s="1"/>
      <c r="G251" s="1"/>
      <c r="H251" s="1"/>
      <c r="I251" s="2"/>
      <c r="J251" s="1"/>
      <c r="K251" s="2"/>
      <c r="L251" s="1"/>
      <c r="M251" s="2"/>
      <c r="N251" s="2"/>
      <c r="O251" s="2"/>
      <c r="P251" s="2"/>
      <c r="Q251" s="2"/>
      <c r="R251" s="2"/>
      <c r="S251" s="2"/>
      <c r="T251" s="2"/>
      <c r="U251" s="2"/>
      <c r="V251" s="2"/>
      <c r="W251" s="1"/>
      <c r="X251" s="1"/>
      <c r="Y251" s="2"/>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row>
    <row r="252" ht="12.75" customHeight="1">
      <c r="A252" s="1"/>
      <c r="B252" s="1"/>
      <c r="C252" s="1"/>
      <c r="D252" s="1"/>
      <c r="E252" s="1"/>
      <c r="F252" s="1"/>
      <c r="G252" s="1"/>
      <c r="H252" s="1"/>
      <c r="I252" s="2"/>
      <c r="J252" s="1"/>
      <c r="K252" s="2"/>
      <c r="L252" s="1"/>
      <c r="M252" s="2"/>
      <c r="N252" s="2"/>
      <c r="O252" s="2"/>
      <c r="P252" s="2"/>
      <c r="Q252" s="2"/>
      <c r="R252" s="2"/>
      <c r="S252" s="2"/>
      <c r="T252" s="2"/>
      <c r="U252" s="2"/>
      <c r="V252" s="2"/>
      <c r="W252" s="1"/>
      <c r="X252" s="1"/>
      <c r="Y252" s="2"/>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row>
    <row r="253" ht="12.75" customHeight="1">
      <c r="A253" s="1"/>
      <c r="B253" s="1"/>
      <c r="C253" s="1"/>
      <c r="D253" s="1"/>
      <c r="E253" s="1"/>
      <c r="F253" s="1"/>
      <c r="G253" s="1"/>
      <c r="H253" s="1"/>
      <c r="I253" s="2"/>
      <c r="J253" s="1"/>
      <c r="K253" s="2"/>
      <c r="L253" s="1"/>
      <c r="M253" s="2"/>
      <c r="N253" s="2"/>
      <c r="O253" s="2"/>
      <c r="P253" s="2"/>
      <c r="Q253" s="2"/>
      <c r="R253" s="2"/>
      <c r="S253" s="2"/>
      <c r="T253" s="2"/>
      <c r="U253" s="2"/>
      <c r="V253" s="2"/>
      <c r="W253" s="1"/>
      <c r="X253" s="1"/>
      <c r="Y253" s="2"/>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row>
    <row r="254" ht="12.75" customHeight="1">
      <c r="A254" s="1"/>
      <c r="B254" s="1"/>
      <c r="C254" s="1"/>
      <c r="D254" s="1"/>
      <c r="E254" s="1"/>
      <c r="F254" s="1"/>
      <c r="G254" s="1"/>
      <c r="H254" s="1"/>
      <c r="I254" s="2"/>
      <c r="J254" s="1"/>
      <c r="K254" s="2"/>
      <c r="L254" s="1"/>
      <c r="M254" s="2"/>
      <c r="N254" s="2"/>
      <c r="O254" s="2"/>
      <c r="P254" s="2"/>
      <c r="Q254" s="2"/>
      <c r="R254" s="2"/>
      <c r="S254" s="2"/>
      <c r="T254" s="2"/>
      <c r="U254" s="2"/>
      <c r="V254" s="2"/>
      <c r="W254" s="1"/>
      <c r="X254" s="1"/>
      <c r="Y254" s="2"/>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row>
    <row r="255" ht="12.75" customHeight="1">
      <c r="A255" s="1"/>
      <c r="B255" s="1"/>
      <c r="C255" s="1"/>
      <c r="D255" s="1"/>
      <c r="E255" s="1"/>
      <c r="F255" s="1"/>
      <c r="G255" s="1"/>
      <c r="H255" s="1"/>
      <c r="I255" s="2"/>
      <c r="J255" s="1"/>
      <c r="K255" s="2"/>
      <c r="L255" s="1"/>
      <c r="M255" s="2"/>
      <c r="N255" s="2"/>
      <c r="O255" s="2"/>
      <c r="P255" s="2"/>
      <c r="Q255" s="2"/>
      <c r="R255" s="2"/>
      <c r="S255" s="2"/>
      <c r="T255" s="2"/>
      <c r="U255" s="2"/>
      <c r="V255" s="2"/>
      <c r="W255" s="1"/>
      <c r="X255" s="1"/>
      <c r="Y255" s="2"/>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row>
    <row r="256" ht="12.75" customHeight="1">
      <c r="A256" s="1"/>
      <c r="B256" s="1"/>
      <c r="C256" s="1"/>
      <c r="D256" s="1"/>
      <c r="E256" s="1"/>
      <c r="F256" s="1"/>
      <c r="G256" s="1"/>
      <c r="H256" s="1"/>
      <c r="I256" s="2"/>
      <c r="J256" s="1"/>
      <c r="K256" s="2"/>
      <c r="L256" s="1"/>
      <c r="M256" s="2"/>
      <c r="N256" s="2"/>
      <c r="O256" s="2"/>
      <c r="P256" s="2"/>
      <c r="Q256" s="2"/>
      <c r="R256" s="2"/>
      <c r="S256" s="2"/>
      <c r="T256" s="2"/>
      <c r="U256" s="2"/>
      <c r="V256" s="2"/>
      <c r="W256" s="1"/>
      <c r="X256" s="1"/>
      <c r="Y256" s="2"/>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row>
    <row r="257" ht="12.75" customHeight="1">
      <c r="A257" s="1"/>
      <c r="B257" s="1"/>
      <c r="C257" s="1"/>
      <c r="D257" s="1"/>
      <c r="E257" s="1"/>
      <c r="F257" s="1"/>
      <c r="G257" s="1"/>
      <c r="H257" s="1"/>
      <c r="I257" s="2"/>
      <c r="J257" s="1"/>
      <c r="K257" s="2"/>
      <c r="L257" s="1"/>
      <c r="M257" s="2"/>
      <c r="N257" s="2"/>
      <c r="O257" s="2"/>
      <c r="P257" s="2"/>
      <c r="Q257" s="2"/>
      <c r="R257" s="2"/>
      <c r="S257" s="2"/>
      <c r="T257" s="2"/>
      <c r="U257" s="2"/>
      <c r="V257" s="2"/>
      <c r="W257" s="1"/>
      <c r="X257" s="1"/>
      <c r="Y257" s="2"/>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row>
    <row r="258" ht="12.75" customHeight="1">
      <c r="A258" s="1"/>
      <c r="B258" s="1"/>
      <c r="C258" s="1"/>
      <c r="D258" s="1"/>
      <c r="E258" s="1"/>
      <c r="F258" s="1"/>
      <c r="G258" s="1"/>
      <c r="H258" s="1"/>
      <c r="I258" s="2"/>
      <c r="J258" s="1"/>
      <c r="K258" s="2"/>
      <c r="L258" s="1"/>
      <c r="M258" s="2"/>
      <c r="N258" s="2"/>
      <c r="O258" s="2"/>
      <c r="P258" s="2"/>
      <c r="Q258" s="2"/>
      <c r="R258" s="2"/>
      <c r="S258" s="2"/>
      <c r="T258" s="2"/>
      <c r="U258" s="2"/>
      <c r="V258" s="2"/>
      <c r="W258" s="1"/>
      <c r="X258" s="1"/>
      <c r="Y258" s="2"/>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row>
    <row r="259" ht="12.75" customHeight="1">
      <c r="A259" s="1"/>
      <c r="B259" s="1"/>
      <c r="C259" s="1"/>
      <c r="D259" s="1"/>
      <c r="E259" s="1"/>
      <c r="F259" s="1"/>
      <c r="G259" s="1"/>
      <c r="H259" s="1"/>
      <c r="I259" s="2"/>
      <c r="J259" s="1"/>
      <c r="K259" s="2"/>
      <c r="L259" s="1"/>
      <c r="M259" s="2"/>
      <c r="N259" s="2"/>
      <c r="O259" s="2"/>
      <c r="P259" s="2"/>
      <c r="Q259" s="2"/>
      <c r="R259" s="2"/>
      <c r="S259" s="2"/>
      <c r="T259" s="2"/>
      <c r="U259" s="2"/>
      <c r="V259" s="2"/>
      <c r="W259" s="1"/>
      <c r="X259" s="1"/>
      <c r="Y259" s="2"/>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row>
    <row r="260" ht="12.75" customHeight="1">
      <c r="A260" s="1"/>
      <c r="B260" s="1"/>
      <c r="C260" s="1"/>
      <c r="D260" s="1"/>
      <c r="E260" s="1"/>
      <c r="F260" s="1"/>
      <c r="G260" s="1"/>
      <c r="H260" s="1"/>
      <c r="I260" s="2"/>
      <c r="J260" s="1"/>
      <c r="K260" s="2"/>
      <c r="L260" s="1"/>
      <c r="M260" s="2"/>
      <c r="N260" s="2"/>
      <c r="O260" s="2"/>
      <c r="P260" s="2"/>
      <c r="Q260" s="2"/>
      <c r="R260" s="2"/>
      <c r="S260" s="2"/>
      <c r="T260" s="2"/>
      <c r="U260" s="2"/>
      <c r="V260" s="2"/>
      <c r="W260" s="1"/>
      <c r="X260" s="1"/>
      <c r="Y260" s="2"/>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row>
    <row r="261" ht="12.75" customHeight="1">
      <c r="A261" s="1"/>
      <c r="B261" s="1"/>
      <c r="C261" s="1"/>
      <c r="D261" s="1"/>
      <c r="E261" s="1"/>
      <c r="F261" s="1"/>
      <c r="G261" s="1"/>
      <c r="H261" s="1"/>
      <c r="I261" s="2"/>
      <c r="J261" s="1"/>
      <c r="K261" s="2"/>
      <c r="L261" s="1"/>
      <c r="M261" s="2"/>
      <c r="N261" s="2"/>
      <c r="O261" s="2"/>
      <c r="P261" s="2"/>
      <c r="Q261" s="2"/>
      <c r="R261" s="2"/>
      <c r="S261" s="2"/>
      <c r="T261" s="2"/>
      <c r="U261" s="2"/>
      <c r="V261" s="2"/>
      <c r="W261" s="1"/>
      <c r="X261" s="1"/>
      <c r="Y261" s="2"/>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row>
    <row r="262" ht="12.75" customHeight="1">
      <c r="A262" s="1"/>
      <c r="B262" s="1"/>
      <c r="C262" s="1"/>
      <c r="D262" s="1"/>
      <c r="E262" s="1"/>
      <c r="F262" s="1"/>
      <c r="G262" s="1"/>
      <c r="H262" s="1"/>
      <c r="I262" s="2"/>
      <c r="J262" s="1"/>
      <c r="K262" s="2"/>
      <c r="L262" s="1"/>
      <c r="M262" s="2"/>
      <c r="N262" s="2"/>
      <c r="O262" s="2"/>
      <c r="P262" s="2"/>
      <c r="Q262" s="2"/>
      <c r="R262" s="2"/>
      <c r="S262" s="2"/>
      <c r="T262" s="2"/>
      <c r="U262" s="2"/>
      <c r="V262" s="2"/>
      <c r="W262" s="1"/>
      <c r="X262" s="1"/>
      <c r="Y262" s="2"/>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row>
    <row r="263" ht="12.75" customHeight="1">
      <c r="A263" s="1"/>
      <c r="B263" s="1"/>
      <c r="C263" s="1"/>
      <c r="D263" s="1"/>
      <c r="E263" s="1"/>
      <c r="F263" s="1"/>
      <c r="G263" s="1"/>
      <c r="H263" s="1"/>
      <c r="I263" s="2"/>
      <c r="J263" s="1"/>
      <c r="K263" s="2"/>
      <c r="L263" s="1"/>
      <c r="M263" s="2"/>
      <c r="N263" s="2"/>
      <c r="O263" s="2"/>
      <c r="P263" s="2"/>
      <c r="Q263" s="2"/>
      <c r="R263" s="2"/>
      <c r="S263" s="2"/>
      <c r="T263" s="2"/>
      <c r="U263" s="2"/>
      <c r="V263" s="2"/>
      <c r="W263" s="1"/>
      <c r="X263" s="1"/>
      <c r="Y263" s="2"/>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row>
    <row r="264" ht="12.75" customHeight="1">
      <c r="A264" s="1"/>
      <c r="B264" s="1"/>
      <c r="C264" s="1"/>
      <c r="D264" s="1"/>
      <c r="E264" s="1"/>
      <c r="F264" s="1"/>
      <c r="G264" s="1"/>
      <c r="H264" s="1"/>
      <c r="I264" s="2"/>
      <c r="J264" s="1"/>
      <c r="K264" s="2"/>
      <c r="L264" s="1"/>
      <c r="M264" s="2"/>
      <c r="N264" s="2"/>
      <c r="O264" s="2"/>
      <c r="P264" s="2"/>
      <c r="Q264" s="2"/>
      <c r="R264" s="2"/>
      <c r="S264" s="2"/>
      <c r="T264" s="2"/>
      <c r="U264" s="2"/>
      <c r="V264" s="2"/>
      <c r="W264" s="1"/>
      <c r="X264" s="1"/>
      <c r="Y264" s="2"/>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row>
    <row r="265" ht="12.75" customHeight="1">
      <c r="A265" s="1"/>
      <c r="B265" s="1"/>
      <c r="C265" s="1"/>
      <c r="D265" s="1"/>
      <c r="E265" s="1"/>
      <c r="F265" s="1"/>
      <c r="G265" s="1"/>
      <c r="H265" s="1"/>
      <c r="I265" s="2"/>
      <c r="J265" s="1"/>
      <c r="K265" s="2"/>
      <c r="L265" s="1"/>
      <c r="M265" s="2"/>
      <c r="N265" s="2"/>
      <c r="O265" s="2"/>
      <c r="P265" s="2"/>
      <c r="Q265" s="2"/>
      <c r="R265" s="2"/>
      <c r="S265" s="2"/>
      <c r="T265" s="2"/>
      <c r="U265" s="2"/>
      <c r="V265" s="2"/>
      <c r="W265" s="1"/>
      <c r="X265" s="1"/>
      <c r="Y265" s="2"/>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row>
    <row r="266" ht="12.75" customHeight="1">
      <c r="A266" s="1"/>
      <c r="B266" s="1"/>
      <c r="C266" s="1"/>
      <c r="D266" s="1"/>
      <c r="E266" s="1"/>
      <c r="F266" s="1"/>
      <c r="G266" s="1"/>
      <c r="H266" s="1"/>
      <c r="I266" s="2"/>
      <c r="J266" s="1"/>
      <c r="K266" s="2"/>
      <c r="L266" s="1"/>
      <c r="M266" s="2"/>
      <c r="N266" s="2"/>
      <c r="O266" s="2"/>
      <c r="P266" s="2"/>
      <c r="Q266" s="2"/>
      <c r="R266" s="2"/>
      <c r="S266" s="2"/>
      <c r="T266" s="2"/>
      <c r="U266" s="2"/>
      <c r="V266" s="2"/>
      <c r="W266" s="1"/>
      <c r="X266" s="1"/>
      <c r="Y266" s="2"/>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row>
    <row r="267" ht="12.75" customHeight="1">
      <c r="A267" s="1"/>
      <c r="B267" s="1"/>
      <c r="C267" s="1"/>
      <c r="D267" s="1"/>
      <c r="E267" s="1"/>
      <c r="F267" s="1"/>
      <c r="G267" s="1"/>
      <c r="H267" s="1"/>
      <c r="I267" s="2"/>
      <c r="J267" s="1"/>
      <c r="K267" s="2"/>
      <c r="L267" s="1"/>
      <c r="M267" s="2"/>
      <c r="N267" s="2"/>
      <c r="O267" s="2"/>
      <c r="P267" s="2"/>
      <c r="Q267" s="2"/>
      <c r="R267" s="2"/>
      <c r="S267" s="2"/>
      <c r="T267" s="2"/>
      <c r="U267" s="2"/>
      <c r="V267" s="2"/>
      <c r="W267" s="1"/>
      <c r="X267" s="1"/>
      <c r="Y267" s="2"/>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row>
    <row r="268" ht="12.75" customHeight="1">
      <c r="A268" s="1"/>
      <c r="B268" s="1"/>
      <c r="C268" s="1"/>
      <c r="D268" s="1"/>
      <c r="E268" s="1"/>
      <c r="F268" s="1"/>
      <c r="G268" s="1"/>
      <c r="H268" s="1"/>
      <c r="I268" s="2"/>
      <c r="J268" s="1"/>
      <c r="K268" s="2"/>
      <c r="L268" s="1"/>
      <c r="M268" s="2"/>
      <c r="N268" s="2"/>
      <c r="O268" s="2"/>
      <c r="P268" s="2"/>
      <c r="Q268" s="2"/>
      <c r="R268" s="2"/>
      <c r="S268" s="2"/>
      <c r="T268" s="2"/>
      <c r="U268" s="2"/>
      <c r="V268" s="2"/>
      <c r="W268" s="1"/>
      <c r="X268" s="1"/>
      <c r="Y268" s="2"/>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row>
    <row r="269" ht="12.75" customHeight="1">
      <c r="A269" s="1"/>
      <c r="B269" s="1"/>
      <c r="C269" s="1"/>
      <c r="D269" s="1"/>
      <c r="E269" s="1"/>
      <c r="F269" s="1"/>
      <c r="G269" s="1"/>
      <c r="H269" s="1"/>
      <c r="I269" s="2"/>
      <c r="J269" s="1"/>
      <c r="K269" s="2"/>
      <c r="L269" s="1"/>
      <c r="M269" s="2"/>
      <c r="N269" s="2"/>
      <c r="O269" s="2"/>
      <c r="P269" s="2"/>
      <c r="Q269" s="2"/>
      <c r="R269" s="2"/>
      <c r="S269" s="2"/>
      <c r="T269" s="2"/>
      <c r="U269" s="2"/>
      <c r="V269" s="2"/>
      <c r="W269" s="1"/>
      <c r="X269" s="1"/>
      <c r="Y269" s="2"/>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row>
    <row r="270" ht="12.75" customHeight="1">
      <c r="A270" s="1"/>
      <c r="B270" s="1"/>
      <c r="C270" s="1"/>
      <c r="D270" s="1"/>
      <c r="E270" s="1"/>
      <c r="F270" s="1"/>
      <c r="G270" s="1"/>
      <c r="H270" s="1"/>
      <c r="I270" s="2"/>
      <c r="J270" s="1"/>
      <c r="K270" s="2"/>
      <c r="L270" s="1"/>
      <c r="M270" s="2"/>
      <c r="N270" s="2"/>
      <c r="O270" s="2"/>
      <c r="P270" s="2"/>
      <c r="Q270" s="2"/>
      <c r="R270" s="2"/>
      <c r="S270" s="2"/>
      <c r="T270" s="2"/>
      <c r="U270" s="2"/>
      <c r="V270" s="2"/>
      <c r="W270" s="1"/>
      <c r="X270" s="1"/>
      <c r="Y270" s="2"/>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row>
    <row r="271" ht="12.75" customHeight="1">
      <c r="A271" s="1"/>
      <c r="B271" s="1"/>
      <c r="C271" s="1"/>
      <c r="D271" s="1"/>
      <c r="E271" s="1"/>
      <c r="F271" s="1"/>
      <c r="G271" s="1"/>
      <c r="H271" s="1"/>
      <c r="I271" s="2"/>
      <c r="J271" s="1"/>
      <c r="K271" s="2"/>
      <c r="L271" s="1"/>
      <c r="M271" s="2"/>
      <c r="N271" s="2"/>
      <c r="O271" s="2"/>
      <c r="P271" s="2"/>
      <c r="Q271" s="2"/>
      <c r="R271" s="2"/>
      <c r="S271" s="2"/>
      <c r="T271" s="2"/>
      <c r="U271" s="2"/>
      <c r="V271" s="2"/>
      <c r="W271" s="1"/>
      <c r="X271" s="1"/>
      <c r="Y271" s="2"/>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row>
    <row r="272" ht="12.75" customHeight="1">
      <c r="A272" s="1"/>
      <c r="B272" s="1"/>
      <c r="C272" s="1"/>
      <c r="D272" s="1"/>
      <c r="E272" s="1"/>
      <c r="F272" s="1"/>
      <c r="G272" s="1"/>
      <c r="H272" s="1"/>
      <c r="I272" s="2"/>
      <c r="J272" s="1"/>
      <c r="K272" s="2"/>
      <c r="L272" s="1"/>
      <c r="M272" s="2"/>
      <c r="N272" s="2"/>
      <c r="O272" s="2"/>
      <c r="P272" s="2"/>
      <c r="Q272" s="2"/>
      <c r="R272" s="2"/>
      <c r="S272" s="2"/>
      <c r="T272" s="2"/>
      <c r="U272" s="2"/>
      <c r="V272" s="2"/>
      <c r="W272" s="1"/>
      <c r="X272" s="1"/>
      <c r="Y272" s="2"/>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row>
    <row r="273" ht="12.75" customHeight="1">
      <c r="A273" s="1"/>
      <c r="B273" s="1"/>
      <c r="C273" s="1"/>
      <c r="D273" s="1"/>
      <c r="E273" s="1"/>
      <c r="F273" s="1"/>
      <c r="G273" s="1"/>
      <c r="H273" s="1"/>
      <c r="I273" s="2"/>
      <c r="J273" s="1"/>
      <c r="K273" s="2"/>
      <c r="L273" s="1"/>
      <c r="M273" s="2"/>
      <c r="N273" s="2"/>
      <c r="O273" s="2"/>
      <c r="P273" s="2"/>
      <c r="Q273" s="2"/>
      <c r="R273" s="2"/>
      <c r="S273" s="2"/>
      <c r="T273" s="2"/>
      <c r="U273" s="2"/>
      <c r="V273" s="2"/>
      <c r="W273" s="1"/>
      <c r="X273" s="1"/>
      <c r="Y273" s="2"/>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row>
    <row r="274" ht="12.75" customHeight="1">
      <c r="A274" s="1"/>
      <c r="B274" s="1"/>
      <c r="C274" s="1"/>
      <c r="D274" s="1"/>
      <c r="E274" s="1"/>
      <c r="F274" s="1"/>
      <c r="G274" s="1"/>
      <c r="H274" s="1"/>
      <c r="I274" s="2"/>
      <c r="J274" s="1"/>
      <c r="K274" s="2"/>
      <c r="L274" s="1"/>
      <c r="M274" s="2"/>
      <c r="N274" s="2"/>
      <c r="O274" s="2"/>
      <c r="P274" s="2"/>
      <c r="Q274" s="2"/>
      <c r="R274" s="2"/>
      <c r="S274" s="2"/>
      <c r="T274" s="2"/>
      <c r="U274" s="2"/>
      <c r="V274" s="2"/>
      <c r="W274" s="1"/>
      <c r="X274" s="1"/>
      <c r="Y274" s="2"/>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row>
    <row r="275" ht="12.75" customHeight="1">
      <c r="A275" s="1"/>
      <c r="B275" s="1"/>
      <c r="C275" s="1"/>
      <c r="D275" s="1"/>
      <c r="E275" s="1"/>
      <c r="F275" s="1"/>
      <c r="G275" s="1"/>
      <c r="H275" s="1"/>
      <c r="I275" s="2"/>
      <c r="J275" s="1"/>
      <c r="K275" s="2"/>
      <c r="L275" s="1"/>
      <c r="M275" s="2"/>
      <c r="N275" s="2"/>
      <c r="O275" s="2"/>
      <c r="P275" s="2"/>
      <c r="Q275" s="2"/>
      <c r="R275" s="2"/>
      <c r="S275" s="2"/>
      <c r="T275" s="2"/>
      <c r="U275" s="2"/>
      <c r="V275" s="2"/>
      <c r="W275" s="1"/>
      <c r="X275" s="1"/>
      <c r="Y275" s="2"/>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row>
    <row r="276" ht="12.75" customHeight="1">
      <c r="A276" s="1"/>
      <c r="B276" s="1"/>
      <c r="C276" s="1"/>
      <c r="D276" s="1"/>
      <c r="E276" s="1"/>
      <c r="F276" s="1"/>
      <c r="G276" s="1"/>
      <c r="H276" s="1"/>
      <c r="I276" s="2"/>
      <c r="J276" s="1"/>
      <c r="K276" s="2"/>
      <c r="L276" s="1"/>
      <c r="M276" s="2"/>
      <c r="N276" s="2"/>
      <c r="O276" s="2"/>
      <c r="P276" s="2"/>
      <c r="Q276" s="2"/>
      <c r="R276" s="2"/>
      <c r="S276" s="2"/>
      <c r="T276" s="2"/>
      <c r="U276" s="2"/>
      <c r="V276" s="2"/>
      <c r="W276" s="1"/>
      <c r="X276" s="1"/>
      <c r="Y276" s="2"/>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row>
    <row r="277" ht="12.75" customHeight="1">
      <c r="A277" s="1"/>
      <c r="B277" s="1"/>
      <c r="C277" s="1"/>
      <c r="D277" s="1"/>
      <c r="E277" s="1"/>
      <c r="F277" s="1"/>
      <c r="G277" s="1"/>
      <c r="H277" s="1"/>
      <c r="I277" s="2"/>
      <c r="J277" s="1"/>
      <c r="K277" s="2"/>
      <c r="L277" s="1"/>
      <c r="M277" s="2"/>
      <c r="N277" s="2"/>
      <c r="O277" s="2"/>
      <c r="P277" s="2"/>
      <c r="Q277" s="2"/>
      <c r="R277" s="2"/>
      <c r="S277" s="2"/>
      <c r="T277" s="2"/>
      <c r="U277" s="2"/>
      <c r="V277" s="2"/>
      <c r="W277" s="1"/>
      <c r="X277" s="1"/>
      <c r="Y277" s="2"/>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row>
    <row r="278" ht="12.75" customHeight="1">
      <c r="A278" s="1"/>
      <c r="B278" s="1"/>
      <c r="C278" s="1"/>
      <c r="D278" s="1"/>
      <c r="E278" s="1"/>
      <c r="F278" s="1"/>
      <c r="G278" s="1"/>
      <c r="H278" s="1"/>
      <c r="I278" s="2"/>
      <c r="J278" s="1"/>
      <c r="K278" s="2"/>
      <c r="L278" s="1"/>
      <c r="M278" s="2"/>
      <c r="N278" s="2"/>
      <c r="O278" s="2"/>
      <c r="P278" s="2"/>
      <c r="Q278" s="2"/>
      <c r="R278" s="2"/>
      <c r="S278" s="2"/>
      <c r="T278" s="2"/>
      <c r="U278" s="2"/>
      <c r="V278" s="2"/>
      <c r="W278" s="1"/>
      <c r="X278" s="1"/>
      <c r="Y278" s="2"/>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row>
    <row r="279" ht="12.75" customHeight="1">
      <c r="A279" s="1"/>
      <c r="B279" s="1"/>
      <c r="C279" s="1"/>
      <c r="D279" s="1"/>
      <c r="E279" s="1"/>
      <c r="F279" s="1"/>
      <c r="G279" s="1"/>
      <c r="H279" s="1"/>
      <c r="I279" s="2"/>
      <c r="J279" s="1"/>
      <c r="K279" s="2"/>
      <c r="L279" s="1"/>
      <c r="M279" s="2"/>
      <c r="N279" s="2"/>
      <c r="O279" s="2"/>
      <c r="P279" s="2"/>
      <c r="Q279" s="2"/>
      <c r="R279" s="2"/>
      <c r="S279" s="2"/>
      <c r="T279" s="2"/>
      <c r="U279" s="2"/>
      <c r="V279" s="2"/>
      <c r="W279" s="1"/>
      <c r="X279" s="1"/>
      <c r="Y279" s="2"/>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row>
    <row r="280" ht="12.75" customHeight="1">
      <c r="A280" s="1"/>
      <c r="B280" s="1"/>
      <c r="C280" s="1"/>
      <c r="D280" s="1"/>
      <c r="E280" s="1"/>
      <c r="F280" s="1"/>
      <c r="G280" s="1"/>
      <c r="H280" s="1"/>
      <c r="I280" s="2"/>
      <c r="J280" s="1"/>
      <c r="K280" s="2"/>
      <c r="L280" s="1"/>
      <c r="M280" s="2"/>
      <c r="N280" s="2"/>
      <c r="O280" s="2"/>
      <c r="P280" s="2"/>
      <c r="Q280" s="2"/>
      <c r="R280" s="2"/>
      <c r="S280" s="2"/>
      <c r="T280" s="2"/>
      <c r="U280" s="2"/>
      <c r="V280" s="2"/>
      <c r="W280" s="1"/>
      <c r="X280" s="1"/>
      <c r="Y280" s="2"/>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row>
    <row r="281" ht="12.75" customHeight="1">
      <c r="A281" s="1"/>
      <c r="B281" s="1"/>
      <c r="C281" s="1"/>
      <c r="D281" s="1"/>
      <c r="E281" s="1"/>
      <c r="F281" s="1"/>
      <c r="G281" s="1"/>
      <c r="H281" s="1"/>
      <c r="I281" s="2"/>
      <c r="J281" s="1"/>
      <c r="K281" s="2"/>
      <c r="L281" s="1"/>
      <c r="M281" s="2"/>
      <c r="N281" s="2"/>
      <c r="O281" s="2"/>
      <c r="P281" s="2"/>
      <c r="Q281" s="2"/>
      <c r="R281" s="2"/>
      <c r="S281" s="2"/>
      <c r="T281" s="2"/>
      <c r="U281" s="2"/>
      <c r="V281" s="2"/>
      <c r="W281" s="1"/>
      <c r="X281" s="1"/>
      <c r="Y281" s="2"/>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row>
    <row r="282" ht="12.75" customHeight="1">
      <c r="A282" s="1"/>
      <c r="B282" s="1"/>
      <c r="C282" s="1"/>
      <c r="D282" s="1"/>
      <c r="E282" s="1"/>
      <c r="F282" s="1"/>
      <c r="G282" s="1"/>
      <c r="H282" s="1"/>
      <c r="I282" s="2"/>
      <c r="J282" s="1"/>
      <c r="K282" s="2"/>
      <c r="L282" s="1"/>
      <c r="M282" s="2"/>
      <c r="N282" s="2"/>
      <c r="O282" s="2"/>
      <c r="P282" s="2"/>
      <c r="Q282" s="2"/>
      <c r="R282" s="2"/>
      <c r="S282" s="2"/>
      <c r="T282" s="2"/>
      <c r="U282" s="2"/>
      <c r="V282" s="2"/>
      <c r="W282" s="1"/>
      <c r="X282" s="1"/>
      <c r="Y282" s="2"/>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row>
    <row r="283" ht="12.75" customHeight="1">
      <c r="A283" s="1"/>
      <c r="B283" s="1"/>
      <c r="C283" s="1"/>
      <c r="D283" s="1"/>
      <c r="E283" s="1"/>
      <c r="F283" s="1"/>
      <c r="G283" s="1"/>
      <c r="H283" s="1"/>
      <c r="I283" s="2"/>
      <c r="J283" s="1"/>
      <c r="K283" s="2"/>
      <c r="L283" s="1"/>
      <c r="M283" s="2"/>
      <c r="N283" s="2"/>
      <c r="O283" s="2"/>
      <c r="P283" s="2"/>
      <c r="Q283" s="2"/>
      <c r="R283" s="2"/>
      <c r="S283" s="2"/>
      <c r="T283" s="2"/>
      <c r="U283" s="2"/>
      <c r="V283" s="2"/>
      <c r="W283" s="1"/>
      <c r="X283" s="1"/>
      <c r="Y283" s="2"/>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row>
    <row r="284" ht="12.75" customHeight="1">
      <c r="A284" s="1"/>
      <c r="B284" s="1"/>
      <c r="C284" s="1"/>
      <c r="D284" s="1"/>
      <c r="E284" s="1"/>
      <c r="F284" s="1"/>
      <c r="G284" s="1"/>
      <c r="H284" s="1"/>
      <c r="I284" s="2"/>
      <c r="J284" s="1"/>
      <c r="K284" s="2"/>
      <c r="L284" s="1"/>
      <c r="M284" s="2"/>
      <c r="N284" s="2"/>
      <c r="O284" s="2"/>
      <c r="P284" s="2"/>
      <c r="Q284" s="2"/>
      <c r="R284" s="2"/>
      <c r="S284" s="2"/>
      <c r="T284" s="2"/>
      <c r="U284" s="2"/>
      <c r="V284" s="2"/>
      <c r="W284" s="1"/>
      <c r="X284" s="1"/>
      <c r="Y284" s="2"/>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row>
    <row r="285" ht="12.75" customHeight="1">
      <c r="A285" s="1"/>
      <c r="B285" s="1"/>
      <c r="C285" s="1"/>
      <c r="D285" s="1"/>
      <c r="E285" s="1"/>
      <c r="F285" s="1"/>
      <c r="G285" s="1"/>
      <c r="H285" s="1"/>
      <c r="I285" s="2"/>
      <c r="J285" s="1"/>
      <c r="K285" s="2"/>
      <c r="L285" s="1"/>
      <c r="M285" s="2"/>
      <c r="N285" s="2"/>
      <c r="O285" s="2"/>
      <c r="P285" s="2"/>
      <c r="Q285" s="2"/>
      <c r="R285" s="2"/>
      <c r="S285" s="2"/>
      <c r="T285" s="2"/>
      <c r="U285" s="2"/>
      <c r="V285" s="2"/>
      <c r="W285" s="1"/>
      <c r="X285" s="1"/>
      <c r="Y285" s="2"/>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row>
    <row r="286" ht="12.75" customHeight="1">
      <c r="A286" s="1"/>
      <c r="B286" s="1"/>
      <c r="C286" s="1"/>
      <c r="D286" s="1"/>
      <c r="E286" s="1"/>
      <c r="F286" s="1"/>
      <c r="G286" s="1"/>
      <c r="H286" s="1"/>
      <c r="I286" s="2"/>
      <c r="J286" s="1"/>
      <c r="K286" s="2"/>
      <c r="L286" s="1"/>
      <c r="M286" s="2"/>
      <c r="N286" s="2"/>
      <c r="O286" s="2"/>
      <c r="P286" s="2"/>
      <c r="Q286" s="2"/>
      <c r="R286" s="2"/>
      <c r="S286" s="2"/>
      <c r="T286" s="2"/>
      <c r="U286" s="2"/>
      <c r="V286" s="2"/>
      <c r="W286" s="1"/>
      <c r="X286" s="1"/>
      <c r="Y286" s="2"/>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row>
    <row r="287" ht="12.75" customHeight="1">
      <c r="A287" s="1"/>
      <c r="B287" s="1"/>
      <c r="C287" s="1"/>
      <c r="D287" s="1"/>
      <c r="E287" s="1"/>
      <c r="F287" s="1"/>
      <c r="G287" s="1"/>
      <c r="H287" s="1"/>
      <c r="I287" s="2"/>
      <c r="J287" s="1"/>
      <c r="K287" s="2"/>
      <c r="L287" s="1"/>
      <c r="M287" s="2"/>
      <c r="N287" s="2"/>
      <c r="O287" s="2"/>
      <c r="P287" s="2"/>
      <c r="Q287" s="2"/>
      <c r="R287" s="2"/>
      <c r="S287" s="2"/>
      <c r="T287" s="2"/>
      <c r="U287" s="2"/>
      <c r="V287" s="2"/>
      <c r="W287" s="1"/>
      <c r="X287" s="1"/>
      <c r="Y287" s="2"/>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row>
    <row r="288" ht="12.75" customHeight="1">
      <c r="A288" s="1"/>
      <c r="B288" s="1"/>
      <c r="C288" s="1"/>
      <c r="D288" s="1"/>
      <c r="E288" s="1"/>
      <c r="F288" s="1"/>
      <c r="G288" s="1"/>
      <c r="H288" s="1"/>
      <c r="I288" s="2"/>
      <c r="J288" s="1"/>
      <c r="K288" s="2"/>
      <c r="L288" s="1"/>
      <c r="M288" s="2"/>
      <c r="N288" s="2"/>
      <c r="O288" s="2"/>
      <c r="P288" s="2"/>
      <c r="Q288" s="2"/>
      <c r="R288" s="2"/>
      <c r="S288" s="2"/>
      <c r="T288" s="2"/>
      <c r="U288" s="2"/>
      <c r="V288" s="2"/>
      <c r="W288" s="1"/>
      <c r="X288" s="1"/>
      <c r="Y288" s="2"/>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row>
    <row r="289" ht="12.75" customHeight="1">
      <c r="A289" s="1"/>
      <c r="B289" s="1"/>
      <c r="C289" s="1"/>
      <c r="D289" s="1"/>
      <c r="E289" s="1"/>
      <c r="F289" s="1"/>
      <c r="G289" s="1"/>
      <c r="H289" s="1"/>
      <c r="I289" s="2"/>
      <c r="J289" s="1"/>
      <c r="K289" s="2"/>
      <c r="L289" s="1"/>
      <c r="M289" s="2"/>
      <c r="N289" s="2"/>
      <c r="O289" s="2"/>
      <c r="P289" s="2"/>
      <c r="Q289" s="2"/>
      <c r="R289" s="2"/>
      <c r="S289" s="2"/>
      <c r="T289" s="2"/>
      <c r="U289" s="2"/>
      <c r="V289" s="2"/>
      <c r="W289" s="1"/>
      <c r="X289" s="1"/>
      <c r="Y289" s="2"/>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row>
    <row r="290" ht="12.75" customHeight="1">
      <c r="A290" s="1"/>
      <c r="B290" s="1"/>
      <c r="C290" s="1"/>
      <c r="D290" s="1"/>
      <c r="E290" s="1"/>
      <c r="F290" s="1"/>
      <c r="G290" s="1"/>
      <c r="H290" s="1"/>
      <c r="I290" s="2"/>
      <c r="J290" s="1"/>
      <c r="K290" s="2"/>
      <c r="L290" s="1"/>
      <c r="M290" s="2"/>
      <c r="N290" s="2"/>
      <c r="O290" s="2"/>
      <c r="P290" s="2"/>
      <c r="Q290" s="2"/>
      <c r="R290" s="2"/>
      <c r="S290" s="2"/>
      <c r="T290" s="2"/>
      <c r="U290" s="2"/>
      <c r="V290" s="2"/>
      <c r="W290" s="1"/>
      <c r="X290" s="1"/>
      <c r="Y290" s="2"/>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row>
    <row r="291" ht="12.75" customHeight="1">
      <c r="A291" s="1"/>
      <c r="B291" s="1"/>
      <c r="C291" s="1"/>
      <c r="D291" s="1"/>
      <c r="E291" s="1"/>
      <c r="F291" s="1"/>
      <c r="G291" s="1"/>
      <c r="H291" s="1"/>
      <c r="I291" s="2"/>
      <c r="J291" s="1"/>
      <c r="K291" s="2"/>
      <c r="L291" s="1"/>
      <c r="M291" s="2"/>
      <c r="N291" s="2"/>
      <c r="O291" s="2"/>
      <c r="P291" s="2"/>
      <c r="Q291" s="2"/>
      <c r="R291" s="2"/>
      <c r="S291" s="2"/>
      <c r="T291" s="2"/>
      <c r="U291" s="2"/>
      <c r="V291" s="2"/>
      <c r="W291" s="1"/>
      <c r="X291" s="1"/>
      <c r="Y291" s="2"/>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row>
    <row r="292" ht="12.75" customHeight="1">
      <c r="A292" s="1"/>
      <c r="B292" s="1"/>
      <c r="C292" s="1"/>
      <c r="D292" s="1"/>
      <c r="E292" s="1"/>
      <c r="F292" s="1"/>
      <c r="G292" s="1"/>
      <c r="H292" s="1"/>
      <c r="I292" s="2"/>
      <c r="J292" s="1"/>
      <c r="K292" s="2"/>
      <c r="L292" s="1"/>
      <c r="M292" s="2"/>
      <c r="N292" s="2"/>
      <c r="O292" s="2"/>
      <c r="P292" s="2"/>
      <c r="Q292" s="2"/>
      <c r="R292" s="2"/>
      <c r="S292" s="2"/>
      <c r="T292" s="2"/>
      <c r="U292" s="2"/>
      <c r="V292" s="2"/>
      <c r="W292" s="1"/>
      <c r="X292" s="1"/>
      <c r="Y292" s="2"/>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row>
    <row r="293" ht="12.75" customHeight="1">
      <c r="A293" s="1"/>
      <c r="B293" s="1"/>
      <c r="C293" s="1"/>
      <c r="D293" s="1"/>
      <c r="E293" s="1"/>
      <c r="F293" s="1"/>
      <c r="G293" s="1"/>
      <c r="H293" s="1"/>
      <c r="I293" s="2"/>
      <c r="J293" s="1"/>
      <c r="K293" s="2"/>
      <c r="L293" s="1"/>
      <c r="M293" s="2"/>
      <c r="N293" s="2"/>
      <c r="O293" s="2"/>
      <c r="P293" s="2"/>
      <c r="Q293" s="2"/>
      <c r="R293" s="2"/>
      <c r="S293" s="2"/>
      <c r="T293" s="2"/>
      <c r="U293" s="2"/>
      <c r="V293" s="2"/>
      <c r="W293" s="1"/>
      <c r="X293" s="1"/>
      <c r="Y293" s="2"/>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row>
    <row r="294" ht="12.75" customHeight="1">
      <c r="A294" s="1"/>
      <c r="B294" s="1"/>
      <c r="C294" s="1"/>
      <c r="D294" s="1"/>
      <c r="E294" s="1"/>
      <c r="F294" s="1"/>
      <c r="G294" s="1"/>
      <c r="H294" s="1"/>
      <c r="I294" s="2"/>
      <c r="J294" s="1"/>
      <c r="K294" s="2"/>
      <c r="L294" s="1"/>
      <c r="M294" s="2"/>
      <c r="N294" s="2"/>
      <c r="O294" s="2"/>
      <c r="P294" s="2"/>
      <c r="Q294" s="2"/>
      <c r="R294" s="2"/>
      <c r="S294" s="2"/>
      <c r="T294" s="2"/>
      <c r="U294" s="2"/>
      <c r="V294" s="2"/>
      <c r="W294" s="1"/>
      <c r="X294" s="1"/>
      <c r="Y294" s="2"/>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row>
    <row r="295" ht="12.75" customHeight="1">
      <c r="A295" s="1"/>
      <c r="B295" s="1"/>
      <c r="C295" s="1"/>
      <c r="D295" s="1"/>
      <c r="E295" s="1"/>
      <c r="F295" s="1"/>
      <c r="G295" s="1"/>
      <c r="H295" s="1"/>
      <c r="I295" s="2"/>
      <c r="J295" s="1"/>
      <c r="K295" s="2"/>
      <c r="L295" s="1"/>
      <c r="M295" s="2"/>
      <c r="N295" s="2"/>
      <c r="O295" s="2"/>
      <c r="P295" s="2"/>
      <c r="Q295" s="2"/>
      <c r="R295" s="2"/>
      <c r="S295" s="2"/>
      <c r="T295" s="2"/>
      <c r="U295" s="2"/>
      <c r="V295" s="2"/>
      <c r="W295" s="1"/>
      <c r="X295" s="1"/>
      <c r="Y295" s="2"/>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row>
    <row r="296" ht="12.75" customHeight="1">
      <c r="A296" s="1"/>
      <c r="B296" s="1"/>
      <c r="C296" s="1"/>
      <c r="D296" s="1"/>
      <c r="E296" s="1"/>
      <c r="F296" s="1"/>
      <c r="G296" s="1"/>
      <c r="H296" s="1"/>
      <c r="I296" s="2"/>
      <c r="J296" s="1"/>
      <c r="K296" s="2"/>
      <c r="L296" s="1"/>
      <c r="M296" s="2"/>
      <c r="N296" s="2"/>
      <c r="O296" s="2"/>
      <c r="P296" s="2"/>
      <c r="Q296" s="2"/>
      <c r="R296" s="2"/>
      <c r="S296" s="2"/>
      <c r="T296" s="2"/>
      <c r="U296" s="2"/>
      <c r="V296" s="2"/>
      <c r="W296" s="1"/>
      <c r="X296" s="1"/>
      <c r="Y296" s="2"/>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row>
    <row r="297" ht="12.75" customHeight="1">
      <c r="A297" s="1"/>
      <c r="B297" s="1"/>
      <c r="C297" s="1"/>
      <c r="D297" s="1"/>
      <c r="E297" s="1"/>
      <c r="F297" s="1"/>
      <c r="G297" s="1"/>
      <c r="H297" s="1"/>
      <c r="I297" s="2"/>
      <c r="J297" s="1"/>
      <c r="K297" s="2"/>
      <c r="L297" s="1"/>
      <c r="M297" s="2"/>
      <c r="N297" s="2"/>
      <c r="O297" s="2"/>
      <c r="P297" s="2"/>
      <c r="Q297" s="2"/>
      <c r="R297" s="2"/>
      <c r="S297" s="2"/>
      <c r="T297" s="2"/>
      <c r="U297" s="2"/>
      <c r="V297" s="2"/>
      <c r="W297" s="1"/>
      <c r="X297" s="1"/>
      <c r="Y297" s="2"/>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row>
    <row r="298" ht="12.75" customHeight="1">
      <c r="A298" s="1"/>
      <c r="B298" s="1"/>
      <c r="C298" s="1"/>
      <c r="D298" s="1"/>
      <c r="E298" s="1"/>
      <c r="F298" s="1"/>
      <c r="G298" s="1"/>
      <c r="H298" s="1"/>
      <c r="I298" s="2"/>
      <c r="J298" s="1"/>
      <c r="K298" s="2"/>
      <c r="L298" s="1"/>
      <c r="M298" s="2"/>
      <c r="N298" s="2"/>
      <c r="O298" s="2"/>
      <c r="P298" s="2"/>
      <c r="Q298" s="2"/>
      <c r="R298" s="2"/>
      <c r="S298" s="2"/>
      <c r="T298" s="2"/>
      <c r="U298" s="2"/>
      <c r="V298" s="2"/>
      <c r="W298" s="1"/>
      <c r="X298" s="1"/>
      <c r="Y298" s="2"/>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row>
    <row r="299" ht="12.75" customHeight="1">
      <c r="A299" s="1"/>
      <c r="B299" s="1"/>
      <c r="C299" s="1"/>
      <c r="D299" s="1"/>
      <c r="E299" s="1"/>
      <c r="F299" s="1"/>
      <c r="G299" s="1"/>
      <c r="H299" s="1"/>
      <c r="I299" s="2"/>
      <c r="J299" s="1"/>
      <c r="K299" s="2"/>
      <c r="L299" s="1"/>
      <c r="M299" s="2"/>
      <c r="N299" s="2"/>
      <c r="O299" s="2"/>
      <c r="P299" s="2"/>
      <c r="Q299" s="2"/>
      <c r="R299" s="2"/>
      <c r="S299" s="2"/>
      <c r="T299" s="2"/>
      <c r="U299" s="2"/>
      <c r="V299" s="2"/>
      <c r="W299" s="1"/>
      <c r="X299" s="1"/>
      <c r="Y299" s="2"/>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row>
    <row r="300" ht="12.75" customHeight="1">
      <c r="A300" s="1"/>
      <c r="B300" s="1"/>
      <c r="C300" s="1"/>
      <c r="D300" s="1"/>
      <c r="E300" s="1"/>
      <c r="F300" s="1"/>
      <c r="G300" s="1"/>
      <c r="H300" s="1"/>
      <c r="I300" s="2"/>
      <c r="J300" s="1"/>
      <c r="K300" s="2"/>
      <c r="L300" s="1"/>
      <c r="M300" s="2"/>
      <c r="N300" s="2"/>
      <c r="O300" s="2"/>
      <c r="P300" s="2"/>
      <c r="Q300" s="2"/>
      <c r="R300" s="2"/>
      <c r="S300" s="2"/>
      <c r="T300" s="2"/>
      <c r="U300" s="2"/>
      <c r="V300" s="2"/>
      <c r="W300" s="1"/>
      <c r="X300" s="1"/>
      <c r="Y300" s="2"/>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row>
    <row r="301" ht="12.75" customHeight="1">
      <c r="A301" s="1"/>
      <c r="B301" s="1"/>
      <c r="C301" s="1"/>
      <c r="D301" s="1"/>
      <c r="E301" s="1"/>
      <c r="F301" s="1"/>
      <c r="G301" s="1"/>
      <c r="H301" s="1"/>
      <c r="I301" s="2"/>
      <c r="J301" s="1"/>
      <c r="K301" s="2"/>
      <c r="L301" s="1"/>
      <c r="M301" s="2"/>
      <c r="N301" s="2"/>
      <c r="O301" s="2"/>
      <c r="P301" s="2"/>
      <c r="Q301" s="2"/>
      <c r="R301" s="2"/>
      <c r="S301" s="2"/>
      <c r="T301" s="2"/>
      <c r="U301" s="2"/>
      <c r="V301" s="2"/>
      <c r="W301" s="1"/>
      <c r="X301" s="1"/>
      <c r="Y301" s="2"/>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row>
    <row r="302" ht="12.75" customHeight="1">
      <c r="A302" s="1"/>
      <c r="B302" s="1"/>
      <c r="C302" s="1"/>
      <c r="D302" s="1"/>
      <c r="E302" s="1"/>
      <c r="F302" s="1"/>
      <c r="G302" s="1"/>
      <c r="H302" s="1"/>
      <c r="I302" s="2"/>
      <c r="J302" s="1"/>
      <c r="K302" s="2"/>
      <c r="L302" s="1"/>
      <c r="M302" s="2"/>
      <c r="N302" s="2"/>
      <c r="O302" s="2"/>
      <c r="P302" s="2"/>
      <c r="Q302" s="2"/>
      <c r="R302" s="2"/>
      <c r="S302" s="2"/>
      <c r="T302" s="2"/>
      <c r="U302" s="2"/>
      <c r="V302" s="2"/>
      <c r="W302" s="1"/>
      <c r="X302" s="1"/>
      <c r="Y302" s="2"/>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row>
    <row r="303" ht="12.75" customHeight="1">
      <c r="A303" s="1"/>
      <c r="B303" s="1"/>
      <c r="C303" s="1"/>
      <c r="D303" s="1"/>
      <c r="E303" s="1"/>
      <c r="F303" s="1"/>
      <c r="G303" s="1"/>
      <c r="H303" s="1"/>
      <c r="I303" s="2"/>
      <c r="J303" s="1"/>
      <c r="K303" s="2"/>
      <c r="L303" s="1"/>
      <c r="M303" s="2"/>
      <c r="N303" s="2"/>
      <c r="O303" s="2"/>
      <c r="P303" s="2"/>
      <c r="Q303" s="2"/>
      <c r="R303" s="2"/>
      <c r="S303" s="2"/>
      <c r="T303" s="2"/>
      <c r="U303" s="2"/>
      <c r="V303" s="2"/>
      <c r="W303" s="1"/>
      <c r="X303" s="1"/>
      <c r="Y303" s="2"/>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row>
  </sheetData>
  <mergeCells count="30">
    <mergeCell ref="F9:G10"/>
    <mergeCell ref="F11:F16"/>
    <mergeCell ref="F17:F21"/>
    <mergeCell ref="F22:G23"/>
    <mergeCell ref="A23:B23"/>
    <mergeCell ref="F24:F29"/>
    <mergeCell ref="A29:B29"/>
    <mergeCell ref="F30:F38"/>
    <mergeCell ref="F39:G39"/>
    <mergeCell ref="A40:B40"/>
    <mergeCell ref="F40:G40"/>
    <mergeCell ref="F41:G41"/>
    <mergeCell ref="F44:G44"/>
    <mergeCell ref="A45:B45"/>
    <mergeCell ref="F45:G45"/>
    <mergeCell ref="F46:G46"/>
    <mergeCell ref="F47:G47"/>
    <mergeCell ref="F48:G48"/>
    <mergeCell ref="F49:G49"/>
    <mergeCell ref="F51:G52"/>
    <mergeCell ref="F56:G57"/>
    <mergeCell ref="F86:G86"/>
    <mergeCell ref="F87:G87"/>
    <mergeCell ref="F58:G58"/>
    <mergeCell ref="F59:F62"/>
    <mergeCell ref="F63:F68"/>
    <mergeCell ref="F69:G69"/>
    <mergeCell ref="F70:F75"/>
    <mergeCell ref="F76:F84"/>
    <mergeCell ref="F85:G85"/>
  </mergeCells>
  <printOptions horizontalCentered="1" verticalCentered="1"/>
  <pageMargins bottom="0.1968503937007874" footer="0.0" header="0.0" left="0.3937007874015748" right="0.0" top="0.1968503937007874"/>
  <pageSetup paperSize="9" scale="68"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43"/>
    <col customWidth="1" min="3" max="5" width="8.71"/>
    <col customWidth="1" min="6" max="6" width="14.43"/>
    <col customWidth="1" min="7" max="7" width="8.71"/>
    <col customWidth="1" min="8" max="8" width="9.71"/>
    <col customWidth="1" min="9" max="9" width="5.43"/>
    <col customWidth="1" min="10" max="12" width="4.71"/>
    <col customWidth="1" min="13" max="26" width="8.71"/>
  </cols>
  <sheetData>
    <row r="1" ht="12.75" customHeight="1">
      <c r="A1" s="440" t="s">
        <v>97</v>
      </c>
      <c r="C1" s="440" t="s">
        <v>98</v>
      </c>
      <c r="D1" s="440"/>
      <c r="G1" s="440" t="s">
        <v>98</v>
      </c>
      <c r="M1" s="440" t="s">
        <v>99</v>
      </c>
    </row>
    <row r="2" ht="12.75" customHeight="1">
      <c r="A2" s="441" t="s">
        <v>100</v>
      </c>
      <c r="B2" s="440" t="s">
        <v>101</v>
      </c>
      <c r="C2" s="442">
        <v>533.0</v>
      </c>
      <c r="E2" s="441" t="s">
        <v>102</v>
      </c>
      <c r="F2" s="440" t="s">
        <v>101</v>
      </c>
      <c r="G2" s="442">
        <v>590.0</v>
      </c>
    </row>
    <row r="3" ht="12.75" customHeight="1">
      <c r="B3" s="440" t="s">
        <v>103</v>
      </c>
      <c r="C3" s="442">
        <v>70.0</v>
      </c>
      <c r="F3" s="440" t="s">
        <v>103</v>
      </c>
      <c r="G3" s="442">
        <v>0.0</v>
      </c>
    </row>
    <row r="4" ht="12.75" customHeight="1">
      <c r="B4" s="440" t="s">
        <v>104</v>
      </c>
      <c r="C4" s="442">
        <v>30.0</v>
      </c>
      <c r="F4" s="440" t="s">
        <v>104</v>
      </c>
      <c r="G4" s="442">
        <v>30.0</v>
      </c>
    </row>
    <row r="5" ht="12.75" customHeight="1">
      <c r="B5" s="440" t="s">
        <v>105</v>
      </c>
      <c r="C5" s="442">
        <v>6.0</v>
      </c>
      <c r="F5" s="440" t="s">
        <v>105</v>
      </c>
      <c r="G5" s="442">
        <v>6.0</v>
      </c>
    </row>
    <row r="6" ht="12.75" customHeight="1"/>
    <row r="7" ht="12.75" customHeight="1">
      <c r="B7" s="440" t="s">
        <v>31</v>
      </c>
      <c r="C7" s="442">
        <f>SUM(C2:C5)</f>
        <v>639</v>
      </c>
      <c r="F7" s="440" t="s">
        <v>31</v>
      </c>
      <c r="G7" s="442">
        <f>SUM(G2:G5)</f>
        <v>626</v>
      </c>
    </row>
    <row r="8" ht="12.75" customHeight="1">
      <c r="B8" s="440" t="s">
        <v>106</v>
      </c>
      <c r="C8" s="442">
        <v>10.17</v>
      </c>
      <c r="F8" s="440" t="s">
        <v>106</v>
      </c>
      <c r="G8" s="442">
        <v>10.17</v>
      </c>
    </row>
    <row r="9" ht="12.75" customHeight="1">
      <c r="B9" s="440" t="s">
        <v>107</v>
      </c>
      <c r="C9" s="443">
        <f>C7*C8</f>
        <v>6498.63</v>
      </c>
      <c r="F9" s="440" t="s">
        <v>107</v>
      </c>
      <c r="G9" s="443">
        <f>G7*G8</f>
        <v>6366.42</v>
      </c>
    </row>
    <row r="10" ht="12.75" customHeight="1"/>
    <row r="11" ht="12.75" customHeight="1">
      <c r="B11" s="440"/>
      <c r="C11" s="444"/>
      <c r="F11" s="440"/>
      <c r="G11" s="444"/>
    </row>
    <row r="12" ht="12.75" customHeight="1">
      <c r="B12" s="440"/>
      <c r="F12" s="440"/>
    </row>
    <row r="13" ht="12.75" customHeight="1"/>
    <row r="14" ht="12.75" customHeight="1">
      <c r="A14" s="440" t="s">
        <v>108</v>
      </c>
      <c r="C14" s="440" t="s">
        <v>98</v>
      </c>
      <c r="G14" s="440" t="s">
        <v>98</v>
      </c>
    </row>
    <row r="15" ht="12.75" customHeight="1">
      <c r="A15" s="441" t="s">
        <v>109</v>
      </c>
      <c r="B15" s="440" t="s">
        <v>101</v>
      </c>
      <c r="C15" s="442">
        <v>533.0</v>
      </c>
      <c r="E15" s="441" t="s">
        <v>110</v>
      </c>
      <c r="F15" s="440" t="s">
        <v>101</v>
      </c>
      <c r="G15" s="442">
        <v>590.0</v>
      </c>
    </row>
    <row r="16" ht="12.75" customHeight="1">
      <c r="B16" s="440" t="s">
        <v>103</v>
      </c>
      <c r="C16" s="442">
        <v>70.0</v>
      </c>
      <c r="F16" s="440" t="s">
        <v>103</v>
      </c>
      <c r="G16" s="442">
        <v>0.0</v>
      </c>
    </row>
    <row r="17" ht="12.75" customHeight="1">
      <c r="B17" s="440" t="s">
        <v>104</v>
      </c>
      <c r="C17" s="442">
        <v>30.0</v>
      </c>
      <c r="F17" s="440" t="s">
        <v>104</v>
      </c>
      <c r="G17" s="442">
        <v>30.0</v>
      </c>
    </row>
    <row r="18" ht="12.75" customHeight="1">
      <c r="B18" s="440" t="s">
        <v>105</v>
      </c>
      <c r="C18" s="442">
        <v>6.0</v>
      </c>
      <c r="F18" s="440" t="s">
        <v>105</v>
      </c>
      <c r="G18" s="442">
        <v>6.0</v>
      </c>
    </row>
    <row r="19" ht="12.75" customHeight="1">
      <c r="B19" s="440" t="s">
        <v>111</v>
      </c>
      <c r="C19" s="440">
        <v>65.0</v>
      </c>
      <c r="F19" s="440" t="s">
        <v>111</v>
      </c>
      <c r="G19" s="442">
        <v>0.0</v>
      </c>
    </row>
    <row r="20" ht="12.75" customHeight="1"/>
    <row r="21" ht="12.75" customHeight="1">
      <c r="B21" s="440" t="s">
        <v>31</v>
      </c>
      <c r="C21" s="442">
        <f>SUM(C15:C19)</f>
        <v>704</v>
      </c>
      <c r="F21" s="440" t="s">
        <v>31</v>
      </c>
      <c r="G21" s="442">
        <f>SUM(G15:G19)</f>
        <v>626</v>
      </c>
    </row>
    <row r="22" ht="12.75" customHeight="1">
      <c r="B22" s="440" t="s">
        <v>106</v>
      </c>
      <c r="C22" s="442">
        <v>10.17</v>
      </c>
      <c r="F22" s="440" t="s">
        <v>106</v>
      </c>
      <c r="G22" s="442">
        <v>10.17</v>
      </c>
    </row>
    <row r="23" ht="12.75" customHeight="1">
      <c r="B23" s="440" t="s">
        <v>107</v>
      </c>
      <c r="C23" s="443">
        <f>C21*C22</f>
        <v>7159.68</v>
      </c>
      <c r="F23" s="440" t="s">
        <v>107</v>
      </c>
      <c r="G23" s="443">
        <f>G21*G22</f>
        <v>6366.42</v>
      </c>
    </row>
    <row r="24" ht="12.75" customHeight="1"/>
    <row r="25" ht="12.0" customHeight="1">
      <c r="B25" s="440" t="s">
        <v>99</v>
      </c>
      <c r="C25" s="444">
        <v>0.096</v>
      </c>
      <c r="E25" s="440" t="s">
        <v>99</v>
      </c>
      <c r="F25" s="440"/>
      <c r="G25" s="444">
        <v>0.093</v>
      </c>
    </row>
    <row r="26" ht="12.0" customHeight="1">
      <c r="B26" s="440"/>
      <c r="C26" s="444"/>
      <c r="E26" s="440"/>
      <c r="F26" s="440"/>
      <c r="G26" s="444"/>
    </row>
    <row r="27" ht="12.75" customHeight="1">
      <c r="B27" s="440"/>
      <c r="C27" s="443"/>
    </row>
    <row r="28" ht="12.75" customHeight="1">
      <c r="A28" s="440" t="s">
        <v>112</v>
      </c>
      <c r="C28" s="440" t="s">
        <v>98</v>
      </c>
      <c r="G28" s="440" t="s">
        <v>98</v>
      </c>
    </row>
    <row r="29" ht="12.75" customHeight="1">
      <c r="A29" s="441" t="s">
        <v>113</v>
      </c>
      <c r="B29" s="440" t="s">
        <v>101</v>
      </c>
      <c r="C29" s="445"/>
      <c r="E29" s="441" t="s">
        <v>114</v>
      </c>
      <c r="F29" s="440" t="s">
        <v>101</v>
      </c>
      <c r="G29" s="445"/>
    </row>
    <row r="30" ht="12.75" customHeight="1">
      <c r="B30" s="440" t="s">
        <v>103</v>
      </c>
      <c r="C30" s="442">
        <v>70.0</v>
      </c>
      <c r="F30" s="440" t="s">
        <v>103</v>
      </c>
      <c r="G30" s="442">
        <v>0.0</v>
      </c>
    </row>
    <row r="31" ht="12.75" customHeight="1">
      <c r="B31" s="440" t="s">
        <v>104</v>
      </c>
      <c r="C31" s="442">
        <v>30.0</v>
      </c>
      <c r="F31" s="440" t="s">
        <v>104</v>
      </c>
      <c r="G31" s="442">
        <v>30.0</v>
      </c>
    </row>
    <row r="32" ht="12.75" customHeight="1">
      <c r="B32" s="440" t="s">
        <v>105</v>
      </c>
      <c r="C32" s="442">
        <v>6.0</v>
      </c>
      <c r="F32" s="440" t="s">
        <v>105</v>
      </c>
      <c r="G32" s="442">
        <v>6.0</v>
      </c>
    </row>
    <row r="33" ht="12.75" customHeight="1">
      <c r="B33" s="440" t="s">
        <v>111</v>
      </c>
      <c r="C33" s="440">
        <f>65*3</f>
        <v>195</v>
      </c>
      <c r="D33" s="446" t="s">
        <v>115</v>
      </c>
      <c r="F33" s="440" t="s">
        <v>111</v>
      </c>
      <c r="M33" s="440" t="s">
        <v>111</v>
      </c>
    </row>
    <row r="34" ht="12.75" customHeight="1"/>
    <row r="35" ht="12.75" customHeight="1">
      <c r="B35" s="440" t="s">
        <v>31</v>
      </c>
      <c r="C35" s="442">
        <f>SUM(C29:C33)</f>
        <v>301</v>
      </c>
      <c r="F35" s="440" t="s">
        <v>31</v>
      </c>
      <c r="G35" s="442">
        <f>SUM(G29:G32)</f>
        <v>36</v>
      </c>
    </row>
    <row r="36" ht="12.75" customHeight="1">
      <c r="B36" s="440" t="s">
        <v>106</v>
      </c>
      <c r="C36" s="442">
        <v>10.17</v>
      </c>
      <c r="F36" s="440" t="s">
        <v>106</v>
      </c>
      <c r="G36" s="442">
        <v>10.17</v>
      </c>
    </row>
    <row r="37" ht="12.75" customHeight="1">
      <c r="B37" s="440" t="s">
        <v>107</v>
      </c>
      <c r="C37" s="443">
        <f>C35*C36</f>
        <v>3061.17</v>
      </c>
      <c r="F37" s="440" t="s">
        <v>107</v>
      </c>
      <c r="G37" s="443">
        <f>G35*G36</f>
        <v>366.12</v>
      </c>
    </row>
    <row r="38" ht="12.75" customHeight="1"/>
    <row r="39" ht="12.75" customHeight="1">
      <c r="B39" s="440" t="s">
        <v>99</v>
      </c>
      <c r="C39" s="444">
        <v>0.096</v>
      </c>
      <c r="E39" s="440" t="s">
        <v>99</v>
      </c>
      <c r="F39" s="440"/>
      <c r="G39" s="444">
        <v>0.093</v>
      </c>
    </row>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71"/>
    <col customWidth="1" min="2" max="2" width="15.43"/>
    <col customWidth="1" min="3" max="20" width="14.43"/>
  </cols>
  <sheetData>
    <row r="1" ht="15.75" customHeight="1">
      <c r="A1" s="447"/>
      <c r="B1" s="448" t="s">
        <v>116</v>
      </c>
      <c r="C1" s="449" t="s">
        <v>117</v>
      </c>
      <c r="D1" s="449" t="s">
        <v>118</v>
      </c>
      <c r="E1" s="449" t="s">
        <v>119</v>
      </c>
      <c r="F1" s="449" t="s">
        <v>120</v>
      </c>
      <c r="G1" s="449" t="s">
        <v>121</v>
      </c>
      <c r="H1" s="449" t="s">
        <v>122</v>
      </c>
      <c r="I1" s="449" t="s">
        <v>123</v>
      </c>
      <c r="J1" s="450" t="s">
        <v>124</v>
      </c>
      <c r="K1" s="451" t="s">
        <v>125</v>
      </c>
      <c r="L1" s="450" t="s">
        <v>126</v>
      </c>
      <c r="M1" s="451" t="s">
        <v>127</v>
      </c>
      <c r="N1" s="451" t="s">
        <v>128</v>
      </c>
      <c r="O1" s="447" t="s">
        <v>129</v>
      </c>
      <c r="P1" s="452"/>
      <c r="Q1" s="452"/>
    </row>
    <row r="2" ht="15.75" customHeight="1">
      <c r="A2" s="453"/>
      <c r="B2" s="454"/>
      <c r="C2" s="455"/>
      <c r="D2" s="455"/>
      <c r="E2" s="455"/>
      <c r="F2" s="455"/>
      <c r="G2" s="455"/>
      <c r="H2" s="455"/>
      <c r="I2" s="455"/>
      <c r="J2" s="455"/>
      <c r="K2" s="455"/>
      <c r="L2" s="455"/>
      <c r="M2" s="455"/>
      <c r="N2" s="455"/>
      <c r="O2" s="456">
        <f t="shared" ref="O2:O10" si="2">SUM(C2:N2)</f>
        <v>0</v>
      </c>
      <c r="P2" s="457"/>
      <c r="Q2" s="452"/>
    </row>
    <row r="3" ht="15.75" customHeight="1">
      <c r="A3" s="447" t="s">
        <v>130</v>
      </c>
      <c r="B3" s="447"/>
      <c r="C3" s="458">
        <f t="shared" ref="C3:N3" si="1">SUM(C4:C8)</f>
        <v>3563443</v>
      </c>
      <c r="D3" s="458">
        <f t="shared" si="1"/>
        <v>5944775</v>
      </c>
      <c r="E3" s="458">
        <f t="shared" si="1"/>
        <v>3575909</v>
      </c>
      <c r="F3" s="458">
        <f t="shared" si="1"/>
        <v>3638406</v>
      </c>
      <c r="G3" s="458">
        <f t="shared" si="1"/>
        <v>3884416</v>
      </c>
      <c r="H3" s="458">
        <f t="shared" si="1"/>
        <v>3583051</v>
      </c>
      <c r="I3" s="458">
        <f t="shared" si="1"/>
        <v>3715678</v>
      </c>
      <c r="J3" s="458">
        <f t="shared" si="1"/>
        <v>4542250</v>
      </c>
      <c r="K3" s="458">
        <f t="shared" si="1"/>
        <v>4713062</v>
      </c>
      <c r="L3" s="458">
        <f t="shared" si="1"/>
        <v>5769025</v>
      </c>
      <c r="M3" s="458">
        <f t="shared" si="1"/>
        <v>3335683</v>
      </c>
      <c r="N3" s="458">
        <f t="shared" si="1"/>
        <v>4227530</v>
      </c>
      <c r="O3" s="459">
        <f t="shared" si="2"/>
        <v>50493228</v>
      </c>
      <c r="P3" s="460">
        <f>O3/$O$3</f>
        <v>1</v>
      </c>
      <c r="Q3" s="452"/>
    </row>
    <row r="4" ht="15.75" customHeight="1">
      <c r="A4" s="43" t="s">
        <v>10</v>
      </c>
      <c r="B4" s="447"/>
      <c r="C4" s="437">
        <f>'A型'!C4+'B型'!C4+'共通費'!C4</f>
        <v>2216026</v>
      </c>
      <c r="D4" s="437">
        <f>'A型'!D4+'B型'!D4+'共通費'!D4</f>
        <v>2153396</v>
      </c>
      <c r="E4" s="437">
        <f>'A型'!E4+'B型'!E4+'共通費'!E4</f>
        <v>2068535</v>
      </c>
      <c r="F4" s="437">
        <f>'A型'!F4+'B型'!F4+'共通費'!F4</f>
        <v>1924273</v>
      </c>
      <c r="G4" s="437">
        <f>'A型'!G4+'B型'!G4+'共通費'!G4</f>
        <v>1821950</v>
      </c>
      <c r="H4" s="437">
        <f>'A型'!H4+'B型'!H4+'共通費'!H4</f>
        <v>1892545</v>
      </c>
      <c r="I4" s="437">
        <f>'A型'!I4+'B型'!I4+'共通費'!I4</f>
        <v>1754854</v>
      </c>
      <c r="J4" s="437">
        <f>'A型'!J4+'B型'!J4+'共通費'!J4</f>
        <v>1586450</v>
      </c>
      <c r="K4" s="437">
        <f>'A型'!K4+'B型'!K4+'共通費'!K4</f>
        <v>2029779</v>
      </c>
      <c r="L4" s="437">
        <f>'A型'!L4+'B型'!L4+'共通費'!L4</f>
        <v>1574937</v>
      </c>
      <c r="M4" s="437">
        <f>'A型'!M4+'B型'!M4+'共通費'!M4</f>
        <v>1568163</v>
      </c>
      <c r="N4" s="437">
        <f>'A型'!N4+'B型'!N4+'共通費'!N4</f>
        <v>1952454</v>
      </c>
      <c r="O4" s="459">
        <f t="shared" si="2"/>
        <v>22543362</v>
      </c>
      <c r="P4" s="460"/>
      <c r="Q4" s="452"/>
    </row>
    <row r="5" ht="15.75" customHeight="1">
      <c r="A5" s="43" t="s">
        <v>11</v>
      </c>
      <c r="B5" s="447"/>
      <c r="C5" s="437">
        <f>'A型'!C5+'B型'!C5+'共通費'!C5</f>
        <v>363290</v>
      </c>
      <c r="D5" s="437">
        <f>'A型'!D5+'B型'!D5+'共通費'!D5</f>
        <v>352012</v>
      </c>
      <c r="E5" s="437">
        <f>'A型'!E5+'B型'!E5+'共通費'!E5</f>
        <v>411068</v>
      </c>
      <c r="F5" s="437">
        <f>'A型'!F5+'B型'!F5+'共通費'!F5</f>
        <v>689889</v>
      </c>
      <c r="G5" s="437">
        <f>'A型'!G5+'B型'!G5+'共通費'!G5</f>
        <v>478943</v>
      </c>
      <c r="H5" s="437">
        <f>'A型'!H5+'B型'!H5+'共通費'!H5</f>
        <v>465733</v>
      </c>
      <c r="I5" s="437">
        <f>'A型'!I5+'B型'!I5+'共通費'!I5</f>
        <v>603545</v>
      </c>
      <c r="J5" s="437">
        <f>'A型'!J5+'B型'!J5+'共通費'!J5</f>
        <v>517528</v>
      </c>
      <c r="K5" s="437">
        <f>'A型'!K5+'B型'!K5+'共通費'!K5</f>
        <v>544632</v>
      </c>
      <c r="L5" s="437">
        <f>'A型'!L5+'B型'!L5+'共通費'!L5</f>
        <v>1026809</v>
      </c>
      <c r="M5" s="437">
        <f>'A型'!M5+'B型'!M5+'共通費'!M5</f>
        <v>745700</v>
      </c>
      <c r="N5" s="437">
        <f>'A型'!N5+'B型'!N5+'共通費'!N5</f>
        <v>1036612</v>
      </c>
      <c r="O5" s="459">
        <f t="shared" si="2"/>
        <v>7235761</v>
      </c>
      <c r="P5" s="460"/>
      <c r="Q5" s="452"/>
    </row>
    <row r="6" ht="15.75" customHeight="1">
      <c r="A6" s="43" t="s">
        <v>12</v>
      </c>
      <c r="B6" s="447"/>
      <c r="C6" s="437">
        <f>'A型'!C6+'B型'!C6+'共通費'!C6</f>
        <v>0</v>
      </c>
      <c r="D6" s="437">
        <f>'A型'!D6+'B型'!D6+'共通費'!D6</f>
        <v>0</v>
      </c>
      <c r="E6" s="437">
        <f>'A型'!E6+'B型'!E6+'共通費'!E6</f>
        <v>0</v>
      </c>
      <c r="F6" s="437">
        <f>'A型'!F6+'B型'!F6+'共通費'!F6</f>
        <v>0</v>
      </c>
      <c r="G6" s="437">
        <f>'A型'!G6+'B型'!G6+'共通費'!G6</f>
        <v>0</v>
      </c>
      <c r="H6" s="437">
        <f>'A型'!H6+'B型'!H6+'共通費'!H6</f>
        <v>0</v>
      </c>
      <c r="I6" s="437">
        <f>'A型'!I6+'B型'!I6+'共通費'!I6</f>
        <v>0</v>
      </c>
      <c r="J6" s="437">
        <f>'A型'!J6+'B型'!J6+'共通費'!J6</f>
        <v>0</v>
      </c>
      <c r="K6" s="437">
        <f>'A型'!K6+'B型'!K6+'共通費'!K6</f>
        <v>0</v>
      </c>
      <c r="L6" s="437">
        <f>'A型'!L6+'B型'!L6+'共通費'!L6</f>
        <v>0</v>
      </c>
      <c r="M6" s="437">
        <f>'A型'!M6+'B型'!M6+'共通費'!M6</f>
        <v>0</v>
      </c>
      <c r="N6" s="437">
        <f>'A型'!N6+'B型'!N6+'共通費'!N6</f>
        <v>0</v>
      </c>
      <c r="O6" s="459">
        <f t="shared" si="2"/>
        <v>0</v>
      </c>
      <c r="P6" s="460"/>
      <c r="Q6" s="452"/>
    </row>
    <row r="7" ht="15.75" customHeight="1">
      <c r="A7" s="43" t="s">
        <v>13</v>
      </c>
      <c r="B7" s="447"/>
      <c r="C7" s="437">
        <f>'A型'!C7+'B型'!C7+'共通費'!C7</f>
        <v>0</v>
      </c>
      <c r="D7" s="437">
        <f>'A型'!D7+'B型'!D7+'共通費'!D7</f>
        <v>2333333</v>
      </c>
      <c r="E7" s="437">
        <f>'A型'!E7+'B型'!E7+'共通費'!E7</f>
        <v>0</v>
      </c>
      <c r="F7" s="437">
        <f>'A型'!F7+'B型'!F7+'共通費'!F7</f>
        <v>0</v>
      </c>
      <c r="G7" s="437">
        <f>'A型'!G7+'B型'!G7+'共通費'!G7</f>
        <v>533333</v>
      </c>
      <c r="H7" s="437">
        <f>'A型'!H7+'B型'!H7+'共通費'!H7</f>
        <v>0</v>
      </c>
      <c r="I7" s="437">
        <f>'A型'!I7+'B型'!I7+'共通費'!I7</f>
        <v>200000</v>
      </c>
      <c r="J7" s="437">
        <f>'A型'!J7+'B型'!J7+'共通費'!J7</f>
        <v>1300000</v>
      </c>
      <c r="K7" s="437">
        <f>'A型'!K7+'B型'!K7+'共通費'!K7</f>
        <v>900000</v>
      </c>
      <c r="L7" s="437">
        <f>'A型'!L7+'B型'!L7+'共通費'!L7</f>
        <v>500000</v>
      </c>
      <c r="M7" s="437">
        <f>'A型'!M7+'B型'!M7+'共通費'!M7</f>
        <v>0</v>
      </c>
      <c r="N7" s="437">
        <f>'A型'!N7+'B型'!N7+'共通費'!N7</f>
        <v>200000</v>
      </c>
      <c r="O7" s="459">
        <f t="shared" si="2"/>
        <v>5966666</v>
      </c>
      <c r="P7" s="460"/>
      <c r="Q7" s="452"/>
    </row>
    <row r="8" ht="15.75" customHeight="1">
      <c r="A8" s="43" t="s">
        <v>16</v>
      </c>
      <c r="B8" s="447"/>
      <c r="C8" s="437">
        <f>'A型'!C8+'B型'!C8+'共通費'!C8</f>
        <v>984127</v>
      </c>
      <c r="D8" s="437">
        <f>'A型'!D8+'B型'!D8+'共通費'!D8</f>
        <v>1106034</v>
      </c>
      <c r="E8" s="437">
        <f>'A型'!E8+'B型'!E8+'共通費'!E8</f>
        <v>1096306</v>
      </c>
      <c r="F8" s="437">
        <f>'A型'!F8+'B型'!F8+'共通費'!F8</f>
        <v>1024244</v>
      </c>
      <c r="G8" s="437">
        <f>'A型'!G8+'B型'!G8+'共通費'!G8</f>
        <v>1050190</v>
      </c>
      <c r="H8" s="437">
        <f>'A型'!H8+'B型'!H8+'共通費'!H8</f>
        <v>1224773</v>
      </c>
      <c r="I8" s="437">
        <f>'A型'!I8+'B型'!I8+'共通費'!I8</f>
        <v>1157279</v>
      </c>
      <c r="J8" s="437">
        <f>'A型'!J8+'B型'!J8+'共通費'!J8</f>
        <v>1138272</v>
      </c>
      <c r="K8" s="437">
        <f>'A型'!K8+'B型'!K8+'共通費'!K8</f>
        <v>1238651</v>
      </c>
      <c r="L8" s="437">
        <f>'A型'!L8+'B型'!L8+'共通費'!L8</f>
        <v>2667279</v>
      </c>
      <c r="M8" s="437">
        <f>'A型'!M8+'B型'!M8+'共通費'!M8</f>
        <v>1021820</v>
      </c>
      <c r="N8" s="437">
        <f>'A型'!N8+'B型'!N8+'共通費'!N8</f>
        <v>1038464</v>
      </c>
      <c r="O8" s="459">
        <f t="shared" si="2"/>
        <v>14747439</v>
      </c>
      <c r="P8" s="460"/>
      <c r="Q8" s="452"/>
    </row>
    <row r="9" ht="15.75" customHeight="1">
      <c r="A9" s="447" t="s">
        <v>131</v>
      </c>
      <c r="B9" s="461"/>
      <c r="C9" s="437">
        <f>'A型'!C9+'B型'!C9+'共通費'!C9</f>
        <v>20830</v>
      </c>
      <c r="D9" s="437">
        <f>'A型'!D9+'B型'!D9+'共通費'!D9</f>
        <v>119803</v>
      </c>
      <c r="E9" s="437">
        <f>'A型'!E9+'B型'!E9+'共通費'!E9</f>
        <v>40602</v>
      </c>
      <c r="F9" s="437">
        <f>'A型'!F9+'B型'!F9+'共通費'!F9</f>
        <v>34150</v>
      </c>
      <c r="G9" s="437">
        <f>'A型'!G9+'B型'!G9+'共通費'!G9</f>
        <v>20247</v>
      </c>
      <c r="H9" s="437">
        <f>'A型'!H9+'B型'!H9+'共通費'!H9</f>
        <v>44500</v>
      </c>
      <c r="I9" s="437">
        <f>'A型'!I9+'B型'!I9+'共通費'!I9</f>
        <v>79387</v>
      </c>
      <c r="J9" s="437">
        <f>'A型'!J9+'B型'!J9+'共通費'!J9</f>
        <v>6177</v>
      </c>
      <c r="K9" s="437">
        <f>'A型'!K9+'B型'!K9+'共通費'!K9</f>
        <v>0</v>
      </c>
      <c r="L9" s="437">
        <f>'A型'!L9+'B型'!L9+'共通費'!L9</f>
        <v>51396</v>
      </c>
      <c r="M9" s="437">
        <f>'A型'!M9+'B型'!M9+'共通費'!M9</f>
        <v>43709</v>
      </c>
      <c r="N9" s="437">
        <f>'A型'!N9+'B型'!N9+'共通費'!N9</f>
        <v>50466</v>
      </c>
      <c r="O9" s="462">
        <f t="shared" si="2"/>
        <v>511267</v>
      </c>
      <c r="P9" s="460">
        <f>O9/$O$3</f>
        <v>0.01012545682</v>
      </c>
      <c r="Q9" s="452"/>
    </row>
    <row r="10" ht="17.25" customHeight="1">
      <c r="A10" s="463" t="s">
        <v>132</v>
      </c>
      <c r="B10" s="464"/>
      <c r="C10" s="465">
        <f t="shared" ref="C10:N10" si="3">C2+C3-C9</f>
        <v>3542613</v>
      </c>
      <c r="D10" s="465">
        <f t="shared" si="3"/>
        <v>5824972</v>
      </c>
      <c r="E10" s="465">
        <f t="shared" si="3"/>
        <v>3535307</v>
      </c>
      <c r="F10" s="465">
        <f t="shared" si="3"/>
        <v>3604256</v>
      </c>
      <c r="G10" s="465">
        <f t="shared" si="3"/>
        <v>3864169</v>
      </c>
      <c r="H10" s="465">
        <f t="shared" si="3"/>
        <v>3538551</v>
      </c>
      <c r="I10" s="465">
        <f t="shared" si="3"/>
        <v>3636291</v>
      </c>
      <c r="J10" s="465">
        <f t="shared" si="3"/>
        <v>4536073</v>
      </c>
      <c r="K10" s="465">
        <f t="shared" si="3"/>
        <v>4713062</v>
      </c>
      <c r="L10" s="465">
        <f t="shared" si="3"/>
        <v>5717629</v>
      </c>
      <c r="M10" s="465">
        <f t="shared" si="3"/>
        <v>3291974</v>
      </c>
      <c r="N10" s="465">
        <f t="shared" si="3"/>
        <v>4177064</v>
      </c>
      <c r="O10" s="465">
        <f t="shared" si="2"/>
        <v>49981961</v>
      </c>
      <c r="P10" s="460"/>
      <c r="Q10" s="452"/>
    </row>
    <row r="11" ht="20.25" customHeight="1">
      <c r="A11" s="43"/>
      <c r="B11" s="447"/>
      <c r="C11" s="437"/>
      <c r="D11" s="437"/>
      <c r="E11" s="437"/>
      <c r="F11" s="437"/>
      <c r="G11" s="437"/>
      <c r="H11" s="437"/>
      <c r="I11" s="437"/>
      <c r="J11" s="437"/>
      <c r="K11" s="437"/>
      <c r="L11" s="437"/>
      <c r="M11" s="437"/>
      <c r="N11" s="437"/>
      <c r="O11" s="465"/>
      <c r="P11" s="460"/>
      <c r="Q11" s="452"/>
    </row>
    <row r="12" ht="15.75" customHeight="1">
      <c r="A12" s="447" t="s">
        <v>133</v>
      </c>
      <c r="B12" s="447"/>
      <c r="C12" s="437">
        <f>'A型'!C12+'B型'!C12+'共通費'!C12</f>
        <v>100000</v>
      </c>
      <c r="D12" s="437">
        <f>'A型'!D12+'B型'!D12+'共通費'!D12</f>
        <v>100000</v>
      </c>
      <c r="E12" s="437">
        <f>'A型'!E12+'B型'!E12+'共通費'!E12</f>
        <v>100000</v>
      </c>
      <c r="F12" s="437">
        <f>'A型'!F12+'B型'!F12+'共通費'!F12</f>
        <v>100000</v>
      </c>
      <c r="G12" s="437">
        <f>'A型'!G12+'B型'!G12+'共通費'!G12</f>
        <v>100000</v>
      </c>
      <c r="H12" s="437">
        <f>'A型'!H12+'B型'!H12+'共通費'!H12</f>
        <v>100000</v>
      </c>
      <c r="I12" s="437">
        <f>'A型'!I12+'B型'!I12+'共通費'!I12</f>
        <v>100000</v>
      </c>
      <c r="J12" s="437">
        <f>'A型'!J12+'B型'!J12+'共通費'!J12</f>
        <v>100000</v>
      </c>
      <c r="K12" s="437">
        <f>'A型'!K12+'B型'!K12+'共通費'!K12</f>
        <v>100000</v>
      </c>
      <c r="L12" s="437">
        <f>'A型'!L12+'B型'!L12+'共通費'!L12</f>
        <v>100000</v>
      </c>
      <c r="M12" s="437">
        <f>'A型'!M12+'B型'!M12+'共通費'!M12</f>
        <v>100000</v>
      </c>
      <c r="N12" s="437">
        <f>'A型'!N12+'B型'!N12+'共通費'!N12</f>
        <v>100000</v>
      </c>
      <c r="O12" s="462">
        <f t="shared" ref="O12:O42" si="4">SUM(C12:N12)</f>
        <v>1200000</v>
      </c>
      <c r="P12" s="460">
        <f>O12/$O$10</f>
        <v>0.02400866185</v>
      </c>
      <c r="Q12" s="452"/>
    </row>
    <row r="13" ht="15.75" customHeight="1">
      <c r="A13" s="447" t="s">
        <v>134</v>
      </c>
      <c r="B13" s="447"/>
      <c r="C13" s="437">
        <f>'A型'!C13+'B型'!C13+'共通費'!C13</f>
        <v>1618732</v>
      </c>
      <c r="D13" s="437">
        <f>'A型'!D13+'B型'!D13+'共通費'!D13</f>
        <v>1671913</v>
      </c>
      <c r="E13" s="437">
        <f>'A型'!E13+'B型'!E13+'共通費'!E13</f>
        <v>1681563</v>
      </c>
      <c r="F13" s="437">
        <f>'A型'!F13+'B型'!F13+'共通費'!F13</f>
        <v>1801056</v>
      </c>
      <c r="G13" s="437">
        <f>'A型'!G13+'B型'!G13+'共通費'!G13</f>
        <v>1682706</v>
      </c>
      <c r="H13" s="437">
        <f>'A型'!H13+'B型'!H13+'共通費'!H13</f>
        <v>1791143</v>
      </c>
      <c r="I13" s="437">
        <f>'A型'!I13+'B型'!I13+'共通費'!I13</f>
        <v>1696122</v>
      </c>
      <c r="J13" s="437">
        <f>'A型'!J13+'B型'!J13+'共通費'!J13</f>
        <v>1398600</v>
      </c>
      <c r="K13" s="437">
        <f>'A型'!K13+'B型'!K13+'共通費'!K13</f>
        <v>1319525</v>
      </c>
      <c r="L13" s="437">
        <f>'A型'!L13+'B型'!L13+'共通費'!L13</f>
        <v>1343650</v>
      </c>
      <c r="M13" s="437">
        <f>'A型'!M13+'B型'!M13+'共通費'!M13</f>
        <v>1322172</v>
      </c>
      <c r="N13" s="437">
        <f>'A型'!N13+'B型'!N13+'共通費'!N13</f>
        <v>2114900</v>
      </c>
      <c r="O13" s="462">
        <f t="shared" si="4"/>
        <v>19442082</v>
      </c>
      <c r="P13" s="460"/>
      <c r="Q13" s="452"/>
    </row>
    <row r="14" ht="15.75" customHeight="1">
      <c r="A14" s="447" t="s">
        <v>135</v>
      </c>
      <c r="B14" s="461"/>
      <c r="C14" s="437">
        <f>'A型'!C14+'B型'!C14+'共通費'!C14</f>
        <v>1369774</v>
      </c>
      <c r="D14" s="437">
        <f>'A型'!D14+'B型'!D14+'共通費'!D14</f>
        <v>1323908</v>
      </c>
      <c r="E14" s="437">
        <f>'A型'!E14+'B型'!E14+'共通費'!E14</f>
        <v>1441193</v>
      </c>
      <c r="F14" s="437">
        <f>'A型'!F14+'B型'!F14+'共通費'!F14</f>
        <v>1160059</v>
      </c>
      <c r="G14" s="437">
        <f>'A型'!G14+'B型'!G14+'共通費'!G14</f>
        <v>1091031</v>
      </c>
      <c r="H14" s="437">
        <f>'A型'!H14+'B型'!H14+'共通費'!H14</f>
        <v>1107705</v>
      </c>
      <c r="I14" s="437">
        <f>'A型'!I14+'B型'!I14+'共通費'!I14</f>
        <v>1005377</v>
      </c>
      <c r="J14" s="437">
        <f>'A型'!J14+'B型'!J14+'共通費'!J14</f>
        <v>1113862</v>
      </c>
      <c r="K14" s="437">
        <f>'A型'!K14+'B型'!K14+'共通費'!K14</f>
        <v>1141121</v>
      </c>
      <c r="L14" s="437">
        <f>'A型'!L14+'B型'!L14+'共通費'!L14</f>
        <v>1117223</v>
      </c>
      <c r="M14" s="437">
        <f>'A型'!M14+'B型'!M14+'共通費'!M14</f>
        <v>1026140</v>
      </c>
      <c r="N14" s="437">
        <f>'A型'!N14+'B型'!N14+'共通費'!N14</f>
        <v>1240553</v>
      </c>
      <c r="O14" s="462">
        <f t="shared" si="4"/>
        <v>14137946</v>
      </c>
      <c r="P14" s="460">
        <f>O14/$O$10</f>
        <v>0.2828609706</v>
      </c>
      <c r="Q14" s="452"/>
    </row>
    <row r="15" ht="15.75" customHeight="1">
      <c r="A15" s="447" t="s">
        <v>29</v>
      </c>
      <c r="B15" s="461">
        <v>0.15</v>
      </c>
      <c r="C15" s="437">
        <f>'A型'!C15+'B型'!C15+'共通費'!C15</f>
        <v>299728</v>
      </c>
      <c r="D15" s="437">
        <f>'A型'!D15+'B型'!D15+'共通費'!D15</f>
        <v>111670</v>
      </c>
      <c r="E15" s="437">
        <f>'A型'!E15+'B型'!E15+'共通費'!E15</f>
        <v>103259</v>
      </c>
      <c r="F15" s="437">
        <f>'A型'!F15+'B型'!F15+'共通費'!F15</f>
        <v>1230856</v>
      </c>
      <c r="G15" s="437">
        <f>'A型'!G15+'B型'!G15+'共通費'!G15</f>
        <v>454352</v>
      </c>
      <c r="H15" s="437">
        <f>'A型'!H15+'B型'!H15+'共通費'!H15</f>
        <v>216106</v>
      </c>
      <c r="I15" s="437">
        <f>'A型'!I15+'B型'!I15+'共通費'!I15</f>
        <v>474202</v>
      </c>
      <c r="J15" s="437">
        <f>'A型'!J15+'B型'!J15+'共通費'!J15</f>
        <v>190986</v>
      </c>
      <c r="K15" s="437">
        <f>'A型'!K15+'B型'!K15+'共通費'!K15</f>
        <v>191023</v>
      </c>
      <c r="L15" s="437">
        <f>'A型'!L15+'B型'!L15+'共通費'!L15</f>
        <v>361748</v>
      </c>
      <c r="M15" s="437">
        <f>'A型'!M15+'B型'!M15+'共通費'!M15</f>
        <v>236836</v>
      </c>
      <c r="N15" s="437">
        <f>'A型'!N15+'B型'!N15+'共通費'!N15</f>
        <v>101433</v>
      </c>
      <c r="O15" s="462">
        <f t="shared" si="4"/>
        <v>3972199</v>
      </c>
      <c r="P15" s="460"/>
      <c r="Q15" s="452"/>
    </row>
    <row r="16" ht="15.75" customHeight="1">
      <c r="A16" s="447" t="s">
        <v>30</v>
      </c>
      <c r="B16" s="447"/>
      <c r="C16" s="437">
        <f>'A型'!C16+'B型'!C16+'共通費'!C16</f>
        <v>194593</v>
      </c>
      <c r="D16" s="437">
        <f>'A型'!D16+'B型'!D16+'共通費'!D16</f>
        <v>129626</v>
      </c>
      <c r="E16" s="437">
        <f>'A型'!E16+'B型'!E16+'共通費'!E16</f>
        <v>133704</v>
      </c>
      <c r="F16" s="437">
        <f>'A型'!F16+'B型'!F16+'共通費'!F16</f>
        <v>176944</v>
      </c>
      <c r="G16" s="437">
        <f>'A型'!G16+'B型'!G16+'共通費'!G16</f>
        <v>103241</v>
      </c>
      <c r="H16" s="437">
        <f>'A型'!H16+'B型'!H16+'共通費'!H16</f>
        <v>143055</v>
      </c>
      <c r="I16" s="437">
        <f>'A型'!I16+'B型'!I16+'共通費'!I16</f>
        <v>200139</v>
      </c>
      <c r="J16" s="437">
        <f>'A型'!J16+'B型'!J16+'共通費'!J16</f>
        <v>129352</v>
      </c>
      <c r="K16" s="437">
        <f>'A型'!K16+'B型'!K16+'共通費'!K16</f>
        <v>139115</v>
      </c>
      <c r="L16" s="437">
        <f>'A型'!L16+'B型'!L16+'共通費'!L16</f>
        <v>158750</v>
      </c>
      <c r="M16" s="437">
        <f>'A型'!M16+'B型'!M16+'共通費'!M16</f>
        <v>300001</v>
      </c>
      <c r="N16" s="437">
        <f>'A型'!N16+'B型'!N16+'共通費'!N16</f>
        <v>156297</v>
      </c>
      <c r="O16" s="462">
        <f t="shared" si="4"/>
        <v>1964817</v>
      </c>
      <c r="P16" s="460"/>
      <c r="Q16" s="452"/>
    </row>
    <row r="17" ht="15.75" customHeight="1">
      <c r="A17" s="447" t="s">
        <v>136</v>
      </c>
      <c r="B17" s="447"/>
      <c r="C17" s="437">
        <f>'A型'!C17+'B型'!C17+'共通費'!C17</f>
        <v>10000</v>
      </c>
      <c r="D17" s="437">
        <f>'A型'!D17+'B型'!D17+'共通費'!D17</f>
        <v>10000</v>
      </c>
      <c r="E17" s="437">
        <f>'A型'!E17+'B型'!E17+'共通費'!E17</f>
        <v>10000</v>
      </c>
      <c r="F17" s="437">
        <f>'A型'!F17+'B型'!F17+'共通費'!F17</f>
        <v>10000</v>
      </c>
      <c r="G17" s="437">
        <f>'A型'!G17+'B型'!G17+'共通費'!G17</f>
        <v>10000</v>
      </c>
      <c r="H17" s="437">
        <f>'A型'!H17+'B型'!H17+'共通費'!H17</f>
        <v>10000</v>
      </c>
      <c r="I17" s="437">
        <f>'A型'!I17+'B型'!I17+'共通費'!I17</f>
        <v>10000</v>
      </c>
      <c r="J17" s="437">
        <f>'A型'!J17+'B型'!J17+'共通費'!J17</f>
        <v>10000</v>
      </c>
      <c r="K17" s="437">
        <f>'A型'!K17+'B型'!K17+'共通費'!K17</f>
        <v>10000</v>
      </c>
      <c r="L17" s="437">
        <f>'A型'!L17+'B型'!L17+'共通費'!L17</f>
        <v>10000</v>
      </c>
      <c r="M17" s="437">
        <f>'A型'!M17+'B型'!M17+'共通費'!M17</f>
        <v>10000</v>
      </c>
      <c r="N17" s="437">
        <f>'A型'!N17+'B型'!N17+'共通費'!N17</f>
        <v>10000</v>
      </c>
      <c r="O17" s="462">
        <f t="shared" si="4"/>
        <v>120000</v>
      </c>
      <c r="P17" s="460"/>
      <c r="Q17" s="452"/>
    </row>
    <row r="18" ht="15.75" customHeight="1">
      <c r="A18" s="447" t="s">
        <v>137</v>
      </c>
      <c r="B18" s="461"/>
      <c r="C18" s="437">
        <f>'A型'!C18+'B型'!C18+'共通費'!C18</f>
        <v>0</v>
      </c>
      <c r="D18" s="437">
        <f>'A型'!D18+'B型'!D18+'共通費'!D18</f>
        <v>0</v>
      </c>
      <c r="E18" s="437">
        <f>'A型'!E18+'B型'!E18+'共通費'!E18</f>
        <v>0</v>
      </c>
      <c r="F18" s="437">
        <f>'A型'!F18+'B型'!F18+'共通費'!F18</f>
        <v>0</v>
      </c>
      <c r="G18" s="437">
        <f>'A型'!G18+'B型'!G18+'共通費'!G18</f>
        <v>0</v>
      </c>
      <c r="H18" s="437">
        <f>'A型'!H18+'B型'!H18+'共通費'!H18</f>
        <v>0</v>
      </c>
      <c r="I18" s="437">
        <f>'A型'!I18+'B型'!I18+'共通費'!I18</f>
        <v>0</v>
      </c>
      <c r="J18" s="437">
        <f>'A型'!J18+'B型'!J18+'共通費'!J18</f>
        <v>0</v>
      </c>
      <c r="K18" s="437">
        <f>'A型'!K18+'B型'!K18+'共通費'!K18</f>
        <v>0</v>
      </c>
      <c r="L18" s="437">
        <f>'A型'!L18+'B型'!L18+'共通費'!L18</f>
        <v>0</v>
      </c>
      <c r="M18" s="437">
        <f>'A型'!M18+'B型'!M18+'共通費'!M18</f>
        <v>0</v>
      </c>
      <c r="N18" s="437">
        <f>'A型'!N18+'B型'!N18+'共通費'!N18</f>
        <v>0</v>
      </c>
      <c r="O18" s="462">
        <f t="shared" si="4"/>
        <v>0</v>
      </c>
      <c r="P18" s="460"/>
      <c r="Q18" s="452"/>
    </row>
    <row r="19" ht="15.75" customHeight="1">
      <c r="A19" s="447" t="s">
        <v>138</v>
      </c>
      <c r="B19" s="447"/>
      <c r="C19" s="437">
        <f>'A型'!C19+'B型'!C19+'共通費'!C19</f>
        <v>55573</v>
      </c>
      <c r="D19" s="437">
        <f>'A型'!D19+'B型'!D19+'共通費'!D19</f>
        <v>54809</v>
      </c>
      <c r="E19" s="437">
        <f>'A型'!E19+'B型'!E19+'共通費'!E19</f>
        <v>66055</v>
      </c>
      <c r="F19" s="437">
        <f>'A型'!F19+'B型'!F19+'共通費'!F19</f>
        <v>69082</v>
      </c>
      <c r="G19" s="437">
        <f>'A型'!G19+'B型'!G19+'共通費'!G19</f>
        <v>61855</v>
      </c>
      <c r="H19" s="437">
        <f>'A型'!H19+'B型'!H19+'共通費'!H19</f>
        <v>66209</v>
      </c>
      <c r="I19" s="437">
        <f>'A型'!I19+'B型'!I19+'共通費'!I19</f>
        <v>49491</v>
      </c>
      <c r="J19" s="437">
        <f>'A型'!J19+'B型'!J19+'共通費'!J19</f>
        <v>43618</v>
      </c>
      <c r="K19" s="437">
        <f>'A型'!K19+'B型'!K19+'共通費'!K19</f>
        <v>46091</v>
      </c>
      <c r="L19" s="437">
        <f>'A型'!L19+'B型'!L19+'共通費'!L19</f>
        <v>69000</v>
      </c>
      <c r="M19" s="437">
        <f>'A型'!M19+'B型'!M19+'共通費'!M19</f>
        <v>62691</v>
      </c>
      <c r="N19" s="437">
        <f>'A型'!N19+'B型'!N19+'共通費'!N19</f>
        <v>60309</v>
      </c>
      <c r="O19" s="462">
        <f t="shared" si="4"/>
        <v>704783</v>
      </c>
      <c r="P19" s="460"/>
      <c r="Q19" s="452"/>
    </row>
    <row r="20" ht="15.75" customHeight="1">
      <c r="A20" s="447" t="s">
        <v>139</v>
      </c>
      <c r="B20" s="447"/>
      <c r="C20" s="437">
        <f>'A型'!C20+'B型'!C20+'共通費'!C20</f>
        <v>1607</v>
      </c>
      <c r="D20" s="437">
        <f>'A型'!D20+'B型'!D20+'共通費'!D20</f>
        <v>1821</v>
      </c>
      <c r="E20" s="437">
        <f>'A型'!E20+'B型'!E20+'共通費'!E20</f>
        <v>1178</v>
      </c>
      <c r="F20" s="437">
        <f>'A型'!F20+'B型'!F20+'共通費'!F20</f>
        <v>9905</v>
      </c>
      <c r="G20" s="437">
        <f>'A型'!G20+'B型'!G20+'共通費'!G20</f>
        <v>13432</v>
      </c>
      <c r="H20" s="437">
        <f>'A型'!H20+'B型'!H20+'共通費'!H20</f>
        <v>1612</v>
      </c>
      <c r="I20" s="437">
        <f>'A型'!I20+'B型'!I20+'共通費'!I20</f>
        <v>6135</v>
      </c>
      <c r="J20" s="437">
        <f>'A型'!J20+'B型'!J20+'共通費'!J20</f>
        <v>3356</v>
      </c>
      <c r="K20" s="437">
        <f>'A型'!K20+'B型'!K20+'共通費'!K20</f>
        <v>42278</v>
      </c>
      <c r="L20" s="437">
        <f>'A型'!L20+'B型'!L20+'共通費'!L20</f>
        <v>16284</v>
      </c>
      <c r="M20" s="437">
        <f>'A型'!M20+'B型'!M20+'共通費'!M20</f>
        <v>3843</v>
      </c>
      <c r="N20" s="437">
        <f>'A型'!N20+'B型'!N20+'共通費'!N20</f>
        <v>2235</v>
      </c>
      <c r="O20" s="462">
        <f t="shared" si="4"/>
        <v>103686</v>
      </c>
      <c r="P20" s="460">
        <f>O20/$O$10</f>
        <v>0.002074468427</v>
      </c>
      <c r="Q20" s="452"/>
    </row>
    <row r="21" ht="15.75" customHeight="1">
      <c r="A21" s="466" t="s">
        <v>140</v>
      </c>
      <c r="B21" s="447"/>
      <c r="C21" s="437">
        <f>'A型'!C21+'B型'!C21+'共通費'!C21</f>
        <v>0</v>
      </c>
      <c r="D21" s="437">
        <f>'A型'!D21+'B型'!D21+'共通費'!D21</f>
        <v>0</v>
      </c>
      <c r="E21" s="437">
        <f>'A型'!E21+'B型'!E21+'共通費'!E21</f>
        <v>18182</v>
      </c>
      <c r="F21" s="437">
        <f>'A型'!F21+'B型'!F21+'共通費'!F21</f>
        <v>0</v>
      </c>
      <c r="G21" s="437">
        <f>'A型'!G21+'B型'!G21+'共通費'!G21</f>
        <v>0</v>
      </c>
      <c r="H21" s="437">
        <f>'A型'!H21+'B型'!H21+'共通費'!H21</f>
        <v>0</v>
      </c>
      <c r="I21" s="437">
        <v>0.0</v>
      </c>
      <c r="J21" s="437">
        <f>'A型'!J21+'B型'!J21+'共通費'!J21</f>
        <v>0</v>
      </c>
      <c r="K21" s="437">
        <f>'A型'!K21+'B型'!K22+'共通費'!K21</f>
        <v>0</v>
      </c>
      <c r="L21" s="437">
        <f>'A型'!L21+'B型'!L21+'共通費'!L21</f>
        <v>0</v>
      </c>
      <c r="M21" s="437">
        <f>'A型'!M21+'B型'!M21+'共通費'!M21</f>
        <v>0</v>
      </c>
      <c r="N21" s="437">
        <f>'A型'!N21+'B型'!N21+'共通費'!N21</f>
        <v>7273</v>
      </c>
      <c r="O21" s="462">
        <f t="shared" si="4"/>
        <v>25455</v>
      </c>
      <c r="P21" s="460"/>
      <c r="Q21" s="452"/>
    </row>
    <row r="22" ht="15.75" customHeight="1">
      <c r="A22" s="447" t="s">
        <v>141</v>
      </c>
      <c r="B22" s="447"/>
      <c r="C22" s="437">
        <f>'A型'!C22+'B型'!C22+'共通費'!C22</f>
        <v>0</v>
      </c>
      <c r="D22" s="437">
        <f>'A型'!D22+'B型'!D22+'共通費'!D22</f>
        <v>0</v>
      </c>
      <c r="E22" s="437">
        <f>'A型'!E22+'B型'!E22+'共通費'!E22</f>
        <v>0</v>
      </c>
      <c r="F22" s="437">
        <f>'A型'!F22+'B型'!F22+'共通費'!F22</f>
        <v>0</v>
      </c>
      <c r="G22" s="437">
        <f>'A型'!G22+'B型'!G22+'共通費'!G22</f>
        <v>0</v>
      </c>
      <c r="H22" s="437">
        <f>'A型'!H22+'B型'!H22+'共通費'!H22</f>
        <v>0</v>
      </c>
      <c r="I22" s="437">
        <f>'A型'!I22+'B型'!I22+'共通費'!I22</f>
        <v>0</v>
      </c>
      <c r="J22" s="437">
        <f>'A型'!J22+'B型'!J22+'共通費'!J22</f>
        <v>0</v>
      </c>
      <c r="K22" s="437">
        <f>'A型'!K22+'B型'!K22+'共通費'!K22</f>
        <v>0</v>
      </c>
      <c r="L22" s="437">
        <f>'A型'!L22+'B型'!L22+'共通費'!L22</f>
        <v>0</v>
      </c>
      <c r="M22" s="437">
        <f>'A型'!M22+'B型'!M22+'共通費'!M22</f>
        <v>0</v>
      </c>
      <c r="N22" s="437">
        <f>'A型'!N22+'B型'!N22+'共通費'!N22</f>
        <v>0</v>
      </c>
      <c r="O22" s="462">
        <f t="shared" si="4"/>
        <v>0</v>
      </c>
      <c r="P22" s="460">
        <f>O22/$O$10</f>
        <v>0</v>
      </c>
      <c r="Q22" s="452"/>
    </row>
    <row r="23" ht="15.75" customHeight="1">
      <c r="A23" s="447" t="s">
        <v>142</v>
      </c>
      <c r="B23" s="447"/>
      <c r="C23" s="437">
        <f>'A型'!C23+'B型'!C23+'共通費'!C23</f>
        <v>0</v>
      </c>
      <c r="D23" s="437">
        <f>'A型'!D23+'B型'!D23+'共通費'!D23</f>
        <v>0</v>
      </c>
      <c r="E23" s="437">
        <f>'A型'!E23+'B型'!E23+'共通費'!E23</f>
        <v>0</v>
      </c>
      <c r="F23" s="437">
        <f>'A型'!F23+'B型'!F23+'共通費'!F23</f>
        <v>0</v>
      </c>
      <c r="G23" s="437">
        <f>'A型'!G23+'B型'!G23+'共通費'!G23</f>
        <v>0</v>
      </c>
      <c r="H23" s="437">
        <f>'A型'!H23+'B型'!H23+'共通費'!H23</f>
        <v>0</v>
      </c>
      <c r="I23" s="437">
        <f>'A型'!I23+'B型'!I23+'共通費'!I23</f>
        <v>0</v>
      </c>
      <c r="J23" s="437">
        <f>'A型'!J23+'B型'!J23+'共通費'!J23</f>
        <v>0</v>
      </c>
      <c r="K23" s="437">
        <f>'A型'!K23+'B型'!K23+'共通費'!K23</f>
        <v>0</v>
      </c>
      <c r="L23" s="437">
        <f>'A型'!L23+'B型'!L23+'共通費'!L23</f>
        <v>0</v>
      </c>
      <c r="M23" s="437">
        <f>'A型'!M23+'B型'!M23+'共通費'!M23</f>
        <v>0</v>
      </c>
      <c r="N23" s="437">
        <f>'A型'!N23+'B型'!N23+'共通費'!N23</f>
        <v>0</v>
      </c>
      <c r="O23" s="462">
        <f t="shared" si="4"/>
        <v>0</v>
      </c>
      <c r="P23" s="460"/>
      <c r="Q23" s="452"/>
    </row>
    <row r="24" ht="15.75" customHeight="1">
      <c r="A24" s="447" t="s">
        <v>143</v>
      </c>
      <c r="B24" s="447"/>
      <c r="C24" s="437">
        <f>'A型'!C24+'B型'!C24+'共通費'!C24</f>
        <v>0</v>
      </c>
      <c r="D24" s="437">
        <f>'A型'!D24+'B型'!D24+'共通費'!D24</f>
        <v>0</v>
      </c>
      <c r="E24" s="437">
        <f>'A型'!E24+'B型'!E24+'共通費'!E24</f>
        <v>0</v>
      </c>
      <c r="F24" s="437">
        <f>'A型'!F24+'B型'!F24+'共通費'!F24</f>
        <v>0</v>
      </c>
      <c r="G24" s="437">
        <f>'A型'!G24+'B型'!G24+'共通費'!G24</f>
        <v>0</v>
      </c>
      <c r="H24" s="437">
        <f>'A型'!H24+'B型'!H24+'共通費'!H24</f>
        <v>0</v>
      </c>
      <c r="I24" s="437">
        <f>'A型'!I24+'B型'!I24+'共通費'!I24</f>
        <v>0</v>
      </c>
      <c r="J24" s="437">
        <f>'A型'!J24+'B型'!J24+'共通費'!J24</f>
        <v>0</v>
      </c>
      <c r="K24" s="437">
        <f>'A型'!K24+'B型'!K24+'共通費'!K24</f>
        <v>0</v>
      </c>
      <c r="L24" s="437">
        <f>'A型'!L24+'B型'!L24+'共通費'!L24</f>
        <v>0</v>
      </c>
      <c r="M24" s="437">
        <f>'A型'!M24+'B型'!M24+'共通費'!M24</f>
        <v>0</v>
      </c>
      <c r="N24" s="437">
        <f>'A型'!N24+'B型'!N24+'共通費'!N24</f>
        <v>0</v>
      </c>
      <c r="O24" s="462">
        <f t="shared" si="4"/>
        <v>0</v>
      </c>
      <c r="P24" s="460">
        <f>O24/$O$10</f>
        <v>0</v>
      </c>
      <c r="Q24" s="452"/>
    </row>
    <row r="25" ht="15.75" customHeight="1">
      <c r="A25" s="447" t="s">
        <v>144</v>
      </c>
      <c r="B25" s="447"/>
      <c r="C25" s="437">
        <f>'A型'!C25+'B型'!C25+'共通費'!C25</f>
        <v>0</v>
      </c>
      <c r="D25" s="437">
        <f>'A型'!D25+'B型'!D25+'共通費'!D25</f>
        <v>0</v>
      </c>
      <c r="E25" s="437">
        <f>'A型'!E25+'B型'!E25+'共通費'!E25</f>
        <v>0</v>
      </c>
      <c r="F25" s="437">
        <f>'A型'!F25+'B型'!F25+'共通費'!F25</f>
        <v>0</v>
      </c>
      <c r="G25" s="437">
        <f>'A型'!G25+'B型'!G25+'共通費'!G25</f>
        <v>0</v>
      </c>
      <c r="H25" s="437">
        <f>'A型'!H25+'B型'!H25+'共通費'!H25</f>
        <v>0</v>
      </c>
      <c r="I25" s="437">
        <f>'A型'!I25+'B型'!I25+'共通費'!I25</f>
        <v>0</v>
      </c>
      <c r="J25" s="437">
        <f>'A型'!J25+'B型'!J25+'共通費'!J25</f>
        <v>0</v>
      </c>
      <c r="K25" s="437">
        <f>'A型'!K25+'B型'!K25+'共通費'!K25</f>
        <v>0</v>
      </c>
      <c r="L25" s="437">
        <f>'A型'!L25+'B型'!L25+'共通費'!L25</f>
        <v>0</v>
      </c>
      <c r="M25" s="437">
        <f>'A型'!M25+'B型'!M25+'共通費'!M25</f>
        <v>0</v>
      </c>
      <c r="N25" s="437">
        <f>'A型'!N25+'B型'!N25+'共通費'!N25</f>
        <v>0</v>
      </c>
      <c r="O25" s="462">
        <f t="shared" si="4"/>
        <v>0</v>
      </c>
      <c r="P25" s="460"/>
      <c r="Q25" s="452"/>
    </row>
    <row r="26" ht="15.75" customHeight="1">
      <c r="A26" s="447" t="s">
        <v>145</v>
      </c>
      <c r="B26" s="447"/>
      <c r="C26" s="437">
        <f>'A型'!C26+'B型'!C26+'共通費'!C26</f>
        <v>0</v>
      </c>
      <c r="D26" s="437">
        <f>'A型'!D26+'B型'!D26+'共通費'!D26</f>
        <v>0</v>
      </c>
      <c r="E26" s="437">
        <f>'A型'!E26+'B型'!E26+'共通費'!E26</f>
        <v>0</v>
      </c>
      <c r="F26" s="437">
        <f>'A型'!F26+'B型'!F26+'共通費'!F26</f>
        <v>0</v>
      </c>
      <c r="G26" s="437">
        <f>'A型'!G26+'B型'!G26+'共通費'!G26</f>
        <v>0</v>
      </c>
      <c r="H26" s="437">
        <f>'A型'!H26+'B型'!H26+'共通費'!H26</f>
        <v>0</v>
      </c>
      <c r="I26" s="437">
        <f>'A型'!I26+'B型'!I26+'共通費'!I26</f>
        <v>0</v>
      </c>
      <c r="J26" s="437">
        <f>'A型'!J26+'B型'!J26+'共通費'!J26</f>
        <v>0</v>
      </c>
      <c r="K26" s="437">
        <f>'A型'!K26+'B型'!K26+'共通費'!K26</f>
        <v>0</v>
      </c>
      <c r="L26" s="437">
        <f>'A型'!L26+'B型'!L26+'共通費'!L26</f>
        <v>0</v>
      </c>
      <c r="M26" s="437">
        <f>'A型'!M26+'B型'!M26+'共通費'!M26</f>
        <v>0</v>
      </c>
      <c r="N26" s="437">
        <f>'A型'!N26+'B型'!N26+'共通費'!N26</f>
        <v>0</v>
      </c>
      <c r="O26" s="462">
        <f t="shared" si="4"/>
        <v>0</v>
      </c>
      <c r="P26" s="460"/>
      <c r="Q26" s="452"/>
    </row>
    <row r="27" ht="15.75" customHeight="1">
      <c r="A27" s="447" t="s">
        <v>33</v>
      </c>
      <c r="B27" s="458"/>
      <c r="C27" s="437">
        <f>'A型'!C27+'B型'!C27+'共通費'!C27</f>
        <v>367000</v>
      </c>
      <c r="D27" s="437">
        <f>'A型'!D27+'B型'!D27+'共通費'!D27</f>
        <v>367000</v>
      </c>
      <c r="E27" s="437">
        <f>'A型'!E27+'B型'!E27+'共通費'!E27</f>
        <v>367000</v>
      </c>
      <c r="F27" s="437">
        <f>'A型'!F27+'B型'!F27+'共通費'!F27</f>
        <v>367000</v>
      </c>
      <c r="G27" s="437">
        <f>'A型'!G27+'B型'!G27+'共通費'!G27</f>
        <v>367000</v>
      </c>
      <c r="H27" s="437">
        <f>'A型'!H27+'B型'!H27+'共通費'!H27</f>
        <v>367000</v>
      </c>
      <c r="I27" s="437">
        <f>'A型'!I27+'B型'!I27+'共通費'!I27</f>
        <v>367000</v>
      </c>
      <c r="J27" s="437">
        <f>'A型'!J27+'B型'!J27+'共通費'!J27</f>
        <v>367000</v>
      </c>
      <c r="K27" s="437">
        <f>'A型'!K27+'B型'!K27+'共通費'!K27</f>
        <v>371600</v>
      </c>
      <c r="L27" s="437">
        <f>'A型'!L27+'B型'!L27+'共通費'!L27</f>
        <v>333000</v>
      </c>
      <c r="M27" s="437">
        <f>'A型'!M27+'B型'!M27+'共通費'!M27</f>
        <v>350000</v>
      </c>
      <c r="N27" s="437">
        <f>'A型'!N27+'B型'!N27+'共通費'!N27</f>
        <v>350000</v>
      </c>
      <c r="O27" s="462">
        <f t="shared" si="4"/>
        <v>4340600</v>
      </c>
      <c r="P27" s="460"/>
      <c r="Q27" s="452"/>
    </row>
    <row r="28" ht="15.75" customHeight="1">
      <c r="A28" s="447" t="s">
        <v>146</v>
      </c>
      <c r="B28" s="447"/>
      <c r="C28" s="437">
        <f>'A型'!C28+'B型'!C28+'共通費'!C28</f>
        <v>0</v>
      </c>
      <c r="D28" s="437">
        <f>'A型'!D28+'B型'!D28+'共通費'!D28</f>
        <v>0</v>
      </c>
      <c r="E28" s="437">
        <f>'A型'!E28+'B型'!E28+'共通費'!E28</f>
        <v>0</v>
      </c>
      <c r="F28" s="437">
        <f>'A型'!F28+'B型'!F28+'共通費'!F28</f>
        <v>0</v>
      </c>
      <c r="G28" s="437">
        <f>'A型'!G28+'B型'!G28+'共通費'!G28</f>
        <v>0</v>
      </c>
      <c r="H28" s="437">
        <f>'A型'!H28+'B型'!H28+'共通費'!H28</f>
        <v>0</v>
      </c>
      <c r="I28" s="437">
        <f>'A型'!I28+'B型'!I28+'共通費'!I28</f>
        <v>0</v>
      </c>
      <c r="J28" s="437">
        <f>'A型'!J28+'B型'!J28+'共通費'!J28</f>
        <v>0</v>
      </c>
      <c r="K28" s="437">
        <f>'A型'!K28+'B型'!K28+'共通費'!K28</f>
        <v>0</v>
      </c>
      <c r="L28" s="437">
        <f>'A型'!L28+'B型'!L28+'共通費'!L28</f>
        <v>0</v>
      </c>
      <c r="M28" s="437">
        <f>'A型'!M28+'B型'!M28+'共通費'!M28</f>
        <v>0</v>
      </c>
      <c r="N28" s="437">
        <f>'A型'!N28+'B型'!N28+'共通費'!N28</f>
        <v>0</v>
      </c>
      <c r="O28" s="462">
        <f t="shared" si="4"/>
        <v>0</v>
      </c>
      <c r="P28" s="460"/>
      <c r="Q28" s="452"/>
    </row>
    <row r="29" ht="15.75" customHeight="1">
      <c r="A29" s="447" t="s">
        <v>147</v>
      </c>
      <c r="B29" s="447"/>
      <c r="C29" s="437">
        <f>'A型'!C29+'B型'!C29+'共通費'!C29</f>
        <v>0</v>
      </c>
      <c r="D29" s="437">
        <f>'A型'!D29+'B型'!D29+'共通費'!D29</f>
        <v>0</v>
      </c>
      <c r="E29" s="437">
        <f>'A型'!E29+'B型'!E29+'共通費'!E29</f>
        <v>0</v>
      </c>
      <c r="F29" s="437">
        <f>'A型'!F29+'B型'!F29+'共通費'!F29</f>
        <v>0</v>
      </c>
      <c r="G29" s="437">
        <f>'A型'!G29+'B型'!G29+'共通費'!G29</f>
        <v>0</v>
      </c>
      <c r="H29" s="437">
        <f>'A型'!H29+'B型'!H29+'共通費'!H29</f>
        <v>0</v>
      </c>
      <c r="I29" s="437">
        <f>'A型'!I29+'B型'!I29+'共通費'!I29</f>
        <v>0</v>
      </c>
      <c r="J29" s="437">
        <f>'A型'!J29+'B型'!J29+'共通費'!J29</f>
        <v>0</v>
      </c>
      <c r="K29" s="437">
        <f>'A型'!K29+'B型'!K29+'共通費'!K29</f>
        <v>0</v>
      </c>
      <c r="L29" s="437">
        <f>'A型'!L29+'B型'!L29+'共通費'!L29</f>
        <v>0</v>
      </c>
      <c r="M29" s="437">
        <f>'A型'!M29+'B型'!M29+'共通費'!M29</f>
        <v>0</v>
      </c>
      <c r="N29" s="437">
        <f>'A型'!N29+'B型'!N29+'共通費'!N29</f>
        <v>0</v>
      </c>
      <c r="O29" s="462">
        <f t="shared" si="4"/>
        <v>0</v>
      </c>
      <c r="P29" s="460"/>
      <c r="Q29" s="452"/>
    </row>
    <row r="30" ht="15.75" customHeight="1">
      <c r="A30" s="447" t="s">
        <v>35</v>
      </c>
      <c r="B30" s="458"/>
      <c r="C30" s="437">
        <f>'A型'!C30+'B型'!C30+'共通費'!C30</f>
        <v>9360</v>
      </c>
      <c r="D30" s="437">
        <f>'A型'!D30+'B型'!D30+'共通費'!D30</f>
        <v>8840</v>
      </c>
      <c r="E30" s="437">
        <f>'A型'!E30+'B型'!E30+'共通費'!E30</f>
        <v>8840</v>
      </c>
      <c r="F30" s="437">
        <f>'A型'!F30+'B型'!F30+'共通費'!F30</f>
        <v>8840</v>
      </c>
      <c r="G30" s="437">
        <f>'A型'!G30+'B型'!G30+'共通費'!G30</f>
        <v>8840</v>
      </c>
      <c r="H30" s="437">
        <f>'A型'!H30+'B型'!H30+'共通費'!H30</f>
        <v>8840</v>
      </c>
      <c r="I30" s="437">
        <f>'A型'!I30+'B型'!I30+'共通費'!I30</f>
        <v>8840</v>
      </c>
      <c r="J30" s="437">
        <f>'A型'!J30+'B型'!J30+'共通費'!J30</f>
        <v>8840</v>
      </c>
      <c r="K30" s="437">
        <f>'A型'!K30+'B型'!K30+'共通費'!K30</f>
        <v>8840</v>
      </c>
      <c r="L30" s="437">
        <f>'A型'!L30+'B型'!L30+'共通費'!L30</f>
        <v>8840</v>
      </c>
      <c r="M30" s="437">
        <f>'A型'!M30+'B型'!M30+'共通費'!M30</f>
        <v>8839</v>
      </c>
      <c r="N30" s="437">
        <f>'A型'!N30+'B型'!N30+'共通費'!N30</f>
        <v>8840</v>
      </c>
      <c r="O30" s="462">
        <f t="shared" si="4"/>
        <v>106599</v>
      </c>
      <c r="P30" s="460"/>
      <c r="Q30" s="452"/>
    </row>
    <row r="31" ht="15.75" customHeight="1">
      <c r="A31" s="447" t="s">
        <v>148</v>
      </c>
      <c r="B31" s="461">
        <v>0.0</v>
      </c>
      <c r="C31" s="437">
        <f>'A型'!C31+'B型'!C31+'共通費'!C31</f>
        <v>0</v>
      </c>
      <c r="D31" s="437">
        <f>'A型'!D31+'B型'!D31+'共通費'!D31</f>
        <v>0</v>
      </c>
      <c r="E31" s="437">
        <f>'A型'!E31+'B型'!E31+'共通費'!E31</f>
        <v>0</v>
      </c>
      <c r="F31" s="437">
        <f>'A型'!F31+'B型'!F31+'共通費'!F31</f>
        <v>0</v>
      </c>
      <c r="G31" s="437">
        <f>'A型'!G31+'B型'!G31+'共通費'!G31</f>
        <v>0</v>
      </c>
      <c r="H31" s="437">
        <f>'A型'!H31+'B型'!H31+'共通費'!H31</f>
        <v>0</v>
      </c>
      <c r="I31" s="437">
        <f>'A型'!I31+'B型'!I31+'共通費'!I31</f>
        <v>0</v>
      </c>
      <c r="J31" s="437">
        <f>'A型'!J31+'B型'!J31+'共通費'!J31</f>
        <v>0</v>
      </c>
      <c r="K31" s="437">
        <f>'A型'!K31+'B型'!K31+'共通費'!K31</f>
        <v>0</v>
      </c>
      <c r="L31" s="437">
        <f>'A型'!L31+'B型'!L31+'共通費'!L31</f>
        <v>0</v>
      </c>
      <c r="M31" s="437">
        <f>'A型'!M31+'B型'!M31+'共通費'!M31</f>
        <v>0</v>
      </c>
      <c r="N31" s="437">
        <f>'A型'!N31+'B型'!N31+'共通費'!N31</f>
        <v>0</v>
      </c>
      <c r="O31" s="462">
        <f t="shared" si="4"/>
        <v>0</v>
      </c>
      <c r="P31" s="460"/>
      <c r="Q31" s="452"/>
    </row>
    <row r="32" ht="15.75" customHeight="1">
      <c r="A32" s="447" t="s">
        <v>34</v>
      </c>
      <c r="B32" s="461">
        <v>0.0</v>
      </c>
      <c r="C32" s="437">
        <f>'A型'!C32+'B型'!C32+'共通費'!C32</f>
        <v>6168</v>
      </c>
      <c r="D32" s="437">
        <f>'A型'!D32+'B型'!D32+'共通費'!D32</f>
        <v>6484</v>
      </c>
      <c r="E32" s="437">
        <f>'A型'!E32+'B型'!E32+'共通費'!E32</f>
        <v>28378</v>
      </c>
      <c r="F32" s="437">
        <f>'A型'!F32+'B型'!F32+'共通費'!F32</f>
        <v>26228</v>
      </c>
      <c r="G32" s="437">
        <f>'A型'!G32+'B型'!G32+'共通費'!G32</f>
        <v>7400</v>
      </c>
      <c r="H32" s="437">
        <f>'A型'!H32+'B型'!H32+'共通費'!H32</f>
        <v>2600</v>
      </c>
      <c r="I32" s="437">
        <f>'A型'!I32+'B型'!I32+'共通費'!I32</f>
        <v>16226</v>
      </c>
      <c r="J32" s="437">
        <f>'A型'!J32+'B型'!J32+'共通費'!J32</f>
        <v>10723</v>
      </c>
      <c r="K32" s="437">
        <f>'A型'!K32+'B型'!K32+'共通費'!K32</f>
        <v>2800</v>
      </c>
      <c r="L32" s="437">
        <f>'A型'!L32+'B型'!L32+'共通費'!L32</f>
        <v>18216</v>
      </c>
      <c r="M32" s="437">
        <f>'A型'!M32+'B型'!M32+'共通費'!M32</f>
        <v>3890</v>
      </c>
      <c r="N32" s="437">
        <f>'A型'!N32+'B型'!N32+'共通費'!N32</f>
        <v>9300</v>
      </c>
      <c r="O32" s="462">
        <f t="shared" si="4"/>
        <v>138413</v>
      </c>
      <c r="P32" s="460">
        <f>O32/$O$10</f>
        <v>0.002769259093</v>
      </c>
      <c r="Q32" s="452"/>
    </row>
    <row r="33" ht="15.75" customHeight="1">
      <c r="A33" s="447" t="s">
        <v>149</v>
      </c>
      <c r="B33" s="467"/>
      <c r="C33" s="437">
        <f>'A型'!C33+'B型'!C33+'共通費'!C33</f>
        <v>0</v>
      </c>
      <c r="D33" s="437">
        <f>'A型'!D33+'B型'!D33+'共通費'!D33</f>
        <v>14300</v>
      </c>
      <c r="E33" s="437">
        <f>'A型'!E33+'B型'!E33+'共通費'!E33</f>
        <v>600</v>
      </c>
      <c r="F33" s="437">
        <f>'A型'!F33+'B型'!F33+'共通費'!F33</f>
        <v>1100</v>
      </c>
      <c r="G33" s="437">
        <f>'A型'!G33+'B型'!G33+'共通費'!G33</f>
        <v>0</v>
      </c>
      <c r="H33" s="437">
        <f>'A型'!H33+'B型'!H33+'共通費'!H33</f>
        <v>0</v>
      </c>
      <c r="I33" s="437">
        <f>'A型'!I33+'B型'!I33+'共通費'!I33</f>
        <v>0</v>
      </c>
      <c r="J33" s="437">
        <f>'A型'!J33+'B型'!J33+'共通費'!J33</f>
        <v>0</v>
      </c>
      <c r="K33" s="437">
        <f>'A型'!K33+'B型'!K33+'共通費'!K33</f>
        <v>0</v>
      </c>
      <c r="L33" s="437">
        <f>'A型'!L33+'B型'!L33+'共通費'!L33</f>
        <v>0</v>
      </c>
      <c r="M33" s="437">
        <f>'A型'!M33+'B型'!M33+'共通費'!M33</f>
        <v>0</v>
      </c>
      <c r="N33" s="437">
        <f>'A型'!N33+'B型'!N33+'共通費'!N33</f>
        <v>180</v>
      </c>
      <c r="O33" s="462">
        <f t="shared" si="4"/>
        <v>16180</v>
      </c>
      <c r="P33" s="460"/>
      <c r="Q33" s="452"/>
    </row>
    <row r="34" ht="15.75" customHeight="1">
      <c r="A34" s="447" t="s">
        <v>150</v>
      </c>
      <c r="B34" s="468"/>
      <c r="C34" s="437">
        <f>'A型'!C34+'B型'!C34+'共通費'!C34</f>
        <v>0</v>
      </c>
      <c r="D34" s="437">
        <f>'A型'!D34+'B型'!D34+'共通費'!D34</f>
        <v>5100</v>
      </c>
      <c r="E34" s="437">
        <f>'A型'!E34+'B型'!E34+'共通費'!E34</f>
        <v>0</v>
      </c>
      <c r="F34" s="437">
        <f>'A型'!F34+'B型'!F34+'共通費'!F34</f>
        <v>0</v>
      </c>
      <c r="G34" s="437">
        <f>'A型'!G34+'B型'!G34+'共通費'!G34</f>
        <v>0</v>
      </c>
      <c r="H34" s="437">
        <f>'A型'!H34+'B型'!H34+'共通費'!H34</f>
        <v>0</v>
      </c>
      <c r="I34" s="437">
        <f>'A型'!I34+'B型'!I34+'共通費'!I34</f>
        <v>0</v>
      </c>
      <c r="J34" s="437">
        <f>'A型'!J34+'B型'!J34+'共通費'!J34</f>
        <v>49800</v>
      </c>
      <c r="K34" s="437">
        <f>'A型'!K34+'B型'!K34+'共通費'!K34</f>
        <v>0</v>
      </c>
      <c r="L34" s="437">
        <f>'A型'!L34+'B型'!L34+'共通費'!L34</f>
        <v>0</v>
      </c>
      <c r="M34" s="437">
        <f>'A型'!M34+'B型'!M34+'共通費'!M34</f>
        <v>0</v>
      </c>
      <c r="N34" s="437">
        <f>'A型'!N34+'B型'!N34+'共通費'!N34</f>
        <v>0</v>
      </c>
      <c r="O34" s="462">
        <f t="shared" si="4"/>
        <v>54900</v>
      </c>
      <c r="P34" s="460"/>
      <c r="Q34" s="452"/>
    </row>
    <row r="35" ht="15.75" customHeight="1">
      <c r="A35" s="447" t="s">
        <v>36</v>
      </c>
      <c r="B35" s="461">
        <v>0.0</v>
      </c>
      <c r="C35" s="437">
        <f>'A型'!C35+'B型'!C35+'共通費'!C35</f>
        <v>38078</v>
      </c>
      <c r="D35" s="437">
        <f>'A型'!D35+'B型'!D35+'共通費'!D35</f>
        <v>75349</v>
      </c>
      <c r="E35" s="437">
        <f>'A型'!E35+'B型'!E35+'共通費'!E35</f>
        <v>74842</v>
      </c>
      <c r="F35" s="437">
        <f>'A型'!F35+'B型'!F35+'共通費'!F35</f>
        <v>76493</v>
      </c>
      <c r="G35" s="437">
        <f>'A型'!G35+'B型'!G35+'共通費'!G35</f>
        <v>49538</v>
      </c>
      <c r="H35" s="437">
        <f>'A型'!H35+'B型'!H35+'共通費'!H35</f>
        <v>57097</v>
      </c>
      <c r="I35" s="437">
        <f>'A型'!I35+'B型'!I35+'共通費'!I35</f>
        <v>48259</v>
      </c>
      <c r="J35" s="437">
        <f>'A型'!J35+'B型'!J35+'共通費'!J35</f>
        <v>49243</v>
      </c>
      <c r="K35" s="437">
        <f>'A型'!K35+'B型'!K35+'共通費'!K35</f>
        <v>12907</v>
      </c>
      <c r="L35" s="437">
        <f>'A型'!L35+'B型'!L35+'共通費'!L35</f>
        <v>9209</v>
      </c>
      <c r="M35" s="437">
        <f>'A型'!M35+'B型'!M35+'共通費'!M35</f>
        <v>12660</v>
      </c>
      <c r="N35" s="437">
        <f>'A型'!N35+'B型'!N35+'共通費'!N35</f>
        <v>125621</v>
      </c>
      <c r="O35" s="462">
        <f t="shared" si="4"/>
        <v>629296</v>
      </c>
      <c r="P35" s="460"/>
      <c r="Q35" s="452"/>
    </row>
    <row r="36" ht="15.75" customHeight="1">
      <c r="A36" s="447" t="s">
        <v>151</v>
      </c>
      <c r="B36" s="447"/>
      <c r="C36" s="437">
        <f>'A型'!C36+'B型'!C36+'共通費'!C36</f>
        <v>0</v>
      </c>
      <c r="D36" s="437">
        <f>'A型'!D36+'B型'!D36+'共通費'!D36</f>
        <v>0</v>
      </c>
      <c r="E36" s="437">
        <f>'A型'!E36+'B型'!E36+'共通費'!E36</f>
        <v>0</v>
      </c>
      <c r="F36" s="437">
        <f>'A型'!F36+'B型'!F36+'共通費'!F36</f>
        <v>0</v>
      </c>
      <c r="G36" s="437">
        <f>'A型'!G36+'B型'!G36+'共通費'!G36</f>
        <v>0</v>
      </c>
      <c r="H36" s="437">
        <f>'A型'!H36+'B型'!H36+'共通費'!H36</f>
        <v>0</v>
      </c>
      <c r="I36" s="437">
        <f>'A型'!I36+'B型'!I36+'共通費'!I36</f>
        <v>0</v>
      </c>
      <c r="J36" s="437">
        <f>'A型'!J36+'B型'!J36+'共通費'!J36</f>
        <v>0</v>
      </c>
      <c r="K36" s="437">
        <f>'A型'!K36+'B型'!K36+'共通費'!K36</f>
        <v>0</v>
      </c>
      <c r="L36" s="437">
        <f>'A型'!L36+'B型'!L36+'共通費'!L36</f>
        <v>0</v>
      </c>
      <c r="M36" s="437">
        <f>'A型'!M36+'B型'!M36+'共通費'!M36</f>
        <v>0</v>
      </c>
      <c r="N36" s="437">
        <f>'A型'!N36+'B型'!N36+'共通費'!N36</f>
        <v>0</v>
      </c>
      <c r="O36" s="462">
        <f t="shared" si="4"/>
        <v>0</v>
      </c>
      <c r="P36" s="460"/>
      <c r="Q36" s="452"/>
    </row>
    <row r="37" ht="15.75" customHeight="1">
      <c r="A37" s="447" t="s">
        <v>152</v>
      </c>
      <c r="B37" s="461"/>
      <c r="C37" s="437">
        <f>'A型'!C37+'B型'!C37+'共通費'!C37</f>
        <v>4000</v>
      </c>
      <c r="D37" s="437">
        <f>'A型'!D37+'B型'!D37+'共通費'!D37</f>
        <v>0</v>
      </c>
      <c r="E37" s="437">
        <f>'A型'!E37+'B型'!E37+'共通費'!E37</f>
        <v>0</v>
      </c>
      <c r="F37" s="437">
        <f>'A型'!F37+'B型'!F37+'共通費'!F37</f>
        <v>0</v>
      </c>
      <c r="G37" s="437">
        <f>'A型'!G37+'B型'!G37+'共通費'!G37</f>
        <v>1836</v>
      </c>
      <c r="H37" s="437">
        <f>'A型'!H37+'B型'!H37+'共通費'!H37</f>
        <v>0</v>
      </c>
      <c r="I37" s="437">
        <f>'A型'!I37+'B型'!I37+'共通費'!I37</f>
        <v>0</v>
      </c>
      <c r="J37" s="437">
        <f>'A型'!J37+'B型'!J37+'共通費'!J37</f>
        <v>0</v>
      </c>
      <c r="K37" s="437">
        <f>'A型'!K37+'B型'!K37+'共通費'!K37</f>
        <v>0</v>
      </c>
      <c r="L37" s="437">
        <f>'A型'!L37+'B型'!L37+'共通費'!L37</f>
        <v>0</v>
      </c>
      <c r="M37" s="437">
        <f>'A型'!M37+'B型'!M37+'共通費'!M37</f>
        <v>0</v>
      </c>
      <c r="N37" s="437">
        <f>'A型'!N37+'B型'!N37+'共通費'!N37</f>
        <v>0</v>
      </c>
      <c r="O37" s="462">
        <f t="shared" si="4"/>
        <v>5836</v>
      </c>
      <c r="P37" s="460"/>
      <c r="Q37" s="452"/>
    </row>
    <row r="38" ht="15.75" customHeight="1">
      <c r="A38" s="469" t="s">
        <v>37</v>
      </c>
      <c r="B38" s="461">
        <v>0.2</v>
      </c>
      <c r="C38" s="437">
        <f>'A型'!C38+'B型'!C38+'共通費'!C38</f>
        <v>418897</v>
      </c>
      <c r="D38" s="437">
        <f>'A型'!D38+'B型'!D38+'共通費'!D38</f>
        <v>533082</v>
      </c>
      <c r="E38" s="437">
        <f>'A型'!E38+'B型'!E38+'共通費'!E38</f>
        <v>687721</v>
      </c>
      <c r="F38" s="437">
        <f>'A型'!F38+'B型'!F38+'共通費'!F38</f>
        <v>615397</v>
      </c>
      <c r="G38" s="437">
        <f>'A型'!G38+'B型'!G38+'共通費'!G38</f>
        <v>541642</v>
      </c>
      <c r="H38" s="437">
        <f>'A型'!H38+'B型'!H38+'共通費'!H38</f>
        <v>553455</v>
      </c>
      <c r="I38" s="437">
        <f>'A型'!I38+'B型'!I38+'共通費'!I38</f>
        <v>553479</v>
      </c>
      <c r="J38" s="437">
        <f>'A型'!J38+'B型'!J38+'共通費'!J38</f>
        <v>414542</v>
      </c>
      <c r="K38" s="437">
        <f>'A型'!K38+'B型'!K38+'共通費'!K38</f>
        <v>549875</v>
      </c>
      <c r="L38" s="437">
        <f>'A型'!L38+'B型'!L38+'共通費'!L38</f>
        <v>694845</v>
      </c>
      <c r="M38" s="437">
        <f>'A型'!M38+'B型'!M38+'共通費'!M38</f>
        <v>481502</v>
      </c>
      <c r="N38" s="437">
        <f>'A型'!N38+'B型'!N38+'共通費'!N38</f>
        <v>625266</v>
      </c>
      <c r="O38" s="462">
        <f t="shared" si="4"/>
        <v>6669703</v>
      </c>
      <c r="P38" s="460"/>
      <c r="Q38" s="452"/>
    </row>
    <row r="39" ht="15.75" customHeight="1">
      <c r="A39" s="469"/>
      <c r="B39" s="461"/>
      <c r="C39" s="437">
        <f>'A型'!C39+'B型'!C39+'共通費'!C39</f>
        <v>0</v>
      </c>
      <c r="D39" s="437">
        <f>'A型'!D39+'B型'!D39+'共通費'!D39</f>
        <v>0</v>
      </c>
      <c r="E39" s="437">
        <f>'A型'!E39+'B型'!E39+'共通費'!E39</f>
        <v>300000</v>
      </c>
      <c r="F39" s="437">
        <f>'A型'!F39+'B型'!F39+'共通費'!F39</f>
        <v>0</v>
      </c>
      <c r="G39" s="437">
        <f>'A型'!G39+'B型'!G39+'共通費'!G39</f>
        <v>0</v>
      </c>
      <c r="H39" s="437">
        <f>'A型'!H39+'B型'!H39+'共通費'!H39</f>
        <v>0</v>
      </c>
      <c r="I39" s="437">
        <f>'A型'!I39+'B型'!I39+'共通費'!I39</f>
        <v>0</v>
      </c>
      <c r="J39" s="437">
        <f>'A型'!J39+'B型'!J39+'共通費'!J39</f>
        <v>0</v>
      </c>
      <c r="K39" s="437">
        <f>'A型'!K39+'B型'!K39+'共通費'!K39</f>
        <v>0</v>
      </c>
      <c r="L39" s="437">
        <f>'A型'!L39+'B型'!L39+'共通費'!L39</f>
        <v>0</v>
      </c>
      <c r="M39" s="437">
        <f>'A型'!M39+'B型'!M39+'共通費'!M39</f>
        <v>0</v>
      </c>
      <c r="N39" s="437">
        <f>'A型'!N39+'B型'!N39+'共通費'!N39</f>
        <v>0</v>
      </c>
      <c r="O39" s="462">
        <f t="shared" si="4"/>
        <v>300000</v>
      </c>
      <c r="P39" s="460">
        <f>O39/$O$10</f>
        <v>0.006002165461</v>
      </c>
      <c r="Q39" s="452"/>
    </row>
    <row r="40" ht="15.75" customHeight="1">
      <c r="A40" s="447"/>
      <c r="B40" s="447"/>
      <c r="C40" s="437">
        <f>'A型'!C40+'B型'!C40+'共通費'!C40</f>
        <v>0</v>
      </c>
      <c r="D40" s="437">
        <f>'A型'!D40+'B型'!D40+'共通費'!D40</f>
        <v>0</v>
      </c>
      <c r="E40" s="437">
        <f>'A型'!E40+'B型'!E40+'共通費'!E40</f>
        <v>0</v>
      </c>
      <c r="F40" s="437">
        <f>'A型'!F40+'B型'!F40+'共通費'!F40</f>
        <v>0</v>
      </c>
      <c r="G40" s="437">
        <f>'A型'!G40+'B型'!G40+'共通費'!G40</f>
        <v>0</v>
      </c>
      <c r="H40" s="437">
        <f>'A型'!H40+'B型'!H40+'共通費'!H40</f>
        <v>0</v>
      </c>
      <c r="I40" s="437">
        <f>'A型'!I40+'B型'!I40+'共通費'!I40</f>
        <v>0</v>
      </c>
      <c r="J40" s="437">
        <f>'A型'!J40+'B型'!J40+'共通費'!J40</f>
        <v>0</v>
      </c>
      <c r="K40" s="437">
        <f>'A型'!K40+'B型'!K40+'共通費'!K40</f>
        <v>0</v>
      </c>
      <c r="L40" s="437">
        <f>'A型'!L40+'B型'!L40+'共通費'!L40</f>
        <v>0</v>
      </c>
      <c r="M40" s="437">
        <f>'A型'!M40+'B型'!M40+'共通費'!M40</f>
        <v>0</v>
      </c>
      <c r="N40" s="437">
        <f>'A型'!N40+'B型'!N40+'共通費'!N40</f>
        <v>0</v>
      </c>
      <c r="O40" s="462">
        <f t="shared" si="4"/>
        <v>0</v>
      </c>
      <c r="P40" s="460"/>
      <c r="Q40" s="452"/>
    </row>
    <row r="41" ht="15.75" customHeight="1">
      <c r="A41" s="43"/>
      <c r="B41" s="447"/>
      <c r="C41" s="437">
        <f>'A型'!C41+'B型'!C41+'共通費'!C41</f>
        <v>0</v>
      </c>
      <c r="D41" s="437">
        <f>'A型'!D41+'B型'!D41+'共通費'!D41</f>
        <v>0</v>
      </c>
      <c r="E41" s="437">
        <f>'A型'!E41+'B型'!E41+'共通費'!E41</f>
        <v>0</v>
      </c>
      <c r="F41" s="437">
        <f>'A型'!F41+'B型'!F41+'共通費'!F41</f>
        <v>0</v>
      </c>
      <c r="G41" s="437">
        <f>'A型'!G41+'B型'!G41+'共通費'!G41</f>
        <v>0</v>
      </c>
      <c r="H41" s="437">
        <f>'A型'!H41+'B型'!H41+'共通費'!H41</f>
        <v>0</v>
      </c>
      <c r="I41" s="437">
        <f>'A型'!I41+'B型'!I41+'共通費'!I41</f>
        <v>0</v>
      </c>
      <c r="J41" s="437">
        <f>'A型'!J41+'B型'!J41+'共通費'!J41</f>
        <v>0</v>
      </c>
      <c r="K41" s="437">
        <f>'A型'!K41+'B型'!K41+'共通費'!K41</f>
        <v>0</v>
      </c>
      <c r="L41" s="437">
        <f>'A型'!L41+'B型'!L41+'共通費'!L41</f>
        <v>0</v>
      </c>
      <c r="M41" s="437">
        <f>'A型'!M41+'B型'!M41+'共通費'!M41</f>
        <v>0</v>
      </c>
      <c r="N41" s="437">
        <f>'A型'!N41+'B型'!N41+'共通費'!N41</f>
        <v>0</v>
      </c>
      <c r="O41" s="462">
        <f t="shared" si="4"/>
        <v>0</v>
      </c>
      <c r="P41" s="460"/>
      <c r="Q41" s="452"/>
    </row>
    <row r="42" ht="15.75" customHeight="1">
      <c r="A42" s="447" t="s">
        <v>153</v>
      </c>
      <c r="B42" s="447"/>
      <c r="C42" s="462">
        <f t="shared" ref="C42:N42" si="5">SUM(C12:C41)</f>
        <v>4493510</v>
      </c>
      <c r="D42" s="462">
        <f t="shared" si="5"/>
        <v>4413902</v>
      </c>
      <c r="E42" s="462">
        <f t="shared" si="5"/>
        <v>5022515</v>
      </c>
      <c r="F42" s="462">
        <f t="shared" si="5"/>
        <v>5652960</v>
      </c>
      <c r="G42" s="462">
        <f t="shared" si="5"/>
        <v>4492873</v>
      </c>
      <c r="H42" s="462">
        <f t="shared" si="5"/>
        <v>4424822</v>
      </c>
      <c r="I42" s="462">
        <f t="shared" si="5"/>
        <v>4535270</v>
      </c>
      <c r="J42" s="462">
        <f t="shared" si="5"/>
        <v>3889922</v>
      </c>
      <c r="K42" s="462">
        <f t="shared" si="5"/>
        <v>3935175</v>
      </c>
      <c r="L42" s="462">
        <f t="shared" si="5"/>
        <v>4240765</v>
      </c>
      <c r="M42" s="462">
        <f t="shared" si="5"/>
        <v>3918574</v>
      </c>
      <c r="N42" s="462">
        <f t="shared" si="5"/>
        <v>4912207</v>
      </c>
      <c r="O42" s="462">
        <f t="shared" si="4"/>
        <v>53932495</v>
      </c>
      <c r="P42" s="460">
        <f t="shared" ref="P42:P43" si="7">O42/$O$10</f>
        <v>1.079039196</v>
      </c>
      <c r="Q42" s="452"/>
    </row>
    <row r="43" ht="15.75" customHeight="1">
      <c r="A43" s="463" t="s">
        <v>40</v>
      </c>
      <c r="B43" s="463"/>
      <c r="C43" s="465">
        <f t="shared" ref="C43:O43" si="6">C10-C42</f>
        <v>-950897</v>
      </c>
      <c r="D43" s="465">
        <f t="shared" si="6"/>
        <v>1411070</v>
      </c>
      <c r="E43" s="465">
        <f t="shared" si="6"/>
        <v>-1487208</v>
      </c>
      <c r="F43" s="465">
        <f t="shared" si="6"/>
        <v>-2048704</v>
      </c>
      <c r="G43" s="465">
        <f t="shared" si="6"/>
        <v>-628704</v>
      </c>
      <c r="H43" s="465">
        <f t="shared" si="6"/>
        <v>-886271</v>
      </c>
      <c r="I43" s="465">
        <f t="shared" si="6"/>
        <v>-898979</v>
      </c>
      <c r="J43" s="465">
        <f t="shared" si="6"/>
        <v>646151</v>
      </c>
      <c r="K43" s="465">
        <f t="shared" si="6"/>
        <v>777887</v>
      </c>
      <c r="L43" s="465">
        <f t="shared" si="6"/>
        <v>1476864</v>
      </c>
      <c r="M43" s="465">
        <f t="shared" si="6"/>
        <v>-626600</v>
      </c>
      <c r="N43" s="465">
        <f t="shared" si="6"/>
        <v>-735143</v>
      </c>
      <c r="O43" s="465">
        <f t="shared" si="6"/>
        <v>-3950534</v>
      </c>
      <c r="P43" s="460">
        <f t="shared" si="7"/>
        <v>-0.07903919576</v>
      </c>
      <c r="Q43" s="452"/>
    </row>
    <row r="44" ht="15.75" customHeight="1">
      <c r="A44" s="447" t="s">
        <v>154</v>
      </c>
      <c r="B44" s="447"/>
      <c r="C44" s="437">
        <f>'A型'!C44+'B型'!C44+'共通費'!C44</f>
        <v>5424</v>
      </c>
      <c r="D44" s="437">
        <f>'A型'!D44+'B型'!D44+'共通費'!D44</f>
        <v>0</v>
      </c>
      <c r="E44" s="437">
        <f>'A型'!E44+'B型'!E44+'共通費'!E44</f>
        <v>9697</v>
      </c>
      <c r="F44" s="437">
        <f>'A型'!F44+'B型'!F44+'共通費'!F44</f>
        <v>5260</v>
      </c>
      <c r="G44" s="437">
        <f>'A型'!G44+'B型'!G44+'共通費'!G44</f>
        <v>0</v>
      </c>
      <c r="H44" s="437">
        <f>'A型'!H44+'B型'!H44+'共通費'!H44</f>
        <v>9862</v>
      </c>
      <c r="I44" s="437">
        <f>'A型'!I44+'B型'!I44+'共通費'!I44</f>
        <v>5095</v>
      </c>
      <c r="J44" s="437">
        <f>'A型'!J44+'B型'!J44+'共通費'!J44</f>
        <v>0</v>
      </c>
      <c r="K44" s="437">
        <f>'A型'!K44+'B型'!K44+'共通費'!K44</f>
        <v>5753</v>
      </c>
      <c r="L44" s="437">
        <f>'A型'!L44+'B型'!L44+'共通費'!L44</f>
        <v>4525</v>
      </c>
      <c r="M44" s="437">
        <f>'A型'!M44+'B型'!M44+'共通費'!M44</f>
        <v>4448</v>
      </c>
      <c r="N44" s="437">
        <f>'A型'!N44+'B型'!N44+'共通費'!N44</f>
        <v>9126</v>
      </c>
      <c r="O44" s="462">
        <f t="shared" ref="O44:O46" si="8">SUM(C44:N44)</f>
        <v>59190</v>
      </c>
      <c r="P44" s="460"/>
      <c r="Q44" s="452"/>
    </row>
    <row r="45" ht="15.75" customHeight="1">
      <c r="A45" s="447" t="s">
        <v>155</v>
      </c>
      <c r="B45" s="447"/>
      <c r="C45" s="437">
        <f>'A型'!C45+'B型'!C45+'共通費'!C45</f>
        <v>0</v>
      </c>
      <c r="D45" s="437">
        <f>'A型'!D45+'B型'!D45+'共通費'!D45</f>
        <v>0</v>
      </c>
      <c r="E45" s="437">
        <f>'A型'!E45+'B型'!E45+'共通費'!E45</f>
        <v>0</v>
      </c>
      <c r="F45" s="437">
        <f>'A型'!F45+'B型'!F45+'共通費'!F45</f>
        <v>0</v>
      </c>
      <c r="G45" s="437">
        <f>'A型'!G45+'B型'!G45+'共通費'!G45</f>
        <v>0</v>
      </c>
      <c r="H45" s="437">
        <f>'A型'!H45+'B型'!H45+'共通費'!H45</f>
        <v>0</v>
      </c>
      <c r="I45" s="437">
        <f>'A型'!I45+'B型'!I45+'共通費'!I45</f>
        <v>0</v>
      </c>
      <c r="J45" s="437">
        <f>'A型'!J45+'B型'!J45+'共通費'!J45</f>
        <v>0</v>
      </c>
      <c r="K45" s="437">
        <f>'A型'!K45+'B型'!K45+'共通費'!K45</f>
        <v>0</v>
      </c>
      <c r="L45" s="437">
        <f>'A型'!L45+'B型'!L45+'共通費'!L45</f>
        <v>0</v>
      </c>
      <c r="M45" s="437">
        <f>'A型'!M45+'B型'!M45+'共通費'!M45</f>
        <v>0</v>
      </c>
      <c r="N45" s="437">
        <f>'A型'!N45+'B型'!N45+'共通費'!N45</f>
        <v>0</v>
      </c>
      <c r="O45" s="459">
        <f t="shared" si="8"/>
        <v>0</v>
      </c>
      <c r="P45" s="460"/>
      <c r="Q45" s="452"/>
    </row>
    <row r="46" ht="15.75" customHeight="1">
      <c r="A46" s="447" t="s">
        <v>156</v>
      </c>
      <c r="B46" s="447"/>
      <c r="C46" s="437">
        <f>'A型'!C46+'B型'!C46+'共通費'!C46</f>
        <v>19444</v>
      </c>
      <c r="D46" s="437">
        <f>'A型'!D46+'B型'!D46+'共通費'!D46</f>
        <v>179264</v>
      </c>
      <c r="E46" s="437">
        <f>'A型'!E46+'B型'!E46+'共通費'!E46</f>
        <v>155</v>
      </c>
      <c r="F46" s="437">
        <f>'A型'!F46+'B型'!F46+'共通費'!F46</f>
        <v>101047</v>
      </c>
      <c r="G46" s="437">
        <f>'A型'!G46+'B型'!G46+'共通費'!G46</f>
        <v>2783</v>
      </c>
      <c r="H46" s="437">
        <f>'A型'!H46+'B型'!H46+'共通費'!H46</f>
        <v>0</v>
      </c>
      <c r="I46" s="437">
        <f>'A型'!I46+'B型'!I46+'共通費'!I46</f>
        <v>0</v>
      </c>
      <c r="J46" s="437">
        <f>'A型'!J46+'B型'!J46+'共通費'!J46</f>
        <v>0</v>
      </c>
      <c r="K46" s="437">
        <f>'A型'!K46+'B型'!K46+'共通費'!K46</f>
        <v>0</v>
      </c>
      <c r="L46" s="437">
        <f>'A型'!L46+'B型'!L46+'共通費'!L46</f>
        <v>1400000</v>
      </c>
      <c r="M46" s="437">
        <f>'A型'!M46+'B型'!M46+'共通費'!M46</f>
        <v>2033</v>
      </c>
      <c r="N46" s="437">
        <f>'A型'!N46+'B型'!N46+'共通費'!N46</f>
        <v>0</v>
      </c>
      <c r="O46" s="459">
        <f t="shared" si="8"/>
        <v>1704726</v>
      </c>
      <c r="P46" s="460"/>
      <c r="Q46" s="452"/>
    </row>
    <row r="47" ht="15.75" customHeight="1">
      <c r="A47" s="463" t="s">
        <v>43</v>
      </c>
      <c r="B47" s="463"/>
      <c r="C47" s="470">
        <f t="shared" ref="C47:O47" si="9">C43-C44-C45+C46</f>
        <v>-936877</v>
      </c>
      <c r="D47" s="470">
        <f t="shared" si="9"/>
        <v>1590334</v>
      </c>
      <c r="E47" s="470">
        <f t="shared" si="9"/>
        <v>-1496750</v>
      </c>
      <c r="F47" s="470">
        <f t="shared" si="9"/>
        <v>-1952917</v>
      </c>
      <c r="G47" s="470">
        <f t="shared" si="9"/>
        <v>-625921</v>
      </c>
      <c r="H47" s="470">
        <f t="shared" si="9"/>
        <v>-896133</v>
      </c>
      <c r="I47" s="470">
        <f t="shared" si="9"/>
        <v>-904074</v>
      </c>
      <c r="J47" s="470">
        <f t="shared" si="9"/>
        <v>646151</v>
      </c>
      <c r="K47" s="470">
        <f t="shared" si="9"/>
        <v>772134</v>
      </c>
      <c r="L47" s="470">
        <f t="shared" si="9"/>
        <v>2872339</v>
      </c>
      <c r="M47" s="470">
        <f t="shared" si="9"/>
        <v>-629015</v>
      </c>
      <c r="N47" s="470">
        <f t="shared" si="9"/>
        <v>-744269</v>
      </c>
      <c r="O47" s="470">
        <f t="shared" si="9"/>
        <v>-2304998</v>
      </c>
      <c r="P47" s="460">
        <f>O47/$O$10</f>
        <v>-0.04611659795</v>
      </c>
      <c r="Q47" s="452"/>
    </row>
    <row r="48" ht="15.75" customHeight="1">
      <c r="A48" s="447" t="s">
        <v>44</v>
      </c>
      <c r="B48" s="447"/>
      <c r="C48" s="447"/>
      <c r="D48" s="447"/>
      <c r="E48" s="447"/>
      <c r="F48" s="447"/>
      <c r="G48" s="447"/>
      <c r="H48" s="447"/>
      <c r="I48" s="458"/>
      <c r="J48" s="447"/>
      <c r="K48" s="458"/>
      <c r="L48" s="458"/>
      <c r="M48" s="458"/>
      <c r="N48" s="458"/>
      <c r="O48" s="471">
        <f t="shared" ref="O48:O49" si="10">SUM(C48:N48)</f>
        <v>0</v>
      </c>
      <c r="P48" s="460"/>
      <c r="Q48" s="452"/>
    </row>
    <row r="49" ht="21.0" customHeight="1">
      <c r="A49" s="472" t="s">
        <v>45</v>
      </c>
      <c r="B49" s="472"/>
      <c r="C49" s="472"/>
      <c r="D49" s="472"/>
      <c r="E49" s="472"/>
      <c r="F49" s="472"/>
      <c r="G49" s="472"/>
      <c r="H49" s="472"/>
      <c r="I49" s="458"/>
      <c r="J49" s="472"/>
      <c r="K49" s="458"/>
      <c r="L49" s="458"/>
      <c r="M49" s="458"/>
      <c r="N49" s="473"/>
      <c r="O49" s="474">
        <f t="shared" si="10"/>
        <v>0</v>
      </c>
      <c r="P49" s="475"/>
      <c r="Q49" s="476"/>
      <c r="R49" s="440"/>
      <c r="S49" s="443"/>
      <c r="T49" s="444"/>
    </row>
    <row r="50" ht="36.75" customHeight="1">
      <c r="A50" s="463" t="s">
        <v>157</v>
      </c>
      <c r="B50" s="463"/>
      <c r="C50" s="465">
        <f t="shared" ref="C50:O50" si="11">C47+C48-C49</f>
        <v>-936877</v>
      </c>
      <c r="D50" s="465">
        <f t="shared" si="11"/>
        <v>1590334</v>
      </c>
      <c r="E50" s="465">
        <f t="shared" si="11"/>
        <v>-1496750</v>
      </c>
      <c r="F50" s="465">
        <f t="shared" si="11"/>
        <v>-1952917</v>
      </c>
      <c r="G50" s="465">
        <f t="shared" si="11"/>
        <v>-625921</v>
      </c>
      <c r="H50" s="465">
        <f t="shared" si="11"/>
        <v>-896133</v>
      </c>
      <c r="I50" s="465">
        <f t="shared" si="11"/>
        <v>-904074</v>
      </c>
      <c r="J50" s="465">
        <f t="shared" si="11"/>
        <v>646151</v>
      </c>
      <c r="K50" s="465">
        <f t="shared" si="11"/>
        <v>772134</v>
      </c>
      <c r="L50" s="465">
        <f t="shared" si="11"/>
        <v>2872339</v>
      </c>
      <c r="M50" s="465">
        <f t="shared" si="11"/>
        <v>-629015</v>
      </c>
      <c r="N50" s="465">
        <f t="shared" si="11"/>
        <v>-744269</v>
      </c>
      <c r="O50" s="465">
        <f t="shared" si="11"/>
        <v>-2304998</v>
      </c>
      <c r="P50" s="460">
        <f t="shared" ref="P50:P52" si="12">O50/$O$10</f>
        <v>-0.04611659795</v>
      </c>
      <c r="Q50" s="452"/>
      <c r="R50" s="440"/>
      <c r="S50" s="443"/>
      <c r="T50" s="444"/>
    </row>
    <row r="51" ht="15.75" customHeight="1">
      <c r="A51" s="463" t="s">
        <v>158</v>
      </c>
      <c r="B51" s="477">
        <v>0.33</v>
      </c>
      <c r="C51" s="465"/>
      <c r="D51" s="465"/>
      <c r="E51" s="465"/>
      <c r="F51" s="465"/>
      <c r="G51" s="465"/>
      <c r="H51" s="465"/>
      <c r="I51" s="465"/>
      <c r="J51" s="465"/>
      <c r="K51" s="465"/>
      <c r="L51" s="465"/>
      <c r="M51" s="465"/>
      <c r="N51" s="465"/>
      <c r="O51" s="465">
        <f>IF(O50&gt;=0,O50*30%+70000,70000)</f>
        <v>70000</v>
      </c>
      <c r="P51" s="460">
        <f t="shared" si="12"/>
        <v>0.001400505274</v>
      </c>
      <c r="Q51" s="452"/>
      <c r="R51" s="440"/>
      <c r="S51" s="443"/>
      <c r="T51" s="444"/>
    </row>
    <row r="52" ht="15.75" customHeight="1">
      <c r="A52" s="463" t="s">
        <v>159</v>
      </c>
      <c r="B52" s="463"/>
      <c r="C52" s="465"/>
      <c r="D52" s="465"/>
      <c r="E52" s="465"/>
      <c r="F52" s="465"/>
      <c r="G52" s="465"/>
      <c r="H52" s="465"/>
      <c r="I52" s="465"/>
      <c r="J52" s="465"/>
      <c r="K52" s="465"/>
      <c r="L52" s="465"/>
      <c r="M52" s="465"/>
      <c r="N52" s="465"/>
      <c r="O52" s="465">
        <f>O50-O51</f>
        <v>-2374998</v>
      </c>
      <c r="P52" s="460">
        <f t="shared" si="12"/>
        <v>-0.04751710322</v>
      </c>
      <c r="Q52" s="452"/>
      <c r="R52" s="440"/>
      <c r="S52" s="443"/>
      <c r="T52" s="444"/>
    </row>
    <row r="53" ht="15.75" customHeight="1">
      <c r="A53" s="478"/>
      <c r="B53" s="452"/>
      <c r="C53" s="479"/>
      <c r="D53" s="479"/>
      <c r="E53" s="479"/>
      <c r="F53" s="479"/>
      <c r="G53" s="479"/>
      <c r="H53" s="479"/>
      <c r="I53" s="479"/>
      <c r="J53" s="479"/>
      <c r="K53" s="479"/>
      <c r="L53" s="479"/>
      <c r="M53" s="479"/>
      <c r="N53" s="479"/>
      <c r="O53" s="479"/>
      <c r="P53" s="452"/>
      <c r="Q53" s="452"/>
      <c r="R53" s="440"/>
      <c r="S53" s="443"/>
    </row>
    <row r="54" ht="15.75" customHeight="1">
      <c r="A54" s="478"/>
      <c r="B54" s="452"/>
      <c r="C54" s="457"/>
      <c r="D54" s="457"/>
      <c r="E54" s="457"/>
      <c r="F54" s="457"/>
      <c r="G54" s="457"/>
      <c r="H54" s="457"/>
      <c r="I54" s="457"/>
      <c r="J54" s="457"/>
      <c r="K54" s="457"/>
      <c r="L54" s="457"/>
      <c r="M54" s="457"/>
      <c r="N54" s="457"/>
      <c r="O54" s="457"/>
      <c r="P54" s="452"/>
      <c r="Q54" s="452"/>
    </row>
    <row r="55" ht="15.75" customHeight="1">
      <c r="B55" s="440"/>
      <c r="G55" s="443"/>
      <c r="H55" s="443"/>
      <c r="I55" s="443"/>
      <c r="J55" s="443"/>
      <c r="K55" s="443"/>
      <c r="L55" s="443"/>
      <c r="M55" s="443"/>
      <c r="N55" s="443"/>
    </row>
    <row r="56" ht="15.75" customHeight="1">
      <c r="B56" s="440"/>
    </row>
    <row r="57" ht="15.75" customHeight="1">
      <c r="B57" s="480" t="s">
        <v>160</v>
      </c>
      <c r="C57" s="481">
        <f t="shared" ref="C57:N57" si="13">C63*C64*C65*C66</f>
        <v>1512124.416</v>
      </c>
      <c r="D57" s="481">
        <f t="shared" si="13"/>
        <v>1443391.488</v>
      </c>
      <c r="E57" s="481">
        <f t="shared" si="13"/>
        <v>1638134.784</v>
      </c>
      <c r="F57" s="481">
        <f t="shared" si="13"/>
        <v>1580857.344</v>
      </c>
      <c r="G57" s="481">
        <f t="shared" si="13"/>
        <v>1580857.344</v>
      </c>
      <c r="H57" s="481">
        <f t="shared" si="13"/>
        <v>1580857.344</v>
      </c>
      <c r="I57" s="481">
        <f t="shared" si="13"/>
        <v>1443391.488</v>
      </c>
      <c r="J57" s="481">
        <f t="shared" si="13"/>
        <v>1374658.56</v>
      </c>
      <c r="K57" s="481">
        <f t="shared" si="13"/>
        <v>1443391.488</v>
      </c>
      <c r="L57" s="481">
        <f t="shared" si="13"/>
        <v>1512124.416</v>
      </c>
      <c r="M57" s="481">
        <f t="shared" si="13"/>
        <v>1512124.416</v>
      </c>
      <c r="N57" s="481">
        <f t="shared" si="13"/>
        <v>1512124.416</v>
      </c>
    </row>
    <row r="58" ht="15.75" customHeight="1">
      <c r="B58" s="480" t="s">
        <v>161</v>
      </c>
      <c r="C58" s="482">
        <v>11.0</v>
      </c>
      <c r="D58" s="482">
        <v>2.0</v>
      </c>
      <c r="E58" s="482">
        <v>1.0</v>
      </c>
      <c r="F58" s="482"/>
      <c r="G58" s="482"/>
      <c r="H58" s="482"/>
      <c r="I58" s="482"/>
      <c r="J58" s="482">
        <v>11.0</v>
      </c>
      <c r="K58" s="482">
        <v>3.0</v>
      </c>
      <c r="L58" s="482"/>
      <c r="M58" s="482"/>
      <c r="N58" s="482"/>
    </row>
    <row r="59" ht="15.75" customHeight="1">
      <c r="B59" s="440"/>
    </row>
    <row r="60" ht="15.75" customHeight="1">
      <c r="B60" s="480" t="s">
        <v>162</v>
      </c>
      <c r="C60" s="481">
        <f t="shared" ref="C60:N60" si="14">C70*C71*C72*C73</f>
        <v>350153.1</v>
      </c>
      <c r="D60" s="481">
        <f t="shared" si="14"/>
        <v>334237.05</v>
      </c>
      <c r="E60" s="481">
        <f t="shared" si="14"/>
        <v>700306.2</v>
      </c>
      <c r="F60" s="481">
        <f t="shared" si="14"/>
        <v>732138.3</v>
      </c>
      <c r="G60" s="481">
        <f t="shared" si="14"/>
        <v>732138.3</v>
      </c>
      <c r="H60" s="481">
        <f t="shared" si="14"/>
        <v>732138.3</v>
      </c>
      <c r="I60" s="481">
        <f t="shared" si="14"/>
        <v>668474.1</v>
      </c>
      <c r="J60" s="481">
        <f t="shared" si="14"/>
        <v>636642</v>
      </c>
      <c r="K60" s="481">
        <f t="shared" si="14"/>
        <v>668474.1</v>
      </c>
      <c r="L60" s="481">
        <f t="shared" si="14"/>
        <v>700306.2</v>
      </c>
      <c r="M60" s="481">
        <f t="shared" si="14"/>
        <v>700306.2</v>
      </c>
      <c r="N60" s="481">
        <f t="shared" si="14"/>
        <v>700306.2</v>
      </c>
    </row>
    <row r="61" ht="15.75" customHeight="1"/>
    <row r="62" ht="15.75" customHeight="1">
      <c r="B62" s="440" t="s">
        <v>163</v>
      </c>
    </row>
    <row r="63" ht="15.75" customHeight="1">
      <c r="B63" s="480" t="s">
        <v>164</v>
      </c>
      <c r="C63" s="482">
        <v>22.0</v>
      </c>
      <c r="D63" s="482">
        <v>21.0</v>
      </c>
      <c r="E63" s="482">
        <v>22.0</v>
      </c>
      <c r="F63" s="482">
        <v>23.0</v>
      </c>
      <c r="G63" s="482">
        <v>23.0</v>
      </c>
      <c r="H63" s="482">
        <v>23.0</v>
      </c>
      <c r="I63" s="482">
        <v>21.0</v>
      </c>
      <c r="J63" s="482">
        <v>20.0</v>
      </c>
      <c r="K63" s="482">
        <v>21.0</v>
      </c>
      <c r="L63" s="482">
        <v>22.0</v>
      </c>
      <c r="M63" s="482">
        <v>22.0</v>
      </c>
      <c r="N63" s="482">
        <v>22.0</v>
      </c>
    </row>
    <row r="64" ht="15.75" customHeight="1">
      <c r="B64" s="480" t="s">
        <v>165</v>
      </c>
      <c r="C64" s="483">
        <v>0.8</v>
      </c>
      <c r="D64" s="483">
        <v>0.8</v>
      </c>
      <c r="E64" s="483">
        <v>0.8</v>
      </c>
      <c r="F64" s="483">
        <v>0.8</v>
      </c>
      <c r="G64" s="483">
        <v>0.8</v>
      </c>
      <c r="H64" s="483">
        <v>0.8</v>
      </c>
      <c r="I64" s="483">
        <v>0.8</v>
      </c>
      <c r="J64" s="483">
        <v>0.8</v>
      </c>
      <c r="K64" s="483">
        <v>0.8</v>
      </c>
      <c r="L64" s="483">
        <v>0.8</v>
      </c>
      <c r="M64" s="483">
        <v>0.8</v>
      </c>
      <c r="N64" s="483">
        <v>0.8</v>
      </c>
    </row>
    <row r="65" ht="15.75" customHeight="1">
      <c r="B65" s="480" t="s">
        <v>166</v>
      </c>
      <c r="C65" s="482">
        <f>'A型'!C63</f>
        <v>12</v>
      </c>
      <c r="D65" s="482">
        <f>'A型'!D63</f>
        <v>12</v>
      </c>
      <c r="E65" s="482">
        <f>'A型'!E63</f>
        <v>13</v>
      </c>
      <c r="F65" s="482">
        <f>'A型'!F63</f>
        <v>12</v>
      </c>
      <c r="G65" s="482">
        <f>'A型'!G63</f>
        <v>12</v>
      </c>
      <c r="H65" s="482">
        <f>'A型'!H63</f>
        <v>12</v>
      </c>
      <c r="I65" s="482">
        <f>'A型'!I63</f>
        <v>12</v>
      </c>
      <c r="J65" s="482">
        <f>'A型'!J63</f>
        <v>12</v>
      </c>
      <c r="K65" s="482">
        <f>'A型'!K63</f>
        <v>12</v>
      </c>
      <c r="L65" s="482">
        <f>'A型'!L63</f>
        <v>12</v>
      </c>
      <c r="M65" s="482">
        <f>'A型'!M63</f>
        <v>12</v>
      </c>
      <c r="N65" s="482">
        <f>'A型'!N63</f>
        <v>12</v>
      </c>
    </row>
    <row r="66" ht="15.75" customHeight="1">
      <c r="B66" s="480" t="s">
        <v>167</v>
      </c>
      <c r="C66" s="481">
        <f>'単位計算'!$C$23</f>
        <v>7159.68</v>
      </c>
      <c r="D66" s="481">
        <f>'単位計算'!$C$23</f>
        <v>7159.68</v>
      </c>
      <c r="E66" s="481">
        <f>'単位計算'!$C$23</f>
        <v>7159.68</v>
      </c>
      <c r="F66" s="481">
        <f>'単位計算'!$C$23</f>
        <v>7159.68</v>
      </c>
      <c r="G66" s="481">
        <f>'単位計算'!$C$23</f>
        <v>7159.68</v>
      </c>
      <c r="H66" s="481">
        <f>'単位計算'!$C$23</f>
        <v>7159.68</v>
      </c>
      <c r="I66" s="481">
        <f>'単位計算'!$C$23</f>
        <v>7159.68</v>
      </c>
      <c r="J66" s="481">
        <f>'単位計算'!$C$23</f>
        <v>7159.68</v>
      </c>
      <c r="K66" s="481">
        <f>'単位計算'!$C$23</f>
        <v>7159.68</v>
      </c>
      <c r="L66" s="481">
        <f>'単位計算'!$C$23</f>
        <v>7159.68</v>
      </c>
      <c r="M66" s="481">
        <f>'単位計算'!$C$23</f>
        <v>7159.68</v>
      </c>
      <c r="N66" s="481">
        <f>'単位計算'!$C$23</f>
        <v>7159.68</v>
      </c>
    </row>
    <row r="67" ht="15.75" customHeight="1">
      <c r="B67" s="480" t="s">
        <v>168</v>
      </c>
      <c r="C67" s="481">
        <f>'単位計算'!$C$21*'予測PL (2025.04-)'!C63*'予測PL (2025.04-)'!C64*'予測PL (2025.04-)'!C65</f>
        <v>148684.8</v>
      </c>
      <c r="D67" s="481">
        <f>'単位計算'!$C$21*'予測PL (2025.04-)'!D63*'予測PL (2025.04-)'!D64*'予測PL (2025.04-)'!D65</f>
        <v>141926.4</v>
      </c>
      <c r="E67" s="481">
        <f>'単位計算'!$C$21*'予測PL (2025.04-)'!E63*'予測PL (2025.04-)'!E64*'予測PL (2025.04-)'!E65</f>
        <v>161075.2</v>
      </c>
      <c r="F67" s="481">
        <f>'単位計算'!$C$21*'予測PL (2025.04-)'!F63*'予測PL (2025.04-)'!F64*'予測PL (2025.04-)'!F65</f>
        <v>155443.2</v>
      </c>
      <c r="G67" s="481">
        <f>'単位計算'!$C$21*'予測PL (2025.04-)'!G63*'予測PL (2025.04-)'!G64*'予測PL (2025.04-)'!G65</f>
        <v>155443.2</v>
      </c>
      <c r="H67" s="481">
        <f>'単位計算'!$C$21*'予測PL (2025.04-)'!H63*'予測PL (2025.04-)'!H64*'予測PL (2025.04-)'!H65</f>
        <v>155443.2</v>
      </c>
      <c r="I67" s="481">
        <f>'単位計算'!$C$21*'予測PL (2025.04-)'!I63*'予測PL (2025.04-)'!I64*'予測PL (2025.04-)'!I65</f>
        <v>141926.4</v>
      </c>
      <c r="J67" s="481">
        <f>'単位計算'!$C$21*'予測PL (2025.04-)'!J63*'予測PL (2025.04-)'!J64*'予測PL (2025.04-)'!J65</f>
        <v>135168</v>
      </c>
      <c r="K67" s="481">
        <f>'単位計算'!$C$21*'予測PL (2025.04-)'!K63*'予測PL (2025.04-)'!K64*'予測PL (2025.04-)'!K65</f>
        <v>141926.4</v>
      </c>
      <c r="L67" s="481">
        <f>'単位計算'!$C$21*'予測PL (2025.04-)'!L63*'予測PL (2025.04-)'!L64*'予測PL (2025.04-)'!L65</f>
        <v>148684.8</v>
      </c>
      <c r="M67" s="481">
        <f>'単位計算'!$C$21*'予測PL (2025.04-)'!M63*'予測PL (2025.04-)'!M64*'予測PL (2025.04-)'!M65</f>
        <v>148684.8</v>
      </c>
      <c r="N67" s="481">
        <f>'単位計算'!$C$21*'予測PL (2025.04-)'!N63*'予測PL (2025.04-)'!N64*'予測PL (2025.04-)'!N65</f>
        <v>148684.8</v>
      </c>
    </row>
    <row r="68" ht="15.75" customHeight="1"/>
    <row r="69" ht="15.75" customHeight="1">
      <c r="B69" s="440" t="s">
        <v>169</v>
      </c>
    </row>
    <row r="70" ht="15.75" customHeight="1">
      <c r="B70" s="480" t="s">
        <v>164</v>
      </c>
      <c r="C70" s="482">
        <v>22.0</v>
      </c>
      <c r="D70" s="482">
        <v>21.0</v>
      </c>
      <c r="E70" s="482">
        <v>22.0</v>
      </c>
      <c r="F70" s="482">
        <v>23.0</v>
      </c>
      <c r="G70" s="482">
        <v>23.0</v>
      </c>
      <c r="H70" s="482">
        <v>23.0</v>
      </c>
      <c r="I70" s="482">
        <v>21.0</v>
      </c>
      <c r="J70" s="482">
        <v>20.0</v>
      </c>
      <c r="K70" s="482">
        <v>21.0</v>
      </c>
      <c r="L70" s="482">
        <v>22.0</v>
      </c>
      <c r="M70" s="482">
        <v>22.0</v>
      </c>
      <c r="N70" s="482">
        <v>22.0</v>
      </c>
    </row>
    <row r="71" ht="15.75" customHeight="1">
      <c r="B71" s="480" t="s">
        <v>165</v>
      </c>
      <c r="C71" s="483">
        <v>0.5</v>
      </c>
      <c r="D71" s="483">
        <v>0.5</v>
      </c>
      <c r="E71" s="483">
        <v>0.5</v>
      </c>
      <c r="F71" s="483">
        <v>0.5</v>
      </c>
      <c r="G71" s="483">
        <v>0.5</v>
      </c>
      <c r="H71" s="483">
        <v>0.5</v>
      </c>
      <c r="I71" s="483">
        <v>0.5</v>
      </c>
      <c r="J71" s="483">
        <v>0.5</v>
      </c>
      <c r="K71" s="483">
        <v>0.5</v>
      </c>
      <c r="L71" s="483">
        <v>0.5</v>
      </c>
      <c r="M71" s="483">
        <v>0.5</v>
      </c>
      <c r="N71" s="483">
        <v>0.5</v>
      </c>
    </row>
    <row r="72" ht="15.75" customHeight="1">
      <c r="B72" s="480" t="s">
        <v>170</v>
      </c>
      <c r="C72" s="482">
        <v>5.0</v>
      </c>
      <c r="D72" s="482">
        <v>5.0</v>
      </c>
      <c r="E72" s="482">
        <v>10.0</v>
      </c>
      <c r="F72" s="482">
        <v>10.0</v>
      </c>
      <c r="G72" s="482">
        <v>10.0</v>
      </c>
      <c r="H72" s="482">
        <v>10.0</v>
      </c>
      <c r="I72" s="482">
        <v>10.0</v>
      </c>
      <c r="J72" s="482">
        <v>10.0</v>
      </c>
      <c r="K72" s="482">
        <v>10.0</v>
      </c>
      <c r="L72" s="482">
        <v>10.0</v>
      </c>
      <c r="M72" s="482">
        <v>10.0</v>
      </c>
      <c r="N72" s="482">
        <v>10.0</v>
      </c>
    </row>
    <row r="73" ht="15.75" customHeight="1">
      <c r="B73" s="480" t="s">
        <v>171</v>
      </c>
      <c r="C73" s="481">
        <f>'単位計算'!$G$23</f>
        <v>6366.42</v>
      </c>
      <c r="D73" s="481">
        <f>'単位計算'!$G$23</f>
        <v>6366.42</v>
      </c>
      <c r="E73" s="481">
        <f>'単位計算'!$G$23</f>
        <v>6366.42</v>
      </c>
      <c r="F73" s="481">
        <f>'単位計算'!$G$23</f>
        <v>6366.42</v>
      </c>
      <c r="G73" s="481">
        <f>'単位計算'!$G$23</f>
        <v>6366.42</v>
      </c>
      <c r="H73" s="481">
        <f>'単位計算'!$G$23</f>
        <v>6366.42</v>
      </c>
      <c r="I73" s="481">
        <f>'単位計算'!$G$23</f>
        <v>6366.42</v>
      </c>
      <c r="J73" s="481">
        <f>'単位計算'!$G$23</f>
        <v>6366.42</v>
      </c>
      <c r="K73" s="481">
        <f>'単位計算'!$G$23</f>
        <v>6366.42</v>
      </c>
      <c r="L73" s="481">
        <f>'単位計算'!$G$23</f>
        <v>6366.42</v>
      </c>
      <c r="M73" s="481">
        <f>'単位計算'!$G$23</f>
        <v>6366.42</v>
      </c>
      <c r="N73" s="481">
        <f>'単位計算'!$G$23</f>
        <v>6366.42</v>
      </c>
    </row>
    <row r="74" ht="15.75" customHeight="1">
      <c r="B74" s="480" t="s">
        <v>168</v>
      </c>
      <c r="C74" s="481">
        <f>C70*C71*C72*'単位計算'!$G$21</f>
        <v>34430</v>
      </c>
      <c r="D74" s="481">
        <f>D70*D71*D72*'単位計算'!$G$21</f>
        <v>32865</v>
      </c>
      <c r="E74" s="481">
        <f>E70*E71*E72*'単位計算'!$G$21</f>
        <v>68860</v>
      </c>
      <c r="F74" s="481">
        <f>F70*F71*F72*'単位計算'!$G$21</f>
        <v>71990</v>
      </c>
      <c r="G74" s="481">
        <f>G70*G71*G72*'単位計算'!$G$21</f>
        <v>71990</v>
      </c>
      <c r="H74" s="481">
        <f>H70*H71*H72*'単位計算'!$G$21</f>
        <v>71990</v>
      </c>
      <c r="I74" s="481">
        <f>I70*I71*I72*'単位計算'!$G$21</f>
        <v>65730</v>
      </c>
      <c r="J74" s="481">
        <f>J70*J71*J72*'単位計算'!$G$21</f>
        <v>62600</v>
      </c>
      <c r="K74" s="481">
        <f>K70*K71*K72*'単位計算'!$G$21</f>
        <v>65730</v>
      </c>
      <c r="L74" s="481">
        <f>L70*L71*L72*'単位計算'!$G$21</f>
        <v>68860</v>
      </c>
      <c r="M74" s="481">
        <f>M70*M71*M72*'単位計算'!$G$21</f>
        <v>68860</v>
      </c>
      <c r="N74" s="481">
        <f>N70*N71*N72*'単位計算'!$G$21</f>
        <v>68860</v>
      </c>
    </row>
    <row r="75" ht="15.75" customHeight="1"/>
    <row r="76" ht="15.75" customHeight="1">
      <c r="B76" s="480" t="s">
        <v>172</v>
      </c>
      <c r="C76" s="481">
        <f>C67*'単位計算'!$C$25*'単位計算'!$C$22</f>
        <v>145163.9439</v>
      </c>
      <c r="D76" s="481">
        <f>D67*'単位計算'!$C$25*'単位計算'!$C$22</f>
        <v>138565.5828</v>
      </c>
      <c r="E76" s="481">
        <f>E67*'単位計算'!$C$25*'単位計算'!$C$22</f>
        <v>157260.9393</v>
      </c>
      <c r="F76" s="481">
        <f>F67*'単位計算'!$C$25*'単位計算'!$C$22</f>
        <v>151762.305</v>
      </c>
      <c r="G76" s="481">
        <f>G67*'単位計算'!$C$25*'単位計算'!$C$22</f>
        <v>151762.305</v>
      </c>
      <c r="H76" s="481">
        <f>H67*'単位計算'!$C$25*'単位計算'!$C$22</f>
        <v>151762.305</v>
      </c>
      <c r="I76" s="481">
        <f>I67*'単位計算'!$C$25*'単位計算'!$C$22</f>
        <v>138565.5828</v>
      </c>
      <c r="J76" s="481">
        <f>J67*'単位計算'!$C$25*'単位計算'!$C$22</f>
        <v>131967.2218</v>
      </c>
      <c r="K76" s="481">
        <f>K67*'単位計算'!$C$25*'単位計算'!$C$22</f>
        <v>138565.5828</v>
      </c>
      <c r="L76" s="481">
        <f>L67*'単位計算'!$C$25*'単位計算'!$C$22</f>
        <v>145163.9439</v>
      </c>
      <c r="M76" s="481">
        <f>M67*'単位計算'!$C$25*'単位計算'!$C$22</f>
        <v>145163.9439</v>
      </c>
      <c r="N76" s="481">
        <f>N67*'単位計算'!$C$25*'単位計算'!$C$22</f>
        <v>145163.9439</v>
      </c>
    </row>
    <row r="77" ht="15.75" customHeight="1">
      <c r="B77" s="480" t="s">
        <v>173</v>
      </c>
      <c r="C77" s="481">
        <f>C74*'単位計算'!$G$25*'単位計算'!$G$22</f>
        <v>32564.2383</v>
      </c>
      <c r="D77" s="481">
        <f>D74*'単位計算'!$G$25*'単位計算'!$G$22</f>
        <v>31084.04565</v>
      </c>
      <c r="E77" s="481">
        <f>E74*'単位計算'!$G$25*'単位計算'!$G$22</f>
        <v>65128.4766</v>
      </c>
      <c r="F77" s="481">
        <f>F74*'単位計算'!$G$25*'単位計算'!$G$22</f>
        <v>68088.8619</v>
      </c>
      <c r="G77" s="481">
        <f>G74*'単位計算'!$G$25*'単位計算'!$G$22</f>
        <v>68088.8619</v>
      </c>
      <c r="H77" s="481">
        <f>H74*'単位計算'!$G$25*'単位計算'!$G$22</f>
        <v>68088.8619</v>
      </c>
      <c r="I77" s="481">
        <f>I74*'単位計算'!$G$25*'単位計算'!$G$22</f>
        <v>62168.0913</v>
      </c>
      <c r="J77" s="481">
        <f>J74*'単位計算'!$G$25*'単位計算'!$G$22</f>
        <v>59207.706</v>
      </c>
      <c r="K77" s="481">
        <f>K74*'単位計算'!$G$25*'単位計算'!$G$22</f>
        <v>62168.0913</v>
      </c>
      <c r="L77" s="481">
        <f>L74*'単位計算'!$G$25*'単位計算'!$G$22</f>
        <v>65128.4766</v>
      </c>
      <c r="M77" s="481">
        <f>M74*'単位計算'!$G$25*'単位計算'!$G$22</f>
        <v>65128.4766</v>
      </c>
      <c r="N77" s="481">
        <f>N74*'単位計算'!$G$25*'単位計算'!$G$22</f>
        <v>65128.4766</v>
      </c>
    </row>
    <row r="78" ht="23.25" customHeight="1">
      <c r="B78" s="484" t="s">
        <v>174</v>
      </c>
      <c r="C78" s="485">
        <v>190625.0</v>
      </c>
      <c r="D78" s="485">
        <v>185228.0</v>
      </c>
      <c r="E78" s="485">
        <v>182512.0</v>
      </c>
      <c r="F78" s="485">
        <v>168408.0</v>
      </c>
      <c r="G78" s="485">
        <v>190526.0</v>
      </c>
      <c r="H78" s="485">
        <v>163119.0</v>
      </c>
      <c r="I78" s="486">
        <v>180459.0</v>
      </c>
      <c r="J78" s="485"/>
      <c r="K78" s="485"/>
      <c r="L78" s="485"/>
      <c r="M78" s="485"/>
      <c r="N78" s="485"/>
      <c r="O78" s="487" t="s">
        <v>175</v>
      </c>
    </row>
    <row r="79" ht="15.75" customHeight="1">
      <c r="B79" s="480" t="s">
        <v>176</v>
      </c>
      <c r="C79" s="481">
        <v>54000.0</v>
      </c>
      <c r="D79" s="481">
        <v>54000.0</v>
      </c>
      <c r="E79" s="481">
        <v>54000.0</v>
      </c>
      <c r="F79" s="481">
        <v>54000.0</v>
      </c>
      <c r="G79" s="481">
        <v>158000.0</v>
      </c>
      <c r="H79" s="481">
        <v>164000.0</v>
      </c>
      <c r="I79" s="481">
        <v>164000.0</v>
      </c>
      <c r="J79" s="488">
        <v>164000.0</v>
      </c>
      <c r="K79" s="488">
        <v>164000.0</v>
      </c>
      <c r="L79" s="488">
        <v>164000.0</v>
      </c>
      <c r="M79" s="488">
        <v>164000.0</v>
      </c>
      <c r="N79" s="488">
        <v>164000.0</v>
      </c>
    </row>
    <row r="80" ht="27.0" customHeight="1">
      <c r="B80" s="484" t="s">
        <v>177</v>
      </c>
      <c r="C80" s="485">
        <f t="shared" ref="C80:N80" si="15">C78-C79</f>
        <v>136625</v>
      </c>
      <c r="D80" s="485">
        <f t="shared" si="15"/>
        <v>131228</v>
      </c>
      <c r="E80" s="485">
        <f t="shared" si="15"/>
        <v>128512</v>
      </c>
      <c r="F80" s="485">
        <f t="shared" si="15"/>
        <v>114408</v>
      </c>
      <c r="G80" s="485">
        <f t="shared" si="15"/>
        <v>32526</v>
      </c>
      <c r="H80" s="485">
        <f t="shared" si="15"/>
        <v>-881</v>
      </c>
      <c r="I80" s="485">
        <f t="shared" si="15"/>
        <v>16459</v>
      </c>
      <c r="J80" s="485">
        <f t="shared" si="15"/>
        <v>-164000</v>
      </c>
      <c r="K80" s="485">
        <f t="shared" si="15"/>
        <v>-164000</v>
      </c>
      <c r="L80" s="485">
        <f t="shared" si="15"/>
        <v>-164000</v>
      </c>
      <c r="M80" s="485">
        <f t="shared" si="15"/>
        <v>-164000</v>
      </c>
      <c r="N80" s="485">
        <f t="shared" si="15"/>
        <v>-164000</v>
      </c>
      <c r="O80" s="489">
        <f>SUM(C80:N80)</f>
        <v>-261123</v>
      </c>
      <c r="P80" s="487" t="s">
        <v>178</v>
      </c>
    </row>
    <row r="81" ht="15.75" customHeight="1"/>
    <row r="82" ht="15.75" customHeight="1"/>
    <row r="83" ht="15.75" customHeight="1">
      <c r="C83" s="440" t="s">
        <v>179</v>
      </c>
      <c r="D83" s="440" t="s">
        <v>180</v>
      </c>
      <c r="E83" s="440" t="s">
        <v>181</v>
      </c>
      <c r="F83" s="440" t="s">
        <v>182</v>
      </c>
      <c r="G83" s="440" t="s">
        <v>183</v>
      </c>
      <c r="H83" s="440" t="s">
        <v>184</v>
      </c>
      <c r="I83" s="440" t="s">
        <v>185</v>
      </c>
      <c r="J83" s="440" t="s">
        <v>186</v>
      </c>
      <c r="K83" s="440" t="s">
        <v>187</v>
      </c>
      <c r="L83" s="440" t="s">
        <v>188</v>
      </c>
      <c r="M83" s="440" t="s">
        <v>189</v>
      </c>
      <c r="N83" s="440" t="s">
        <v>190</v>
      </c>
    </row>
    <row r="84" ht="15.75" customHeight="1">
      <c r="B84" s="440" t="s">
        <v>191</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P49:Q49"/>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DE9D9"/>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3.71"/>
    <col customWidth="1" min="2" max="2" width="22.14"/>
    <col customWidth="1" min="3" max="20" width="14.43"/>
  </cols>
  <sheetData>
    <row r="1" ht="15.75" customHeight="1">
      <c r="A1" s="447"/>
      <c r="B1" s="448" t="s">
        <v>116</v>
      </c>
      <c r="C1" s="449" t="s">
        <v>192</v>
      </c>
      <c r="D1" s="449" t="s">
        <v>193</v>
      </c>
      <c r="E1" s="449" t="s">
        <v>194</v>
      </c>
      <c r="F1" s="449" t="s">
        <v>195</v>
      </c>
      <c r="G1" s="449" t="s">
        <v>196</v>
      </c>
      <c r="H1" s="449" t="s">
        <v>197</v>
      </c>
      <c r="I1" s="449" t="s">
        <v>198</v>
      </c>
      <c r="J1" s="451" t="s">
        <v>124</v>
      </c>
      <c r="K1" s="451" t="s">
        <v>125</v>
      </c>
      <c r="L1" s="451" t="s">
        <v>126</v>
      </c>
      <c r="M1" s="451" t="s">
        <v>127</v>
      </c>
      <c r="N1" s="449" t="s">
        <v>199</v>
      </c>
      <c r="O1" s="447" t="s">
        <v>129</v>
      </c>
      <c r="P1" s="452"/>
      <c r="Q1" s="452"/>
    </row>
    <row r="2" ht="15.75" customHeight="1">
      <c r="A2" s="453"/>
      <c r="B2" s="454"/>
      <c r="C2" s="455"/>
      <c r="D2" s="455"/>
      <c r="E2" s="455"/>
      <c r="F2" s="455"/>
      <c r="G2" s="455"/>
      <c r="H2" s="455"/>
      <c r="I2" s="455"/>
      <c r="J2" s="455"/>
      <c r="K2" s="455"/>
      <c r="L2" s="455"/>
      <c r="M2" s="455"/>
      <c r="N2" s="455"/>
      <c r="O2" s="456">
        <f t="shared" ref="O2:O42" si="2">SUM(C2:N2)</f>
        <v>0</v>
      </c>
      <c r="P2" s="457"/>
      <c r="Q2" s="452"/>
    </row>
    <row r="3" ht="15.75" customHeight="1">
      <c r="A3" s="447" t="s">
        <v>130</v>
      </c>
      <c r="B3" s="447"/>
      <c r="C3" s="458">
        <f t="shared" ref="C3:N3" si="1">SUM(C4:C8)</f>
        <v>3101741</v>
      </c>
      <c r="D3" s="458">
        <f t="shared" si="1"/>
        <v>5482159</v>
      </c>
      <c r="E3" s="458">
        <f t="shared" si="1"/>
        <v>3055210</v>
      </c>
      <c r="F3" s="458">
        <f t="shared" si="1"/>
        <v>2846093</v>
      </c>
      <c r="G3" s="458">
        <f t="shared" si="1"/>
        <v>3300454</v>
      </c>
      <c r="H3" s="458">
        <f t="shared" si="1"/>
        <v>2994841</v>
      </c>
      <c r="I3" s="458">
        <f t="shared" si="1"/>
        <v>2996404</v>
      </c>
      <c r="J3" s="458">
        <f t="shared" si="1"/>
        <v>3910896</v>
      </c>
      <c r="K3" s="458">
        <f t="shared" si="1"/>
        <v>4044565</v>
      </c>
      <c r="L3" s="458">
        <f t="shared" si="1"/>
        <v>4475488</v>
      </c>
      <c r="M3" s="458">
        <f t="shared" si="1"/>
        <v>2487801</v>
      </c>
      <c r="N3" s="458">
        <f t="shared" si="1"/>
        <v>3118225</v>
      </c>
      <c r="O3" s="459">
        <f t="shared" si="2"/>
        <v>41813877</v>
      </c>
      <c r="P3" s="460">
        <f>O3/$O$3</f>
        <v>1</v>
      </c>
      <c r="Q3" s="452"/>
    </row>
    <row r="4" ht="15.75" customHeight="1">
      <c r="A4" s="43" t="s">
        <v>10</v>
      </c>
      <c r="B4" s="447"/>
      <c r="C4" s="437">
        <v>2216026.0</v>
      </c>
      <c r="D4" s="437">
        <v>2153396.0</v>
      </c>
      <c r="E4" s="437">
        <v>2068535.0</v>
      </c>
      <c r="F4" s="437">
        <v>1924273.0</v>
      </c>
      <c r="G4" s="490">
        <v>1821950.0</v>
      </c>
      <c r="H4" s="437">
        <v>1892545.0</v>
      </c>
      <c r="I4" s="437">
        <v>1754854.0</v>
      </c>
      <c r="J4" s="490">
        <v>1586450.0</v>
      </c>
      <c r="K4" s="490">
        <v>2029779.0</v>
      </c>
      <c r="L4" s="490">
        <v>1574937.0</v>
      </c>
      <c r="M4" s="490">
        <v>1568163.0</v>
      </c>
      <c r="N4" s="490">
        <v>1952454.0</v>
      </c>
      <c r="O4" s="459">
        <f t="shared" si="2"/>
        <v>22543362</v>
      </c>
      <c r="P4" s="460"/>
      <c r="Q4" s="452"/>
    </row>
    <row r="5" ht="15.75" customHeight="1">
      <c r="A5" s="43" t="s">
        <v>11</v>
      </c>
      <c r="B5" s="447"/>
      <c r="C5" s="458">
        <f t="shared" ref="C5:N5" si="3">C58</f>
        <v>0</v>
      </c>
      <c r="D5" s="458">
        <f t="shared" si="3"/>
        <v>0</v>
      </c>
      <c r="E5" s="458">
        <f t="shared" si="3"/>
        <v>0</v>
      </c>
      <c r="F5" s="458">
        <f t="shared" si="3"/>
        <v>0</v>
      </c>
      <c r="G5" s="458">
        <f t="shared" si="3"/>
        <v>0</v>
      </c>
      <c r="H5" s="458">
        <f t="shared" si="3"/>
        <v>0</v>
      </c>
      <c r="I5" s="458">
        <f t="shared" si="3"/>
        <v>0</v>
      </c>
      <c r="J5" s="458">
        <f t="shared" si="3"/>
        <v>0</v>
      </c>
      <c r="K5" s="458">
        <f t="shared" si="3"/>
        <v>0</v>
      </c>
      <c r="L5" s="458">
        <f t="shared" si="3"/>
        <v>0</v>
      </c>
      <c r="M5" s="458">
        <f t="shared" si="3"/>
        <v>0</v>
      </c>
      <c r="N5" s="458">
        <f t="shared" si="3"/>
        <v>0</v>
      </c>
      <c r="O5" s="459">
        <f t="shared" si="2"/>
        <v>0</v>
      </c>
      <c r="P5" s="460"/>
      <c r="Q5" s="452"/>
    </row>
    <row r="6" ht="15.75" customHeight="1">
      <c r="A6" s="43" t="s">
        <v>12</v>
      </c>
      <c r="B6" s="447"/>
      <c r="C6" s="458">
        <v>0.0</v>
      </c>
      <c r="D6" s="458">
        <v>0.0</v>
      </c>
      <c r="E6" s="458">
        <v>0.0</v>
      </c>
      <c r="F6" s="458">
        <v>0.0</v>
      </c>
      <c r="G6" s="458">
        <v>0.0</v>
      </c>
      <c r="H6" s="458">
        <v>0.0</v>
      </c>
      <c r="I6" s="458">
        <v>0.0</v>
      </c>
      <c r="J6" s="491">
        <v>0.0</v>
      </c>
      <c r="K6" s="491">
        <v>0.0</v>
      </c>
      <c r="L6" s="491">
        <v>0.0</v>
      </c>
      <c r="M6" s="491">
        <v>0.0</v>
      </c>
      <c r="N6" s="491">
        <v>0.0</v>
      </c>
      <c r="O6" s="459">
        <f t="shared" si="2"/>
        <v>0</v>
      </c>
      <c r="P6" s="460"/>
      <c r="Q6" s="452"/>
    </row>
    <row r="7" ht="15.75" customHeight="1">
      <c r="A7" s="43" t="s">
        <v>13</v>
      </c>
      <c r="B7" s="447"/>
      <c r="C7" s="458">
        <f>C56*200000</f>
        <v>0</v>
      </c>
      <c r="D7" s="458">
        <v>2333333.0</v>
      </c>
      <c r="E7" s="458">
        <f>E56*200000</f>
        <v>0</v>
      </c>
      <c r="F7" s="458">
        <v>0.0</v>
      </c>
      <c r="G7" s="491">
        <v>533333.0</v>
      </c>
      <c r="H7" s="458">
        <f>H56*200000</f>
        <v>0</v>
      </c>
      <c r="I7" s="458">
        <v>200000.0</v>
      </c>
      <c r="J7" s="458">
        <f>J56*200000</f>
        <v>1300000</v>
      </c>
      <c r="K7" s="491">
        <v>900000.0</v>
      </c>
      <c r="L7" s="491">
        <v>500000.0</v>
      </c>
      <c r="M7" s="491">
        <v>0.0</v>
      </c>
      <c r="N7" s="491">
        <v>200000.0</v>
      </c>
      <c r="O7" s="459">
        <f t="shared" si="2"/>
        <v>5966666</v>
      </c>
      <c r="P7" s="460"/>
      <c r="Q7" s="452"/>
    </row>
    <row r="8" ht="15.75" customHeight="1">
      <c r="A8" s="43" t="s">
        <v>16</v>
      </c>
      <c r="B8" s="447"/>
      <c r="C8" s="491">
        <v>885715.0</v>
      </c>
      <c r="D8" s="458">
        <v>995430.0</v>
      </c>
      <c r="E8" s="491">
        <v>986675.0</v>
      </c>
      <c r="F8" s="491">
        <v>921820.0</v>
      </c>
      <c r="G8" s="491">
        <f>663225+281946</f>
        <v>945171</v>
      </c>
      <c r="H8" s="491">
        <f>883882+218414</f>
        <v>1102296</v>
      </c>
      <c r="I8" s="491">
        <f>805710+235840</f>
        <v>1041550</v>
      </c>
      <c r="J8" s="491">
        <f>803414+221032</f>
        <v>1024446</v>
      </c>
      <c r="K8" s="491">
        <f>879379+235407</f>
        <v>1114786</v>
      </c>
      <c r="L8" s="491">
        <f>2213105+187446</f>
        <v>2400551</v>
      </c>
      <c r="M8" s="458">
        <f>755011+164627</f>
        <v>919638</v>
      </c>
      <c r="N8" s="458">
        <f>813590+152181</f>
        <v>965771</v>
      </c>
      <c r="O8" s="459">
        <f t="shared" si="2"/>
        <v>13303849</v>
      </c>
      <c r="P8" s="460"/>
      <c r="Q8" s="452"/>
    </row>
    <row r="9" ht="15.75" customHeight="1">
      <c r="A9" s="447" t="s">
        <v>131</v>
      </c>
      <c r="B9" s="461"/>
      <c r="C9" s="492">
        <v>18747.0</v>
      </c>
      <c r="D9" s="492">
        <v>107823.0</v>
      </c>
      <c r="E9" s="492">
        <v>36542.0</v>
      </c>
      <c r="F9" s="492">
        <v>30735.0</v>
      </c>
      <c r="G9" s="492">
        <v>18222.0</v>
      </c>
      <c r="H9" s="492">
        <v>40050.0</v>
      </c>
      <c r="I9" s="492">
        <v>71448.0</v>
      </c>
      <c r="J9" s="493">
        <v>5560.0</v>
      </c>
      <c r="K9" s="493">
        <v>0.0</v>
      </c>
      <c r="L9" s="493">
        <v>46256.0</v>
      </c>
      <c r="M9" s="493">
        <v>39338.0</v>
      </c>
      <c r="N9" s="493">
        <v>46933.0</v>
      </c>
      <c r="O9" s="462">
        <f t="shared" si="2"/>
        <v>461654</v>
      </c>
      <c r="P9" s="460">
        <f>O9/$O$3</f>
        <v>0.01104068872</v>
      </c>
      <c r="Q9" s="452"/>
    </row>
    <row r="10" ht="17.25" customHeight="1">
      <c r="A10" s="463" t="s">
        <v>132</v>
      </c>
      <c r="B10" s="464"/>
      <c r="C10" s="465">
        <f t="shared" ref="C10:N10" si="4">C2+C3-C9</f>
        <v>3082994</v>
      </c>
      <c r="D10" s="465">
        <f t="shared" si="4"/>
        <v>5374336</v>
      </c>
      <c r="E10" s="465">
        <f t="shared" si="4"/>
        <v>3018668</v>
      </c>
      <c r="F10" s="465">
        <f t="shared" si="4"/>
        <v>2815358</v>
      </c>
      <c r="G10" s="465">
        <f t="shared" si="4"/>
        <v>3282232</v>
      </c>
      <c r="H10" s="465">
        <f t="shared" si="4"/>
        <v>2954791</v>
      </c>
      <c r="I10" s="465">
        <f t="shared" si="4"/>
        <v>2924956</v>
      </c>
      <c r="J10" s="465">
        <f t="shared" si="4"/>
        <v>3905336</v>
      </c>
      <c r="K10" s="465">
        <f t="shared" si="4"/>
        <v>4044565</v>
      </c>
      <c r="L10" s="465">
        <f t="shared" si="4"/>
        <v>4429232</v>
      </c>
      <c r="M10" s="465">
        <f t="shared" si="4"/>
        <v>2448463</v>
      </c>
      <c r="N10" s="465">
        <f t="shared" si="4"/>
        <v>3071292</v>
      </c>
      <c r="O10" s="465">
        <f t="shared" si="2"/>
        <v>41352223</v>
      </c>
      <c r="P10" s="460"/>
      <c r="Q10" s="452"/>
    </row>
    <row r="11" ht="15.75" customHeight="1">
      <c r="A11" s="43" t="s">
        <v>99</v>
      </c>
      <c r="B11" s="447"/>
      <c r="C11" s="458">
        <f t="shared" ref="C11:J11" si="5">C6</f>
        <v>0</v>
      </c>
      <c r="D11" s="458">
        <f t="shared" si="5"/>
        <v>0</v>
      </c>
      <c r="E11" s="458">
        <f t="shared" si="5"/>
        <v>0</v>
      </c>
      <c r="F11" s="458">
        <f t="shared" si="5"/>
        <v>0</v>
      </c>
      <c r="G11" s="458">
        <f t="shared" si="5"/>
        <v>0</v>
      </c>
      <c r="H11" s="458">
        <f t="shared" si="5"/>
        <v>0</v>
      </c>
      <c r="I11" s="458">
        <f t="shared" si="5"/>
        <v>0</v>
      </c>
      <c r="J11" s="458">
        <f t="shared" si="5"/>
        <v>0</v>
      </c>
      <c r="K11" s="491">
        <v>0.0</v>
      </c>
      <c r="L11" s="491">
        <v>0.0</v>
      </c>
      <c r="M11" s="458"/>
      <c r="N11" s="458"/>
      <c r="O11" s="465">
        <f t="shared" si="2"/>
        <v>0</v>
      </c>
      <c r="P11" s="460"/>
      <c r="Q11" s="452"/>
    </row>
    <row r="12" ht="15.75" customHeight="1">
      <c r="A12" s="447" t="s">
        <v>133</v>
      </c>
      <c r="B12" s="447"/>
      <c r="C12" s="462">
        <v>0.0</v>
      </c>
      <c r="D12" s="462">
        <v>0.0</v>
      </c>
      <c r="E12" s="462">
        <v>0.0</v>
      </c>
      <c r="F12" s="462">
        <v>0.0</v>
      </c>
      <c r="G12" s="462">
        <v>0.0</v>
      </c>
      <c r="H12" s="462">
        <v>0.0</v>
      </c>
      <c r="I12" s="462">
        <v>0.0</v>
      </c>
      <c r="J12" s="494">
        <v>0.0</v>
      </c>
      <c r="K12" s="494">
        <v>0.0</v>
      </c>
      <c r="L12" s="494">
        <v>0.0</v>
      </c>
      <c r="M12" s="462"/>
      <c r="N12" s="462"/>
      <c r="O12" s="462">
        <f t="shared" si="2"/>
        <v>0</v>
      </c>
      <c r="P12" s="460">
        <f>O12/$O$10</f>
        <v>0</v>
      </c>
      <c r="Q12" s="452"/>
    </row>
    <row r="13" ht="15.75" customHeight="1">
      <c r="A13" s="447" t="s">
        <v>134</v>
      </c>
      <c r="B13" s="43"/>
      <c r="C13" s="462">
        <v>1456859.0</v>
      </c>
      <c r="D13" s="462">
        <v>1504722.0</v>
      </c>
      <c r="E13" s="462">
        <v>1513407.0</v>
      </c>
      <c r="F13" s="462">
        <v>1620950.0</v>
      </c>
      <c r="G13" s="462">
        <v>1514435.0</v>
      </c>
      <c r="H13" s="462">
        <v>1612029.0</v>
      </c>
      <c r="I13" s="462">
        <v>1526510.0</v>
      </c>
      <c r="J13" s="494">
        <v>1258740.0</v>
      </c>
      <c r="K13" s="494">
        <v>1187573.0</v>
      </c>
      <c r="L13" s="494">
        <v>1209285.0</v>
      </c>
      <c r="M13" s="494">
        <v>1189955.0</v>
      </c>
      <c r="N13" s="494">
        <f>1143807+823050</f>
        <v>1966857</v>
      </c>
      <c r="O13" s="462">
        <f t="shared" si="2"/>
        <v>17561322</v>
      </c>
      <c r="P13" s="460"/>
      <c r="Q13" s="452"/>
    </row>
    <row r="14" ht="15.75" customHeight="1">
      <c r="A14" s="447" t="s">
        <v>135</v>
      </c>
      <c r="B14" s="461"/>
      <c r="C14" s="459">
        <v>1324481.0</v>
      </c>
      <c r="D14" s="459">
        <v>1277428.0</v>
      </c>
      <c r="E14" s="459">
        <v>1390775.0</v>
      </c>
      <c r="F14" s="459">
        <v>1068683.0</v>
      </c>
      <c r="G14" s="459">
        <v>995721.0</v>
      </c>
      <c r="H14" s="459">
        <v>1009020.0</v>
      </c>
      <c r="I14" s="495">
        <v>890526.0</v>
      </c>
      <c r="J14" s="495">
        <v>990482.0</v>
      </c>
      <c r="K14" s="495">
        <v>1041839.0</v>
      </c>
      <c r="L14" s="495">
        <v>1013301.0</v>
      </c>
      <c r="M14" s="495">
        <v>953709.0</v>
      </c>
      <c r="N14" s="495">
        <v>1114601.0</v>
      </c>
      <c r="O14" s="462">
        <f t="shared" si="2"/>
        <v>13070566</v>
      </c>
      <c r="P14" s="460">
        <f>O14/$O$10</f>
        <v>0.3160789204</v>
      </c>
      <c r="Q14" s="452"/>
    </row>
    <row r="15" ht="15.75" customHeight="1">
      <c r="A15" s="447" t="s">
        <v>29</v>
      </c>
      <c r="B15" s="461">
        <v>0.15</v>
      </c>
      <c r="C15" s="462">
        <v>269755.0</v>
      </c>
      <c r="D15" s="462">
        <v>100503.0</v>
      </c>
      <c r="E15" s="462">
        <v>92933.0</v>
      </c>
      <c r="F15" s="462">
        <v>1107770.0</v>
      </c>
      <c r="G15" s="462">
        <v>408917.0</v>
      </c>
      <c r="H15" s="462">
        <v>194495.0</v>
      </c>
      <c r="I15" s="494">
        <v>426782.0</v>
      </c>
      <c r="J15" s="494">
        <v>171887.0</v>
      </c>
      <c r="K15" s="494">
        <v>171921.0</v>
      </c>
      <c r="L15" s="494">
        <v>325573.0</v>
      </c>
      <c r="M15" s="494">
        <v>213152.0</v>
      </c>
      <c r="N15" s="494">
        <v>94333.0</v>
      </c>
      <c r="O15" s="462">
        <f t="shared" si="2"/>
        <v>3578021</v>
      </c>
      <c r="P15" s="460"/>
      <c r="Q15" s="452"/>
    </row>
    <row r="16" ht="15.75" customHeight="1">
      <c r="A16" s="447" t="s">
        <v>30</v>
      </c>
      <c r="B16" s="43" t="s">
        <v>200</v>
      </c>
      <c r="C16" s="447">
        <v>175134.0</v>
      </c>
      <c r="D16" s="447">
        <v>116663.0</v>
      </c>
      <c r="E16" s="447">
        <v>120334.0</v>
      </c>
      <c r="F16" s="447">
        <v>159250.0</v>
      </c>
      <c r="G16" s="447">
        <v>92917.0</v>
      </c>
      <c r="H16" s="496">
        <v>128749.0</v>
      </c>
      <c r="I16" s="496">
        <v>180125.0</v>
      </c>
      <c r="J16" s="496">
        <v>116417.0</v>
      </c>
      <c r="K16" s="496">
        <v>125204.0</v>
      </c>
      <c r="L16" s="496">
        <v>142875.0</v>
      </c>
      <c r="M16" s="496">
        <v>270001.0</v>
      </c>
      <c r="N16" s="496">
        <v>145356.0</v>
      </c>
      <c r="O16" s="462">
        <f t="shared" si="2"/>
        <v>1773025</v>
      </c>
      <c r="P16" s="460"/>
      <c r="Q16" s="452"/>
    </row>
    <row r="17" ht="15.75" customHeight="1">
      <c r="A17" s="447" t="s">
        <v>136</v>
      </c>
      <c r="B17" s="43" t="s">
        <v>201</v>
      </c>
      <c r="C17" s="462">
        <v>9000.0</v>
      </c>
      <c r="D17" s="462">
        <v>9000.0</v>
      </c>
      <c r="E17" s="462">
        <v>9000.0</v>
      </c>
      <c r="F17" s="462">
        <v>9000.0</v>
      </c>
      <c r="G17" s="462">
        <v>9000.0</v>
      </c>
      <c r="H17" s="462">
        <v>9000.0</v>
      </c>
      <c r="I17" s="462">
        <v>9000.0</v>
      </c>
      <c r="J17" s="494">
        <v>9000.0</v>
      </c>
      <c r="K17" s="494">
        <v>9000.0</v>
      </c>
      <c r="L17" s="494">
        <v>9000.0</v>
      </c>
      <c r="M17" s="494">
        <v>9000.0</v>
      </c>
      <c r="N17" s="494">
        <v>9300.0</v>
      </c>
      <c r="O17" s="462">
        <f t="shared" si="2"/>
        <v>108300</v>
      </c>
      <c r="P17" s="460"/>
      <c r="Q17" s="452"/>
    </row>
    <row r="18" ht="15.75" customHeight="1">
      <c r="A18" s="447" t="s">
        <v>137</v>
      </c>
      <c r="B18" s="461"/>
      <c r="C18" s="462">
        <v>0.0</v>
      </c>
      <c r="D18" s="462">
        <v>0.0</v>
      </c>
      <c r="E18" s="462">
        <v>0.0</v>
      </c>
      <c r="F18" s="462">
        <v>0.0</v>
      </c>
      <c r="G18" s="462">
        <v>0.0</v>
      </c>
      <c r="H18" s="462">
        <v>0.0</v>
      </c>
      <c r="I18" s="458">
        <v>0.0</v>
      </c>
      <c r="J18" s="458">
        <v>0.0</v>
      </c>
      <c r="K18" s="491">
        <v>0.0</v>
      </c>
      <c r="L18" s="491">
        <v>0.0</v>
      </c>
      <c r="M18" s="458"/>
      <c r="N18" s="458"/>
      <c r="O18" s="462">
        <f t="shared" si="2"/>
        <v>0</v>
      </c>
      <c r="P18" s="460"/>
      <c r="Q18" s="452"/>
    </row>
    <row r="19" ht="15.75" customHeight="1">
      <c r="A19" s="447" t="s">
        <v>138</v>
      </c>
      <c r="B19" s="447"/>
      <c r="C19" s="462">
        <v>50016.0</v>
      </c>
      <c r="D19" s="462">
        <v>49328.0</v>
      </c>
      <c r="E19" s="462">
        <v>59449.0</v>
      </c>
      <c r="F19" s="462">
        <v>62174.0</v>
      </c>
      <c r="G19" s="462">
        <v>55669.0</v>
      </c>
      <c r="H19" s="462">
        <v>59588.0</v>
      </c>
      <c r="I19" s="462">
        <v>44542.0</v>
      </c>
      <c r="J19" s="494">
        <v>39256.0</v>
      </c>
      <c r="K19" s="494">
        <v>41482.0</v>
      </c>
      <c r="L19" s="494">
        <v>62100.0</v>
      </c>
      <c r="M19" s="494">
        <v>56422.0</v>
      </c>
      <c r="N19" s="494">
        <v>56087.0</v>
      </c>
      <c r="O19" s="462">
        <f t="shared" si="2"/>
        <v>636113</v>
      </c>
      <c r="P19" s="460"/>
      <c r="Q19" s="452"/>
    </row>
    <row r="20" ht="15.75" customHeight="1">
      <c r="A20" s="447" t="s">
        <v>139</v>
      </c>
      <c r="B20" s="447"/>
      <c r="C20" s="462">
        <v>1446.0</v>
      </c>
      <c r="D20" s="462">
        <v>1639.0</v>
      </c>
      <c r="E20" s="462">
        <v>1060.0</v>
      </c>
      <c r="F20" s="462">
        <v>8914.0</v>
      </c>
      <c r="G20" s="462">
        <v>12089.0</v>
      </c>
      <c r="H20" s="462">
        <v>1451.0</v>
      </c>
      <c r="I20" s="462">
        <v>5522.0</v>
      </c>
      <c r="J20" s="494">
        <v>3020.0</v>
      </c>
      <c r="K20" s="494">
        <v>38050.0</v>
      </c>
      <c r="L20" s="494">
        <v>14656.0</v>
      </c>
      <c r="M20" s="494">
        <v>3459.0</v>
      </c>
      <c r="N20" s="494">
        <v>2079.0</v>
      </c>
      <c r="O20" s="462">
        <f t="shared" si="2"/>
        <v>93385</v>
      </c>
      <c r="P20" s="460">
        <f>O20/$O$10</f>
        <v>0.002258282463</v>
      </c>
      <c r="Q20" s="452"/>
    </row>
    <row r="21" ht="15.75" customHeight="1">
      <c r="A21" s="466" t="s">
        <v>140</v>
      </c>
      <c r="B21" s="43" t="s">
        <v>202</v>
      </c>
      <c r="C21" s="462">
        <v>0.0</v>
      </c>
      <c r="D21" s="462">
        <v>0.0</v>
      </c>
      <c r="E21" s="494">
        <v>16364.0</v>
      </c>
      <c r="F21" s="462">
        <v>0.0</v>
      </c>
      <c r="G21" s="462">
        <v>0.0</v>
      </c>
      <c r="H21" s="462">
        <v>0.0</v>
      </c>
      <c r="I21" s="494">
        <v>0.0</v>
      </c>
      <c r="J21" s="494">
        <v>0.0</v>
      </c>
      <c r="K21" s="494">
        <v>0.0</v>
      </c>
      <c r="L21" s="494">
        <v>0.0</v>
      </c>
      <c r="M21" s="494">
        <v>0.0</v>
      </c>
      <c r="N21" s="494">
        <v>6764.0</v>
      </c>
      <c r="O21" s="462">
        <f t="shared" si="2"/>
        <v>23128</v>
      </c>
      <c r="P21" s="460"/>
      <c r="Q21" s="452"/>
    </row>
    <row r="22" ht="15.75" customHeight="1">
      <c r="A22" s="447" t="s">
        <v>141</v>
      </c>
      <c r="B22" s="447"/>
      <c r="C22" s="462">
        <v>0.0</v>
      </c>
      <c r="D22" s="462">
        <v>0.0</v>
      </c>
      <c r="E22" s="462">
        <v>0.0</v>
      </c>
      <c r="F22" s="462">
        <v>0.0</v>
      </c>
      <c r="G22" s="462">
        <v>0.0</v>
      </c>
      <c r="H22" s="462">
        <v>0.0</v>
      </c>
      <c r="I22" s="458">
        <v>0.0</v>
      </c>
      <c r="J22" s="458">
        <v>0.0</v>
      </c>
      <c r="K22" s="494">
        <v>0.0</v>
      </c>
      <c r="L22" s="491">
        <v>0.0</v>
      </c>
      <c r="M22" s="491">
        <v>0.0</v>
      </c>
      <c r="N22" s="491">
        <v>0.0</v>
      </c>
      <c r="O22" s="462">
        <f t="shared" si="2"/>
        <v>0</v>
      </c>
      <c r="P22" s="460">
        <f>O22/$O$10</f>
        <v>0</v>
      </c>
      <c r="Q22" s="452"/>
    </row>
    <row r="23" ht="15.75" customHeight="1">
      <c r="A23" s="447" t="s">
        <v>142</v>
      </c>
      <c r="B23" s="447"/>
      <c r="C23" s="462">
        <v>0.0</v>
      </c>
      <c r="D23" s="462">
        <v>0.0</v>
      </c>
      <c r="E23" s="462">
        <v>0.0</v>
      </c>
      <c r="F23" s="462">
        <v>0.0</v>
      </c>
      <c r="G23" s="462">
        <v>0.0</v>
      </c>
      <c r="H23" s="462">
        <v>0.0</v>
      </c>
      <c r="I23" s="458">
        <v>0.0</v>
      </c>
      <c r="J23" s="458">
        <v>0.0</v>
      </c>
      <c r="K23" s="494">
        <v>0.0</v>
      </c>
      <c r="L23" s="491">
        <v>0.0</v>
      </c>
      <c r="M23" s="491">
        <v>0.0</v>
      </c>
      <c r="N23" s="491">
        <v>0.0</v>
      </c>
      <c r="O23" s="462">
        <f t="shared" si="2"/>
        <v>0</v>
      </c>
      <c r="P23" s="460"/>
      <c r="Q23" s="452"/>
    </row>
    <row r="24" ht="15.75" customHeight="1">
      <c r="A24" s="447" t="s">
        <v>143</v>
      </c>
      <c r="B24" s="447"/>
      <c r="C24" s="462">
        <v>0.0</v>
      </c>
      <c r="D24" s="462">
        <v>0.0</v>
      </c>
      <c r="E24" s="462">
        <v>0.0</v>
      </c>
      <c r="F24" s="462">
        <v>0.0</v>
      </c>
      <c r="G24" s="462">
        <v>0.0</v>
      </c>
      <c r="H24" s="462">
        <v>0.0</v>
      </c>
      <c r="I24" s="458">
        <v>0.0</v>
      </c>
      <c r="J24" s="458">
        <v>0.0</v>
      </c>
      <c r="K24" s="494">
        <v>0.0</v>
      </c>
      <c r="L24" s="491">
        <v>0.0</v>
      </c>
      <c r="M24" s="491">
        <v>0.0</v>
      </c>
      <c r="N24" s="491">
        <v>0.0</v>
      </c>
      <c r="O24" s="462">
        <f t="shared" si="2"/>
        <v>0</v>
      </c>
      <c r="P24" s="460">
        <f>O24/$O$10</f>
        <v>0</v>
      </c>
      <c r="Q24" s="452"/>
    </row>
    <row r="25" ht="15.75" customHeight="1">
      <c r="A25" s="447" t="s">
        <v>144</v>
      </c>
      <c r="B25" s="447"/>
      <c r="C25" s="462">
        <v>0.0</v>
      </c>
      <c r="D25" s="462">
        <v>0.0</v>
      </c>
      <c r="E25" s="462">
        <v>0.0</v>
      </c>
      <c r="F25" s="462">
        <v>0.0</v>
      </c>
      <c r="G25" s="462">
        <v>0.0</v>
      </c>
      <c r="H25" s="462">
        <v>0.0</v>
      </c>
      <c r="I25" s="458">
        <v>0.0</v>
      </c>
      <c r="J25" s="458">
        <v>0.0</v>
      </c>
      <c r="K25" s="494">
        <v>0.0</v>
      </c>
      <c r="L25" s="491">
        <v>0.0</v>
      </c>
      <c r="M25" s="491">
        <v>0.0</v>
      </c>
      <c r="N25" s="491">
        <v>0.0</v>
      </c>
      <c r="O25" s="462">
        <f t="shared" si="2"/>
        <v>0</v>
      </c>
      <c r="P25" s="460"/>
      <c r="Q25" s="452"/>
    </row>
    <row r="26" ht="15.75" customHeight="1">
      <c r="A26" s="447" t="s">
        <v>145</v>
      </c>
      <c r="B26" s="447"/>
      <c r="C26" s="462">
        <v>0.0</v>
      </c>
      <c r="D26" s="462">
        <v>0.0</v>
      </c>
      <c r="E26" s="462">
        <v>0.0</v>
      </c>
      <c r="F26" s="462">
        <v>0.0</v>
      </c>
      <c r="G26" s="462">
        <v>0.0</v>
      </c>
      <c r="H26" s="462">
        <v>0.0</v>
      </c>
      <c r="I26" s="458">
        <v>0.0</v>
      </c>
      <c r="J26" s="458">
        <v>0.0</v>
      </c>
      <c r="K26" s="494">
        <v>0.0</v>
      </c>
      <c r="L26" s="491">
        <v>0.0</v>
      </c>
      <c r="M26" s="491">
        <v>0.0</v>
      </c>
      <c r="N26" s="491">
        <v>0.0</v>
      </c>
      <c r="O26" s="462">
        <f t="shared" si="2"/>
        <v>0</v>
      </c>
      <c r="P26" s="460"/>
      <c r="Q26" s="452"/>
    </row>
    <row r="27" ht="15.75" customHeight="1">
      <c r="A27" s="447" t="s">
        <v>33</v>
      </c>
      <c r="B27" s="458"/>
      <c r="C27" s="458">
        <v>200000.0</v>
      </c>
      <c r="D27" s="458">
        <v>200000.0</v>
      </c>
      <c r="E27" s="458">
        <v>200000.0</v>
      </c>
      <c r="F27" s="458">
        <v>200000.0</v>
      </c>
      <c r="G27" s="458">
        <v>200000.0</v>
      </c>
      <c r="H27" s="458">
        <v>200000.0</v>
      </c>
      <c r="I27" s="458">
        <v>200000.0</v>
      </c>
      <c r="J27" s="491">
        <v>200000.0</v>
      </c>
      <c r="K27" s="458">
        <v>200000.0</v>
      </c>
      <c r="L27" s="458">
        <v>200000.0</v>
      </c>
      <c r="M27" s="458">
        <v>200000.0</v>
      </c>
      <c r="N27" s="458">
        <v>200000.0</v>
      </c>
      <c r="O27" s="462">
        <f t="shared" si="2"/>
        <v>2400000</v>
      </c>
      <c r="P27" s="460"/>
      <c r="Q27" s="452"/>
    </row>
    <row r="28" ht="15.75" customHeight="1">
      <c r="A28" s="447" t="s">
        <v>146</v>
      </c>
      <c r="B28" s="447"/>
      <c r="C28" s="462">
        <v>0.0</v>
      </c>
      <c r="D28" s="462">
        <v>0.0</v>
      </c>
      <c r="E28" s="462">
        <v>0.0</v>
      </c>
      <c r="F28" s="462">
        <v>0.0</v>
      </c>
      <c r="G28" s="462">
        <v>0.0</v>
      </c>
      <c r="H28" s="462">
        <v>0.0</v>
      </c>
      <c r="I28" s="458">
        <v>0.0</v>
      </c>
      <c r="J28" s="458">
        <v>0.0</v>
      </c>
      <c r="K28" s="494">
        <v>0.0</v>
      </c>
      <c r="L28" s="491">
        <v>0.0</v>
      </c>
      <c r="M28" s="491">
        <v>0.0</v>
      </c>
      <c r="N28" s="491">
        <v>0.0</v>
      </c>
      <c r="O28" s="462">
        <f t="shared" si="2"/>
        <v>0</v>
      </c>
      <c r="P28" s="460"/>
      <c r="Q28" s="452"/>
    </row>
    <row r="29" ht="15.75" customHeight="1">
      <c r="A29" s="447" t="s">
        <v>147</v>
      </c>
      <c r="B29" s="447"/>
      <c r="C29" s="462">
        <v>0.0</v>
      </c>
      <c r="D29" s="462">
        <v>0.0</v>
      </c>
      <c r="E29" s="462">
        <v>0.0</v>
      </c>
      <c r="F29" s="462">
        <v>0.0</v>
      </c>
      <c r="G29" s="462">
        <v>0.0</v>
      </c>
      <c r="H29" s="462">
        <v>0.0</v>
      </c>
      <c r="I29" s="458">
        <v>0.0</v>
      </c>
      <c r="J29" s="458">
        <v>0.0</v>
      </c>
      <c r="K29" s="494">
        <v>0.0</v>
      </c>
      <c r="L29" s="491">
        <v>0.0</v>
      </c>
      <c r="M29" s="491">
        <v>0.0</v>
      </c>
      <c r="N29" s="491">
        <v>0.0</v>
      </c>
      <c r="O29" s="462">
        <f t="shared" si="2"/>
        <v>0</v>
      </c>
      <c r="P29" s="460"/>
      <c r="Q29" s="452"/>
    </row>
    <row r="30" ht="15.75" customHeight="1">
      <c r="A30" s="447" t="s">
        <v>35</v>
      </c>
      <c r="B30" s="458"/>
      <c r="C30" s="458">
        <v>8424.0</v>
      </c>
      <c r="D30" s="458">
        <v>7956.0</v>
      </c>
      <c r="E30" s="458">
        <v>7956.0</v>
      </c>
      <c r="F30" s="458">
        <v>7956.0</v>
      </c>
      <c r="G30" s="458">
        <v>7956.0</v>
      </c>
      <c r="H30" s="458">
        <v>7956.0</v>
      </c>
      <c r="I30" s="458">
        <v>7956.0</v>
      </c>
      <c r="J30" s="491">
        <v>7956.0</v>
      </c>
      <c r="K30" s="494">
        <v>7956.0</v>
      </c>
      <c r="L30" s="491">
        <v>7956.0</v>
      </c>
      <c r="M30" s="491">
        <v>7956.0</v>
      </c>
      <c r="N30" s="491">
        <v>8221.0</v>
      </c>
      <c r="O30" s="462">
        <f t="shared" si="2"/>
        <v>96205</v>
      </c>
      <c r="P30" s="460"/>
      <c r="Q30" s="452"/>
    </row>
    <row r="31" ht="15.75" customHeight="1">
      <c r="A31" s="447" t="s">
        <v>148</v>
      </c>
      <c r="B31" s="461"/>
      <c r="C31" s="492">
        <v>0.0</v>
      </c>
      <c r="D31" s="492">
        <v>0.0</v>
      </c>
      <c r="E31" s="492">
        <v>0.0</v>
      </c>
      <c r="F31" s="492">
        <v>0.0</v>
      </c>
      <c r="G31" s="492">
        <v>0.0</v>
      </c>
      <c r="H31" s="492">
        <v>0.0</v>
      </c>
      <c r="I31" s="458">
        <v>0.0</v>
      </c>
      <c r="J31" s="458">
        <v>0.0</v>
      </c>
      <c r="K31" s="494">
        <v>0.0</v>
      </c>
      <c r="L31" s="491">
        <v>0.0</v>
      </c>
      <c r="M31" s="491">
        <v>0.0</v>
      </c>
      <c r="N31" s="458"/>
      <c r="O31" s="462">
        <f t="shared" si="2"/>
        <v>0</v>
      </c>
      <c r="P31" s="460"/>
      <c r="Q31" s="452"/>
    </row>
    <row r="32" ht="15.75" customHeight="1">
      <c r="A32" s="447" t="s">
        <v>34</v>
      </c>
      <c r="B32" s="461">
        <v>0.0</v>
      </c>
      <c r="C32" s="492">
        <v>5552.0</v>
      </c>
      <c r="D32" s="492">
        <v>5836.0</v>
      </c>
      <c r="E32" s="492">
        <v>25540.0</v>
      </c>
      <c r="F32" s="492">
        <v>23605.0</v>
      </c>
      <c r="G32" s="492">
        <v>6660.0</v>
      </c>
      <c r="H32" s="492">
        <v>2340.0</v>
      </c>
      <c r="I32" s="492">
        <v>14603.0</v>
      </c>
      <c r="J32" s="493">
        <v>9651.0</v>
      </c>
      <c r="K32" s="493">
        <v>2520.0</v>
      </c>
      <c r="L32" s="493">
        <v>16394.0</v>
      </c>
      <c r="M32" s="493">
        <v>3501.0</v>
      </c>
      <c r="N32" s="493">
        <v>8649.0</v>
      </c>
      <c r="O32" s="462">
        <f t="shared" si="2"/>
        <v>124851</v>
      </c>
      <c r="P32" s="460">
        <f>O32/$O$10</f>
        <v>0.003019208907</v>
      </c>
      <c r="Q32" s="452"/>
    </row>
    <row r="33" ht="15.75" customHeight="1">
      <c r="A33" s="447" t="s">
        <v>149</v>
      </c>
      <c r="B33" s="467"/>
      <c r="C33" s="467">
        <v>0.0</v>
      </c>
      <c r="D33" s="447">
        <v>12870.0</v>
      </c>
      <c r="E33" s="447">
        <v>540.0</v>
      </c>
      <c r="F33" s="447">
        <v>990.0</v>
      </c>
      <c r="G33" s="447">
        <v>0.0</v>
      </c>
      <c r="H33" s="447">
        <v>0.0</v>
      </c>
      <c r="I33" s="458">
        <v>0.0</v>
      </c>
      <c r="J33" s="458">
        <v>0.0</v>
      </c>
      <c r="K33" s="494">
        <v>0.0</v>
      </c>
      <c r="L33" s="491">
        <v>0.0</v>
      </c>
      <c r="M33" s="491">
        <v>0.0</v>
      </c>
      <c r="N33" s="491">
        <v>167.0</v>
      </c>
      <c r="O33" s="462">
        <f t="shared" si="2"/>
        <v>14567</v>
      </c>
      <c r="P33" s="460"/>
      <c r="Q33" s="452"/>
    </row>
    <row r="34" ht="15.75" customHeight="1">
      <c r="A34" s="447" t="s">
        <v>150</v>
      </c>
      <c r="B34" s="468"/>
      <c r="C34" s="492">
        <v>0.0</v>
      </c>
      <c r="D34" s="462">
        <v>4590.0</v>
      </c>
      <c r="E34" s="462">
        <v>0.0</v>
      </c>
      <c r="F34" s="462">
        <v>0.0</v>
      </c>
      <c r="G34" s="462">
        <v>0.0</v>
      </c>
      <c r="H34" s="462">
        <v>0.0</v>
      </c>
      <c r="I34" s="458">
        <v>0.0</v>
      </c>
      <c r="J34" s="491">
        <v>44820.0</v>
      </c>
      <c r="K34" s="494">
        <v>0.0</v>
      </c>
      <c r="L34" s="491">
        <v>0.0</v>
      </c>
      <c r="M34" s="491">
        <v>0.0</v>
      </c>
      <c r="N34" s="491">
        <v>0.0</v>
      </c>
      <c r="O34" s="462">
        <f t="shared" si="2"/>
        <v>49410</v>
      </c>
      <c r="P34" s="460"/>
      <c r="Q34" s="452"/>
    </row>
    <row r="35" ht="15.75" customHeight="1">
      <c r="A35" s="447" t="s">
        <v>36</v>
      </c>
      <c r="B35" s="461"/>
      <c r="C35" s="462">
        <v>34270.0</v>
      </c>
      <c r="D35" s="462">
        <v>67814.0</v>
      </c>
      <c r="E35" s="462">
        <v>67357.0</v>
      </c>
      <c r="F35" s="462">
        <v>68844.0</v>
      </c>
      <c r="G35" s="462">
        <v>44584.0</v>
      </c>
      <c r="H35" s="462">
        <v>51387.0</v>
      </c>
      <c r="I35" s="462">
        <v>43434.0</v>
      </c>
      <c r="J35" s="494">
        <v>44318.0</v>
      </c>
      <c r="K35" s="494">
        <v>11616.0</v>
      </c>
      <c r="L35" s="494">
        <v>8288.0</v>
      </c>
      <c r="M35" s="494">
        <v>11394.0</v>
      </c>
      <c r="N35" s="494">
        <v>116828.0</v>
      </c>
      <c r="O35" s="462">
        <f t="shared" si="2"/>
        <v>570134</v>
      </c>
      <c r="P35" s="460"/>
      <c r="Q35" s="452"/>
    </row>
    <row r="36" ht="15.75" customHeight="1">
      <c r="A36" s="447" t="s">
        <v>151</v>
      </c>
      <c r="B36" s="447"/>
      <c r="C36" s="462">
        <v>0.0</v>
      </c>
      <c r="D36" s="462">
        <v>0.0</v>
      </c>
      <c r="E36" s="462">
        <v>0.0</v>
      </c>
      <c r="F36" s="462">
        <v>0.0</v>
      </c>
      <c r="G36" s="462">
        <v>0.0</v>
      </c>
      <c r="H36" s="462">
        <v>0.0</v>
      </c>
      <c r="I36" s="458">
        <v>0.0</v>
      </c>
      <c r="J36" s="458">
        <v>0.0</v>
      </c>
      <c r="K36" s="494">
        <v>0.0</v>
      </c>
      <c r="L36" s="491">
        <v>0.0</v>
      </c>
      <c r="M36" s="491">
        <v>0.0</v>
      </c>
      <c r="N36" s="491">
        <v>0.0</v>
      </c>
      <c r="O36" s="462">
        <f t="shared" si="2"/>
        <v>0</v>
      </c>
      <c r="P36" s="460"/>
      <c r="Q36" s="452"/>
    </row>
    <row r="37" ht="15.75" customHeight="1">
      <c r="A37" s="447" t="s">
        <v>152</v>
      </c>
      <c r="B37" s="461"/>
      <c r="C37" s="462">
        <v>3600.0</v>
      </c>
      <c r="D37" s="462">
        <v>0.0</v>
      </c>
      <c r="E37" s="462">
        <v>0.0</v>
      </c>
      <c r="F37" s="462">
        <v>0.0</v>
      </c>
      <c r="G37" s="462">
        <v>1652.0</v>
      </c>
      <c r="H37" s="462">
        <v>0.0</v>
      </c>
      <c r="I37" s="458">
        <v>0.0</v>
      </c>
      <c r="J37" s="458">
        <v>0.0</v>
      </c>
      <c r="K37" s="494">
        <v>0.0</v>
      </c>
      <c r="L37" s="491">
        <v>0.0</v>
      </c>
      <c r="M37" s="491">
        <v>0.0</v>
      </c>
      <c r="N37" s="491">
        <v>0.0</v>
      </c>
      <c r="O37" s="462">
        <f t="shared" si="2"/>
        <v>5252</v>
      </c>
      <c r="P37" s="460"/>
      <c r="Q37" s="452"/>
    </row>
    <row r="38" ht="15.75" customHeight="1">
      <c r="A38" s="469" t="s">
        <v>37</v>
      </c>
      <c r="B38" s="461"/>
      <c r="C38" s="462">
        <v>377007.0</v>
      </c>
      <c r="D38" s="462">
        <v>479774.0</v>
      </c>
      <c r="E38" s="462">
        <v>618949.0</v>
      </c>
      <c r="F38" s="462">
        <v>553857.0</v>
      </c>
      <c r="G38" s="462">
        <v>487477.0</v>
      </c>
      <c r="H38" s="462">
        <v>498110.0</v>
      </c>
      <c r="I38" s="462">
        <v>498131.0</v>
      </c>
      <c r="J38" s="494">
        <v>373087.0</v>
      </c>
      <c r="K38" s="494">
        <v>494888.0</v>
      </c>
      <c r="L38" s="494">
        <v>625360.0</v>
      </c>
      <c r="M38" s="494">
        <v>433353.0</v>
      </c>
      <c r="N38" s="494">
        <v>581497.0</v>
      </c>
      <c r="O38" s="462">
        <f t="shared" si="2"/>
        <v>6021490</v>
      </c>
      <c r="P38" s="460"/>
      <c r="Q38" s="452"/>
    </row>
    <row r="39" ht="15.75" customHeight="1">
      <c r="A39" s="469" t="s">
        <v>203</v>
      </c>
      <c r="B39" s="461"/>
      <c r="C39" s="462">
        <v>0.0</v>
      </c>
      <c r="D39" s="462">
        <v>0.0</v>
      </c>
      <c r="E39" s="462">
        <v>270000.0</v>
      </c>
      <c r="F39" s="462">
        <v>0.0</v>
      </c>
      <c r="G39" s="462">
        <v>0.0</v>
      </c>
      <c r="H39" s="462">
        <v>0.0</v>
      </c>
      <c r="I39" s="462">
        <v>0.0</v>
      </c>
      <c r="J39" s="462">
        <v>0.0</v>
      </c>
      <c r="K39" s="494">
        <v>0.0</v>
      </c>
      <c r="L39" s="494">
        <v>0.0</v>
      </c>
      <c r="M39" s="494">
        <v>0.0</v>
      </c>
      <c r="N39" s="494">
        <v>0.0</v>
      </c>
      <c r="O39" s="462">
        <f t="shared" si="2"/>
        <v>270000</v>
      </c>
      <c r="P39" s="460">
        <f>O39/$O$10</f>
        <v>0.006529274134</v>
      </c>
      <c r="Q39" s="452"/>
    </row>
    <row r="40" ht="15.75" customHeight="1">
      <c r="A40" s="447"/>
      <c r="B40" s="447"/>
      <c r="C40" s="462">
        <v>0.0</v>
      </c>
      <c r="D40" s="462">
        <v>0.0</v>
      </c>
      <c r="E40" s="462">
        <v>0.0</v>
      </c>
      <c r="F40" s="462">
        <v>0.0</v>
      </c>
      <c r="G40" s="462">
        <v>0.0</v>
      </c>
      <c r="H40" s="462">
        <v>0.0</v>
      </c>
      <c r="I40" s="458">
        <v>0.0</v>
      </c>
      <c r="J40" s="458">
        <v>0.0</v>
      </c>
      <c r="K40" s="491">
        <v>0.0</v>
      </c>
      <c r="L40" s="491">
        <v>0.0</v>
      </c>
      <c r="M40" s="491">
        <v>0.0</v>
      </c>
      <c r="N40" s="491">
        <v>0.0</v>
      </c>
      <c r="O40" s="462">
        <f t="shared" si="2"/>
        <v>0</v>
      </c>
      <c r="P40" s="460"/>
      <c r="Q40" s="452"/>
    </row>
    <row r="41" ht="15.75" customHeight="1">
      <c r="A41" s="43"/>
      <c r="B41" s="447"/>
      <c r="C41" s="447">
        <v>0.0</v>
      </c>
      <c r="D41" s="447">
        <v>0.0</v>
      </c>
      <c r="E41" s="447">
        <v>0.0</v>
      </c>
      <c r="F41" s="447">
        <v>0.0</v>
      </c>
      <c r="G41" s="458">
        <v>0.0</v>
      </c>
      <c r="H41" s="458">
        <v>0.0</v>
      </c>
      <c r="I41" s="458">
        <v>0.0</v>
      </c>
      <c r="J41" s="458">
        <v>0.0</v>
      </c>
      <c r="K41" s="491">
        <v>0.0</v>
      </c>
      <c r="L41" s="491">
        <v>0.0</v>
      </c>
      <c r="M41" s="491">
        <v>0.0</v>
      </c>
      <c r="N41" s="491">
        <v>0.0</v>
      </c>
      <c r="O41" s="462">
        <f t="shared" si="2"/>
        <v>0</v>
      </c>
      <c r="P41" s="460"/>
      <c r="Q41" s="452"/>
    </row>
    <row r="42" ht="15.75" customHeight="1">
      <c r="A42" s="447" t="s">
        <v>153</v>
      </c>
      <c r="B42" s="447"/>
      <c r="C42" s="462">
        <f t="shared" ref="C42:N42" si="6">SUM(C12:C41)</f>
        <v>3915544</v>
      </c>
      <c r="D42" s="462">
        <f t="shared" si="6"/>
        <v>3838123</v>
      </c>
      <c r="E42" s="462">
        <f t="shared" si="6"/>
        <v>4393664</v>
      </c>
      <c r="F42" s="462">
        <f t="shared" si="6"/>
        <v>4891993</v>
      </c>
      <c r="G42" s="462">
        <f t="shared" si="6"/>
        <v>3837077</v>
      </c>
      <c r="H42" s="462">
        <f t="shared" si="6"/>
        <v>3774125</v>
      </c>
      <c r="I42" s="462">
        <f t="shared" si="6"/>
        <v>3847131</v>
      </c>
      <c r="J42" s="462">
        <f t="shared" si="6"/>
        <v>3268634</v>
      </c>
      <c r="K42" s="462">
        <f t="shared" si="6"/>
        <v>3332049</v>
      </c>
      <c r="L42" s="462">
        <f t="shared" si="6"/>
        <v>3634788</v>
      </c>
      <c r="M42" s="462">
        <f t="shared" si="6"/>
        <v>3351902</v>
      </c>
      <c r="N42" s="462">
        <f t="shared" si="6"/>
        <v>4310739</v>
      </c>
      <c r="O42" s="462">
        <f t="shared" si="2"/>
        <v>46395769</v>
      </c>
      <c r="P42" s="460">
        <f t="shared" ref="P42:P43" si="8">O42/$O$10</f>
        <v>1.121965535</v>
      </c>
      <c r="Q42" s="452"/>
    </row>
    <row r="43" ht="15.75" customHeight="1">
      <c r="A43" s="463" t="s">
        <v>40</v>
      </c>
      <c r="B43" s="463"/>
      <c r="C43" s="465">
        <f t="shared" ref="C43:O43" si="7">C10-C42</f>
        <v>-832550</v>
      </c>
      <c r="D43" s="465">
        <f t="shared" si="7"/>
        <v>1536213</v>
      </c>
      <c r="E43" s="465">
        <f t="shared" si="7"/>
        <v>-1374996</v>
      </c>
      <c r="F43" s="465">
        <f t="shared" si="7"/>
        <v>-2076635</v>
      </c>
      <c r="G43" s="465">
        <f t="shared" si="7"/>
        <v>-554845</v>
      </c>
      <c r="H43" s="465">
        <f t="shared" si="7"/>
        <v>-819334</v>
      </c>
      <c r="I43" s="465">
        <f t="shared" si="7"/>
        <v>-922175</v>
      </c>
      <c r="J43" s="465">
        <f t="shared" si="7"/>
        <v>636702</v>
      </c>
      <c r="K43" s="465">
        <f t="shared" si="7"/>
        <v>712516</v>
      </c>
      <c r="L43" s="465">
        <f t="shared" si="7"/>
        <v>794444</v>
      </c>
      <c r="M43" s="465">
        <f t="shared" si="7"/>
        <v>-903439</v>
      </c>
      <c r="N43" s="465">
        <f t="shared" si="7"/>
        <v>-1239447</v>
      </c>
      <c r="O43" s="465">
        <f t="shared" si="7"/>
        <v>-5043546</v>
      </c>
      <c r="P43" s="460">
        <f t="shared" si="8"/>
        <v>-0.121965535</v>
      </c>
      <c r="Q43" s="452"/>
    </row>
    <row r="44" ht="15.75" customHeight="1">
      <c r="A44" s="447" t="s">
        <v>154</v>
      </c>
      <c r="B44" s="447"/>
      <c r="C44" s="462">
        <v>0.0</v>
      </c>
      <c r="D44" s="462">
        <v>0.0</v>
      </c>
      <c r="E44" s="462">
        <v>0.0</v>
      </c>
      <c r="F44" s="462">
        <v>0.0</v>
      </c>
      <c r="G44" s="462">
        <v>0.0</v>
      </c>
      <c r="H44" s="462">
        <v>0.0</v>
      </c>
      <c r="I44" s="462">
        <v>0.0</v>
      </c>
      <c r="J44" s="494">
        <v>0.0</v>
      </c>
      <c r="K44" s="494">
        <v>0.0</v>
      </c>
      <c r="L44" s="462"/>
      <c r="M44" s="462"/>
      <c r="N44" s="462"/>
      <c r="O44" s="462">
        <f t="shared" ref="O44:O46" si="9">SUM(C44:N44)</f>
        <v>0</v>
      </c>
      <c r="P44" s="460"/>
      <c r="Q44" s="452"/>
    </row>
    <row r="45" ht="15.75" customHeight="1">
      <c r="A45" s="447" t="s">
        <v>155</v>
      </c>
      <c r="B45" s="447"/>
      <c r="C45" s="447">
        <v>0.0</v>
      </c>
      <c r="D45" s="447">
        <v>0.0</v>
      </c>
      <c r="E45" s="462">
        <v>0.0</v>
      </c>
      <c r="F45" s="447">
        <v>0.0</v>
      </c>
      <c r="G45" s="447">
        <v>0.0</v>
      </c>
      <c r="H45" s="447">
        <v>0.0</v>
      </c>
      <c r="I45" s="458">
        <v>0.0</v>
      </c>
      <c r="J45" s="496">
        <v>0.0</v>
      </c>
      <c r="K45" s="491">
        <v>0.0</v>
      </c>
      <c r="L45" s="458"/>
      <c r="M45" s="458"/>
      <c r="N45" s="458"/>
      <c r="O45" s="471">
        <f t="shared" si="9"/>
        <v>0</v>
      </c>
      <c r="P45" s="460"/>
      <c r="Q45" s="452"/>
    </row>
    <row r="46" ht="15.75" customHeight="1">
      <c r="A46" s="447" t="s">
        <v>156</v>
      </c>
      <c r="B46" s="43" t="s">
        <v>200</v>
      </c>
      <c r="C46" s="458">
        <v>0.0</v>
      </c>
      <c r="D46" s="458">
        <v>0.0</v>
      </c>
      <c r="E46" s="458">
        <v>0.0</v>
      </c>
      <c r="F46" s="458">
        <v>0.0</v>
      </c>
      <c r="G46" s="458">
        <v>0.0</v>
      </c>
      <c r="H46" s="458">
        <v>0.0</v>
      </c>
      <c r="I46" s="458">
        <v>0.0</v>
      </c>
      <c r="J46" s="491">
        <v>0.0</v>
      </c>
      <c r="K46" s="491">
        <v>0.0</v>
      </c>
      <c r="L46" s="458"/>
      <c r="M46" s="458"/>
      <c r="N46" s="458"/>
      <c r="O46" s="459">
        <f t="shared" si="9"/>
        <v>0</v>
      </c>
      <c r="P46" s="460"/>
      <c r="Q46" s="452"/>
    </row>
    <row r="47" ht="15.75" customHeight="1">
      <c r="A47" s="463" t="s">
        <v>43</v>
      </c>
      <c r="B47" s="463"/>
      <c r="C47" s="470">
        <f t="shared" ref="C47:O47" si="10">C43-C44-C45+C46</f>
        <v>-832550</v>
      </c>
      <c r="D47" s="470">
        <f t="shared" si="10"/>
        <v>1536213</v>
      </c>
      <c r="E47" s="470">
        <f t="shared" si="10"/>
        <v>-1374996</v>
      </c>
      <c r="F47" s="470">
        <f t="shared" si="10"/>
        <v>-2076635</v>
      </c>
      <c r="G47" s="470">
        <f t="shared" si="10"/>
        <v>-554845</v>
      </c>
      <c r="H47" s="470">
        <f t="shared" si="10"/>
        <v>-819334</v>
      </c>
      <c r="I47" s="470">
        <f t="shared" si="10"/>
        <v>-922175</v>
      </c>
      <c r="J47" s="470">
        <f t="shared" si="10"/>
        <v>636702</v>
      </c>
      <c r="K47" s="470">
        <f t="shared" si="10"/>
        <v>712516</v>
      </c>
      <c r="L47" s="470">
        <f t="shared" si="10"/>
        <v>794444</v>
      </c>
      <c r="M47" s="470">
        <f t="shared" si="10"/>
        <v>-903439</v>
      </c>
      <c r="N47" s="470">
        <f t="shared" si="10"/>
        <v>-1239447</v>
      </c>
      <c r="O47" s="470">
        <f t="shared" si="10"/>
        <v>-5043546</v>
      </c>
      <c r="P47" s="460">
        <f>O47/$O$10</f>
        <v>-0.121965535</v>
      </c>
      <c r="Q47" s="452"/>
    </row>
    <row r="48" ht="15.75" customHeight="1">
      <c r="A48" s="447" t="s">
        <v>44</v>
      </c>
      <c r="B48" s="447"/>
      <c r="C48" s="447">
        <v>0.0</v>
      </c>
      <c r="D48" s="447">
        <v>0.0</v>
      </c>
      <c r="E48" s="447">
        <v>0.0</v>
      </c>
      <c r="F48" s="447">
        <v>0.0</v>
      </c>
      <c r="G48" s="447">
        <v>0.0</v>
      </c>
      <c r="H48" s="447">
        <v>0.0</v>
      </c>
      <c r="I48" s="458">
        <v>0.0</v>
      </c>
      <c r="J48" s="458">
        <v>0.0</v>
      </c>
      <c r="K48" s="491">
        <v>0.0</v>
      </c>
      <c r="L48" s="458"/>
      <c r="M48" s="458"/>
      <c r="N48" s="458"/>
      <c r="O48" s="471">
        <f t="shared" ref="O48:O49" si="11">SUM(C48:N48)</f>
        <v>0</v>
      </c>
      <c r="P48" s="460"/>
      <c r="Q48" s="452"/>
    </row>
    <row r="49" ht="15.75" customHeight="1">
      <c r="A49" s="472" t="s">
        <v>45</v>
      </c>
      <c r="B49" s="472"/>
      <c r="C49" s="472">
        <v>0.0</v>
      </c>
      <c r="D49" s="472">
        <v>0.0</v>
      </c>
      <c r="E49" s="472">
        <v>0.0</v>
      </c>
      <c r="F49" s="472">
        <v>0.0</v>
      </c>
      <c r="G49" s="472">
        <v>0.0</v>
      </c>
      <c r="H49" s="472">
        <v>0.0</v>
      </c>
      <c r="I49" s="458">
        <v>0.0</v>
      </c>
      <c r="J49" s="458">
        <v>0.0</v>
      </c>
      <c r="K49" s="491">
        <v>0.0</v>
      </c>
      <c r="L49" s="458"/>
      <c r="M49" s="458"/>
      <c r="N49" s="458"/>
      <c r="O49" s="497">
        <f t="shared" si="11"/>
        <v>0</v>
      </c>
      <c r="P49" s="460"/>
      <c r="Q49" s="452"/>
      <c r="R49" s="440"/>
      <c r="S49" s="443"/>
      <c r="T49" s="444"/>
    </row>
    <row r="50" ht="39.0" customHeight="1">
      <c r="A50" s="463" t="s">
        <v>157</v>
      </c>
      <c r="B50" s="463"/>
      <c r="C50" s="465">
        <f t="shared" ref="C50:O50" si="12">C47+C48-C49</f>
        <v>-832550</v>
      </c>
      <c r="D50" s="465">
        <f t="shared" si="12"/>
        <v>1536213</v>
      </c>
      <c r="E50" s="465">
        <f t="shared" si="12"/>
        <v>-1374996</v>
      </c>
      <c r="F50" s="465">
        <f t="shared" si="12"/>
        <v>-2076635</v>
      </c>
      <c r="G50" s="465">
        <f t="shared" si="12"/>
        <v>-554845</v>
      </c>
      <c r="H50" s="465">
        <f t="shared" si="12"/>
        <v>-819334</v>
      </c>
      <c r="I50" s="465">
        <f t="shared" si="12"/>
        <v>-922175</v>
      </c>
      <c r="J50" s="465">
        <f t="shared" si="12"/>
        <v>636702</v>
      </c>
      <c r="K50" s="465">
        <f t="shared" si="12"/>
        <v>712516</v>
      </c>
      <c r="L50" s="465">
        <f t="shared" si="12"/>
        <v>794444</v>
      </c>
      <c r="M50" s="465">
        <f t="shared" si="12"/>
        <v>-903439</v>
      </c>
      <c r="N50" s="465">
        <f t="shared" si="12"/>
        <v>-1239447</v>
      </c>
      <c r="O50" s="465">
        <f t="shared" si="12"/>
        <v>-5043546</v>
      </c>
      <c r="P50" s="460">
        <f>O50/$O$10</f>
        <v>-0.121965535</v>
      </c>
      <c r="Q50" s="452"/>
      <c r="R50" s="440"/>
      <c r="S50" s="443"/>
      <c r="T50" s="444"/>
    </row>
    <row r="51" ht="15.75" customHeight="1">
      <c r="A51" s="478"/>
      <c r="B51" s="452"/>
      <c r="C51" s="479"/>
      <c r="D51" s="479"/>
      <c r="E51" s="479"/>
      <c r="F51" s="479"/>
      <c r="G51" s="479"/>
      <c r="H51" s="479"/>
      <c r="I51" s="479"/>
      <c r="J51" s="479"/>
      <c r="K51" s="479"/>
      <c r="L51" s="479"/>
      <c r="M51" s="479"/>
      <c r="N51" s="479"/>
      <c r="O51" s="479"/>
      <c r="P51" s="452"/>
      <c r="Q51" s="452"/>
      <c r="R51" s="440"/>
      <c r="S51" s="443"/>
    </row>
    <row r="52" ht="15.75" customHeight="1">
      <c r="A52" s="478"/>
      <c r="B52" s="452"/>
      <c r="C52" s="457"/>
      <c r="D52" s="457"/>
      <c r="E52" s="457"/>
      <c r="F52" s="457"/>
      <c r="G52" s="457"/>
      <c r="H52" s="457"/>
      <c r="I52" s="457"/>
      <c r="J52" s="457"/>
      <c r="K52" s="457"/>
      <c r="L52" s="457"/>
      <c r="M52" s="457"/>
      <c r="N52" s="457"/>
      <c r="O52" s="457"/>
      <c r="P52" s="452"/>
      <c r="Q52" s="452"/>
    </row>
    <row r="53" ht="15.75" customHeight="1">
      <c r="B53" s="440"/>
      <c r="G53" s="443"/>
      <c r="H53" s="443"/>
      <c r="I53" s="443"/>
      <c r="J53" s="443"/>
      <c r="K53" s="443"/>
      <c r="L53" s="443"/>
      <c r="M53" s="443"/>
      <c r="N53" s="443"/>
    </row>
    <row r="54" ht="15.75" customHeight="1">
      <c r="B54" s="440"/>
    </row>
    <row r="55" ht="15.75" customHeight="1">
      <c r="B55" s="480" t="s">
        <v>160</v>
      </c>
      <c r="C55" s="481">
        <f t="shared" ref="C55:N55" si="13">C61*C62*C63*C64</f>
        <v>1512124.416</v>
      </c>
      <c r="D55" s="481">
        <f t="shared" si="13"/>
        <v>1443391.488</v>
      </c>
      <c r="E55" s="481">
        <f t="shared" si="13"/>
        <v>1945285.056</v>
      </c>
      <c r="F55" s="481">
        <f t="shared" si="13"/>
        <v>1877268.096</v>
      </c>
      <c r="G55" s="481">
        <f t="shared" si="13"/>
        <v>1877268.096</v>
      </c>
      <c r="H55" s="481">
        <f t="shared" si="13"/>
        <v>1877268.096</v>
      </c>
      <c r="I55" s="481">
        <f t="shared" si="13"/>
        <v>1714027.392</v>
      </c>
      <c r="J55" s="481">
        <f t="shared" si="13"/>
        <v>1632407.04</v>
      </c>
      <c r="K55" s="481">
        <f t="shared" si="13"/>
        <v>1714027.392</v>
      </c>
      <c r="L55" s="481">
        <f t="shared" si="13"/>
        <v>1795647.744</v>
      </c>
      <c r="M55" s="481">
        <f t="shared" si="13"/>
        <v>1795647.744</v>
      </c>
      <c r="N55" s="481">
        <f t="shared" si="13"/>
        <v>1795647.744</v>
      </c>
    </row>
    <row r="56" ht="15.75" customHeight="1">
      <c r="B56" s="480" t="s">
        <v>161</v>
      </c>
      <c r="C56" s="482"/>
      <c r="D56" s="482">
        <v>11.0</v>
      </c>
      <c r="E56" s="482"/>
      <c r="F56" s="482"/>
      <c r="G56" s="482">
        <v>2.5</v>
      </c>
      <c r="H56" s="482"/>
      <c r="I56" s="482"/>
      <c r="J56" s="482">
        <v>6.5</v>
      </c>
      <c r="K56" s="498">
        <v>0.0</v>
      </c>
      <c r="L56" s="498">
        <v>1.0</v>
      </c>
      <c r="M56" s="482">
        <v>1.0</v>
      </c>
      <c r="N56" s="482"/>
    </row>
    <row r="57" ht="15.75" customHeight="1">
      <c r="B57" s="440"/>
    </row>
    <row r="58" ht="15.75" customHeight="1">
      <c r="B58" s="480" t="s">
        <v>162</v>
      </c>
      <c r="C58" s="481">
        <f t="shared" ref="C58:N58" si="14">C68*C69*C70*C71</f>
        <v>0</v>
      </c>
      <c r="D58" s="481">
        <f t="shared" si="14"/>
        <v>0</v>
      </c>
      <c r="E58" s="481">
        <f t="shared" si="14"/>
        <v>0</v>
      </c>
      <c r="F58" s="481">
        <f t="shared" si="14"/>
        <v>0</v>
      </c>
      <c r="G58" s="481">
        <f t="shared" si="14"/>
        <v>0</v>
      </c>
      <c r="H58" s="481">
        <f t="shared" si="14"/>
        <v>0</v>
      </c>
      <c r="I58" s="481">
        <f t="shared" si="14"/>
        <v>0</v>
      </c>
      <c r="J58" s="481">
        <f t="shared" si="14"/>
        <v>0</v>
      </c>
      <c r="K58" s="481">
        <f t="shared" si="14"/>
        <v>0</v>
      </c>
      <c r="L58" s="481">
        <f t="shared" si="14"/>
        <v>0</v>
      </c>
      <c r="M58" s="481">
        <f t="shared" si="14"/>
        <v>0</v>
      </c>
      <c r="N58" s="481">
        <f t="shared" si="14"/>
        <v>0</v>
      </c>
    </row>
    <row r="59" ht="15.75" customHeight="1"/>
    <row r="60" ht="15.75" customHeight="1">
      <c r="B60" s="440" t="s">
        <v>163</v>
      </c>
    </row>
    <row r="61" ht="15.75" customHeight="1">
      <c r="B61" s="480" t="s">
        <v>164</v>
      </c>
      <c r="C61" s="482">
        <v>22.0</v>
      </c>
      <c r="D61" s="482">
        <v>21.0</v>
      </c>
      <c r="E61" s="482">
        <v>22.0</v>
      </c>
      <c r="F61" s="482">
        <v>23.0</v>
      </c>
      <c r="G61" s="482">
        <v>23.0</v>
      </c>
      <c r="H61" s="482">
        <v>23.0</v>
      </c>
      <c r="I61" s="482">
        <v>21.0</v>
      </c>
      <c r="J61" s="482">
        <v>20.0</v>
      </c>
      <c r="K61" s="482">
        <v>21.0</v>
      </c>
      <c r="L61" s="482">
        <v>22.0</v>
      </c>
      <c r="M61" s="482">
        <v>22.0</v>
      </c>
      <c r="N61" s="482">
        <v>22.0</v>
      </c>
    </row>
    <row r="62" ht="15.75" customHeight="1">
      <c r="B62" s="480" t="s">
        <v>165</v>
      </c>
      <c r="C62" s="483">
        <v>0.8</v>
      </c>
      <c r="D62" s="483">
        <v>0.8</v>
      </c>
      <c r="E62" s="483">
        <v>0.95</v>
      </c>
      <c r="F62" s="483">
        <v>0.95</v>
      </c>
      <c r="G62" s="483">
        <v>0.95</v>
      </c>
      <c r="H62" s="483">
        <v>0.95</v>
      </c>
      <c r="I62" s="483">
        <v>0.95</v>
      </c>
      <c r="J62" s="483">
        <v>0.95</v>
      </c>
      <c r="K62" s="483">
        <v>0.95</v>
      </c>
      <c r="L62" s="483">
        <v>0.95</v>
      </c>
      <c r="M62" s="483">
        <v>0.95</v>
      </c>
      <c r="N62" s="483">
        <v>0.95</v>
      </c>
    </row>
    <row r="63" ht="39.75" customHeight="1">
      <c r="B63" s="499" t="s">
        <v>166</v>
      </c>
      <c r="C63" s="500">
        <v>12.0</v>
      </c>
      <c r="D63" s="500">
        <v>12.0</v>
      </c>
      <c r="E63" s="500">
        <v>13.0</v>
      </c>
      <c r="F63" s="500">
        <v>12.0</v>
      </c>
      <c r="G63" s="500">
        <v>12.0</v>
      </c>
      <c r="H63" s="500">
        <v>12.0</v>
      </c>
      <c r="I63" s="500">
        <v>12.0</v>
      </c>
      <c r="J63" s="500">
        <v>12.0</v>
      </c>
      <c r="K63" s="500">
        <v>12.0</v>
      </c>
      <c r="L63" s="500">
        <v>12.0</v>
      </c>
      <c r="M63" s="500">
        <v>12.0</v>
      </c>
      <c r="N63" s="500">
        <v>12.0</v>
      </c>
    </row>
    <row r="64" ht="15.75" customHeight="1">
      <c r="B64" s="480" t="s">
        <v>167</v>
      </c>
      <c r="C64" s="481">
        <f>'単位計算'!$C$23</f>
        <v>7159.68</v>
      </c>
      <c r="D64" s="481">
        <f>'単位計算'!$C$23</f>
        <v>7159.68</v>
      </c>
      <c r="E64" s="481">
        <f>'単位計算'!$C$23</f>
        <v>7159.68</v>
      </c>
      <c r="F64" s="481">
        <f>'単位計算'!$C$23</f>
        <v>7159.68</v>
      </c>
      <c r="G64" s="481">
        <f>'単位計算'!$C$23</f>
        <v>7159.68</v>
      </c>
      <c r="H64" s="481">
        <f>'単位計算'!$C$23</f>
        <v>7159.68</v>
      </c>
      <c r="I64" s="481">
        <f>'単位計算'!$C$23</f>
        <v>7159.68</v>
      </c>
      <c r="J64" s="481">
        <f>'単位計算'!$C$23</f>
        <v>7159.68</v>
      </c>
      <c r="K64" s="481">
        <f>'単位計算'!$C$23</f>
        <v>7159.68</v>
      </c>
      <c r="L64" s="481">
        <f>'単位計算'!$C$23</f>
        <v>7159.68</v>
      </c>
      <c r="M64" s="481">
        <f>'単位計算'!$C$23</f>
        <v>7159.68</v>
      </c>
      <c r="N64" s="481">
        <f>'単位計算'!$C$23</f>
        <v>7159.68</v>
      </c>
    </row>
    <row r="65" ht="15.75" customHeight="1">
      <c r="B65" s="480" t="s">
        <v>168</v>
      </c>
      <c r="C65" s="481">
        <f>'単位計算'!$C$21*'A型'!C61*'A型'!C62*'A型'!C63</f>
        <v>148684.8</v>
      </c>
      <c r="D65" s="481">
        <f>'単位計算'!$C$21*'A型'!D61*'A型'!D62*'A型'!D63</f>
        <v>141926.4</v>
      </c>
      <c r="E65" s="481">
        <f>'単位計算'!$C$21*'A型'!E61*'A型'!E62*'A型'!E63</f>
        <v>191276.8</v>
      </c>
      <c r="F65" s="481">
        <f>'単位計算'!$C$21*'A型'!F61*'A型'!F62*'A型'!F63</f>
        <v>184588.8</v>
      </c>
      <c r="G65" s="481">
        <f>'単位計算'!$C$21*'A型'!G61*'A型'!G62*'A型'!G63</f>
        <v>184588.8</v>
      </c>
      <c r="H65" s="481">
        <f>'単位計算'!$C$21*'A型'!H61*'A型'!H62*'A型'!H63</f>
        <v>184588.8</v>
      </c>
      <c r="I65" s="481">
        <f>'単位計算'!$C$21*'A型'!I61*'A型'!I62*'A型'!I63</f>
        <v>168537.6</v>
      </c>
      <c r="J65" s="481">
        <f>'単位計算'!$C$21*'A型'!J61*'A型'!J62*'A型'!J63</f>
        <v>160512</v>
      </c>
      <c r="K65" s="481">
        <f>'単位計算'!$C$21*'A型'!K61*'A型'!K62*'A型'!K63</f>
        <v>168537.6</v>
      </c>
      <c r="L65" s="481">
        <f>'単位計算'!$C$21*'A型'!L61*'A型'!L62*'A型'!L63</f>
        <v>176563.2</v>
      </c>
      <c r="M65" s="481">
        <f>'単位計算'!$C$21*'A型'!M61*'A型'!M62*'A型'!M63</f>
        <v>176563.2</v>
      </c>
      <c r="N65" s="481">
        <f>'単位計算'!$C$21*'A型'!N61*'A型'!N62*'A型'!N63</f>
        <v>176563.2</v>
      </c>
    </row>
    <row r="66" ht="15.75" customHeight="1"/>
    <row r="67" ht="15.75" customHeight="1">
      <c r="B67" s="440" t="s">
        <v>169</v>
      </c>
    </row>
    <row r="68" ht="15.75" customHeight="1">
      <c r="B68" s="480" t="s">
        <v>164</v>
      </c>
      <c r="C68" s="482"/>
      <c r="D68" s="482"/>
      <c r="E68" s="482"/>
      <c r="F68" s="482"/>
      <c r="G68" s="482"/>
      <c r="H68" s="482"/>
      <c r="I68" s="482"/>
      <c r="J68" s="482"/>
      <c r="K68" s="482"/>
      <c r="L68" s="482"/>
      <c r="M68" s="482"/>
      <c r="N68" s="482"/>
    </row>
    <row r="69" ht="15.75" customHeight="1">
      <c r="B69" s="480" t="s">
        <v>165</v>
      </c>
      <c r="C69" s="483"/>
      <c r="D69" s="483"/>
      <c r="E69" s="483"/>
      <c r="F69" s="483"/>
      <c r="G69" s="483"/>
      <c r="H69" s="483"/>
      <c r="I69" s="483"/>
      <c r="J69" s="483"/>
      <c r="K69" s="483"/>
      <c r="L69" s="483"/>
      <c r="M69" s="483"/>
      <c r="N69" s="483"/>
    </row>
    <row r="70" ht="15.75" customHeight="1">
      <c r="B70" s="480" t="s">
        <v>170</v>
      </c>
      <c r="C70" s="482"/>
      <c r="D70" s="482"/>
      <c r="E70" s="482"/>
      <c r="F70" s="482"/>
      <c r="G70" s="482"/>
      <c r="H70" s="482"/>
      <c r="I70" s="482"/>
      <c r="J70" s="482"/>
      <c r="K70" s="482"/>
      <c r="L70" s="482"/>
      <c r="M70" s="482"/>
      <c r="N70" s="482"/>
    </row>
    <row r="71" ht="15.75" customHeight="1">
      <c r="B71" s="480" t="s">
        <v>171</v>
      </c>
      <c r="C71" s="481"/>
      <c r="D71" s="481"/>
      <c r="E71" s="481"/>
      <c r="F71" s="481"/>
      <c r="G71" s="481"/>
      <c r="H71" s="481"/>
      <c r="I71" s="481"/>
      <c r="J71" s="481"/>
      <c r="K71" s="481"/>
      <c r="L71" s="481"/>
      <c r="M71" s="481"/>
      <c r="N71" s="481"/>
    </row>
    <row r="72" ht="15.75" customHeight="1">
      <c r="B72" s="480" t="s">
        <v>168</v>
      </c>
      <c r="C72" s="481"/>
      <c r="D72" s="481"/>
      <c r="E72" s="481"/>
      <c r="F72" s="481"/>
      <c r="G72" s="481"/>
      <c r="H72" s="481"/>
      <c r="I72" s="481"/>
      <c r="J72" s="481"/>
      <c r="K72" s="481"/>
      <c r="L72" s="481"/>
      <c r="M72" s="481"/>
      <c r="N72" s="481"/>
    </row>
    <row r="73" ht="15.75" customHeight="1"/>
    <row r="74" ht="15.75" customHeight="1">
      <c r="B74" s="480" t="s">
        <v>172</v>
      </c>
      <c r="C74" s="481">
        <f>C65*'単位計算'!$C$25*'単位計算'!$C$22</f>
        <v>145163.9439</v>
      </c>
      <c r="D74" s="481">
        <f>D65*'単位計算'!$C$25*'単位計算'!$C$22</f>
        <v>138565.5828</v>
      </c>
      <c r="E74" s="481">
        <f>E65*'単位計算'!$C$25*'単位計算'!$C$22</f>
        <v>186747.3654</v>
      </c>
      <c r="F74" s="481">
        <f>F65*'単位計算'!$C$25*'単位計算'!$C$22</f>
        <v>180217.7372</v>
      </c>
      <c r="G74" s="481">
        <f>G65*'単位計算'!$C$25*'単位計算'!$C$22</f>
        <v>180217.7372</v>
      </c>
      <c r="H74" s="481">
        <f>H65*'単位計算'!$C$25*'単位計算'!$C$22</f>
        <v>180217.7372</v>
      </c>
      <c r="I74" s="481">
        <f>I65*'単位計算'!$C$25*'単位計算'!$C$22</f>
        <v>164546.6296</v>
      </c>
      <c r="J74" s="481">
        <f>J65*'単位計算'!$C$25*'単位計算'!$C$22</f>
        <v>156711.0758</v>
      </c>
      <c r="K74" s="481">
        <f>K65*'単位計算'!$C$25*'単位計算'!$C$22</f>
        <v>164546.6296</v>
      </c>
      <c r="L74" s="481">
        <f>L65*'単位計算'!$C$25*'単位計算'!$C$22</f>
        <v>172382.1834</v>
      </c>
      <c r="M74" s="481">
        <f>M65*'単位計算'!$C$25*'単位計算'!$C$22</f>
        <v>172382.1834</v>
      </c>
      <c r="N74" s="481">
        <f>N65*'単位計算'!$C$25*'単位計算'!$C$22</f>
        <v>172382.1834</v>
      </c>
    </row>
    <row r="75" ht="15.75" customHeight="1">
      <c r="B75" s="480" t="s">
        <v>173</v>
      </c>
      <c r="C75" s="481">
        <f>C72*'単位計算'!$G$25*'単位計算'!$G$22</f>
        <v>0</v>
      </c>
      <c r="D75" s="481">
        <f>D72*'単位計算'!$G$25*'単位計算'!$G$22</f>
        <v>0</v>
      </c>
      <c r="E75" s="481">
        <f>E72*'単位計算'!$G$25*'単位計算'!$G$22</f>
        <v>0</v>
      </c>
      <c r="F75" s="481">
        <f>F72*'単位計算'!$G$25*'単位計算'!$G$22</f>
        <v>0</v>
      </c>
      <c r="G75" s="481">
        <f>G72*'単位計算'!$G$25*'単位計算'!$G$22</f>
        <v>0</v>
      </c>
      <c r="H75" s="481">
        <f>H72*'単位計算'!$G$25*'単位計算'!$G$22</f>
        <v>0</v>
      </c>
      <c r="I75" s="481">
        <f>I72*'単位計算'!$G$25*'単位計算'!$G$22</f>
        <v>0</v>
      </c>
      <c r="J75" s="481">
        <f>J72*'単位計算'!$G$25*'単位計算'!$G$22</f>
        <v>0</v>
      </c>
      <c r="K75" s="481">
        <f>K72*'単位計算'!$G$25*'単位計算'!$G$22</f>
        <v>0</v>
      </c>
      <c r="L75" s="481">
        <f>L72*'単位計算'!$G$25*'単位計算'!$G$22</f>
        <v>0</v>
      </c>
      <c r="M75" s="481">
        <f>M72*'単位計算'!$G$25*'単位計算'!$G$22</f>
        <v>0</v>
      </c>
      <c r="N75" s="481">
        <f>N72*'単位計算'!$G$25*'単位計算'!$G$22</f>
        <v>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DE9D9"/>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3.71"/>
    <col customWidth="1" min="2" max="2" width="22.14"/>
    <col customWidth="1" min="3" max="20" width="14.43"/>
  </cols>
  <sheetData>
    <row r="1" ht="15.75" customHeight="1">
      <c r="A1" s="447"/>
      <c r="B1" s="448" t="s">
        <v>116</v>
      </c>
      <c r="C1" s="501" t="s">
        <v>204</v>
      </c>
      <c r="D1" s="501" t="s">
        <v>205</v>
      </c>
      <c r="E1" s="501" t="s">
        <v>206</v>
      </c>
      <c r="F1" s="501" t="s">
        <v>207</v>
      </c>
      <c r="G1" s="501" t="s">
        <v>208</v>
      </c>
      <c r="H1" s="501" t="s">
        <v>209</v>
      </c>
      <c r="I1" s="501" t="s">
        <v>210</v>
      </c>
      <c r="J1" s="450" t="s">
        <v>211</v>
      </c>
      <c r="K1" s="450" t="s">
        <v>212</v>
      </c>
      <c r="L1" s="450" t="s">
        <v>213</v>
      </c>
      <c r="M1" s="501" t="s">
        <v>214</v>
      </c>
      <c r="N1" s="501" t="s">
        <v>215</v>
      </c>
      <c r="O1" s="447" t="s">
        <v>129</v>
      </c>
      <c r="P1" s="452"/>
      <c r="Q1" s="452"/>
    </row>
    <row r="2" ht="15.75" customHeight="1">
      <c r="A2" s="453"/>
      <c r="B2" s="454"/>
      <c r="C2" s="455"/>
      <c r="D2" s="455"/>
      <c r="E2" s="455"/>
      <c r="F2" s="455"/>
      <c r="G2" s="455"/>
      <c r="H2" s="455"/>
      <c r="I2" s="455"/>
      <c r="J2" s="455"/>
      <c r="K2" s="455"/>
      <c r="L2" s="455"/>
      <c r="M2" s="455"/>
      <c r="N2" s="455"/>
      <c r="O2" s="456">
        <f t="shared" ref="O2:O42" si="2">SUM(C2:N2)</f>
        <v>0</v>
      </c>
      <c r="P2" s="457"/>
      <c r="Q2" s="452"/>
    </row>
    <row r="3" ht="15.75" customHeight="1">
      <c r="A3" s="447" t="s">
        <v>130</v>
      </c>
      <c r="B3" s="447"/>
      <c r="C3" s="458">
        <f t="shared" ref="C3:N3" si="1">SUM(C4:C8)</f>
        <v>461702</v>
      </c>
      <c r="D3" s="458">
        <f t="shared" si="1"/>
        <v>462616</v>
      </c>
      <c r="E3" s="458">
        <f t="shared" si="1"/>
        <v>520699</v>
      </c>
      <c r="F3" s="458">
        <f t="shared" si="1"/>
        <v>792313</v>
      </c>
      <c r="G3" s="458">
        <f t="shared" si="1"/>
        <v>583962</v>
      </c>
      <c r="H3" s="458">
        <f t="shared" si="1"/>
        <v>588210</v>
      </c>
      <c r="I3" s="458">
        <f t="shared" si="1"/>
        <v>719273</v>
      </c>
      <c r="J3" s="458">
        <f t="shared" si="1"/>
        <v>631355</v>
      </c>
      <c r="K3" s="458">
        <f t="shared" si="1"/>
        <v>668497</v>
      </c>
      <c r="L3" s="458">
        <f t="shared" si="1"/>
        <v>1293537</v>
      </c>
      <c r="M3" s="458">
        <f t="shared" si="1"/>
        <v>847882</v>
      </c>
      <c r="N3" s="458">
        <f t="shared" si="1"/>
        <v>1109305</v>
      </c>
      <c r="O3" s="459">
        <f t="shared" si="2"/>
        <v>8679351</v>
      </c>
      <c r="P3" s="460">
        <f>O3/$O$3</f>
        <v>1</v>
      </c>
      <c r="Q3" s="452"/>
    </row>
    <row r="4" ht="15.75" customHeight="1">
      <c r="A4" s="43" t="s">
        <v>10</v>
      </c>
      <c r="B4" s="447"/>
      <c r="C4" s="437">
        <v>0.0</v>
      </c>
      <c r="D4" s="437">
        <v>0.0</v>
      </c>
      <c r="E4" s="437">
        <v>0.0</v>
      </c>
      <c r="F4" s="437">
        <v>0.0</v>
      </c>
      <c r="G4" s="437">
        <v>0.0</v>
      </c>
      <c r="H4" s="437">
        <v>0.0</v>
      </c>
      <c r="I4" s="437">
        <v>0.0</v>
      </c>
      <c r="J4" s="458">
        <v>0.0</v>
      </c>
      <c r="K4" s="437"/>
      <c r="L4" s="437"/>
      <c r="M4" s="437"/>
      <c r="N4" s="437"/>
      <c r="O4" s="459">
        <f t="shared" si="2"/>
        <v>0</v>
      </c>
      <c r="P4" s="460"/>
      <c r="Q4" s="452"/>
    </row>
    <row r="5" ht="15.75" customHeight="1">
      <c r="A5" s="43" t="s">
        <v>11</v>
      </c>
      <c r="B5" s="447"/>
      <c r="C5" s="458">
        <v>363290.0</v>
      </c>
      <c r="D5" s="458">
        <v>352012.0</v>
      </c>
      <c r="E5" s="458">
        <v>411068.0</v>
      </c>
      <c r="F5" s="458">
        <v>689889.0</v>
      </c>
      <c r="G5" s="458">
        <v>478943.0</v>
      </c>
      <c r="H5" s="458">
        <v>465733.0</v>
      </c>
      <c r="I5" s="458">
        <v>603545.0</v>
      </c>
      <c r="J5" s="491">
        <v>517528.0</v>
      </c>
      <c r="K5" s="491">
        <v>544632.0</v>
      </c>
      <c r="L5" s="491">
        <v>1026809.0</v>
      </c>
      <c r="M5" s="491">
        <v>745700.0</v>
      </c>
      <c r="N5" s="491">
        <v>1036612.0</v>
      </c>
      <c r="O5" s="459">
        <f t="shared" si="2"/>
        <v>7235761</v>
      </c>
      <c r="P5" s="460"/>
      <c r="Q5" s="452"/>
    </row>
    <row r="6" ht="15.75" customHeight="1">
      <c r="A6" s="43" t="s">
        <v>12</v>
      </c>
      <c r="B6" s="447"/>
      <c r="C6" s="458">
        <v>0.0</v>
      </c>
      <c r="D6" s="458">
        <v>0.0</v>
      </c>
      <c r="E6" s="458">
        <v>0.0</v>
      </c>
      <c r="F6" s="458">
        <v>0.0</v>
      </c>
      <c r="G6" s="458">
        <v>0.0</v>
      </c>
      <c r="H6" s="458">
        <v>0.0</v>
      </c>
      <c r="I6" s="458">
        <v>0.0</v>
      </c>
      <c r="J6" s="491">
        <v>0.0</v>
      </c>
      <c r="K6" s="491">
        <v>0.0</v>
      </c>
      <c r="L6" s="491">
        <v>0.0</v>
      </c>
      <c r="M6" s="491">
        <v>0.0</v>
      </c>
      <c r="N6" s="491">
        <v>0.0</v>
      </c>
      <c r="O6" s="459">
        <f t="shared" si="2"/>
        <v>0</v>
      </c>
      <c r="P6" s="460"/>
      <c r="Q6" s="452"/>
    </row>
    <row r="7" ht="15.75" customHeight="1">
      <c r="A7" s="43" t="s">
        <v>13</v>
      </c>
      <c r="B7" s="447"/>
      <c r="C7" s="458">
        <v>0.0</v>
      </c>
      <c r="D7" s="458">
        <v>0.0</v>
      </c>
      <c r="E7" s="458">
        <f t="shared" ref="E7:L7" si="3">E56*200000</f>
        <v>0</v>
      </c>
      <c r="F7" s="458">
        <f t="shared" si="3"/>
        <v>0</v>
      </c>
      <c r="G7" s="458">
        <f t="shared" si="3"/>
        <v>0</v>
      </c>
      <c r="H7" s="458">
        <f t="shared" si="3"/>
        <v>0</v>
      </c>
      <c r="I7" s="458">
        <f t="shared" si="3"/>
        <v>0</v>
      </c>
      <c r="J7" s="458">
        <f t="shared" si="3"/>
        <v>0</v>
      </c>
      <c r="K7" s="458">
        <f t="shared" si="3"/>
        <v>0</v>
      </c>
      <c r="L7" s="458">
        <f t="shared" si="3"/>
        <v>0</v>
      </c>
      <c r="M7" s="491">
        <v>0.0</v>
      </c>
      <c r="N7" s="458">
        <f>N56*200000</f>
        <v>0</v>
      </c>
      <c r="O7" s="459">
        <f t="shared" si="2"/>
        <v>0</v>
      </c>
      <c r="P7" s="460"/>
      <c r="Q7" s="452"/>
    </row>
    <row r="8" ht="15.75" customHeight="1">
      <c r="A8" s="43" t="s">
        <v>16</v>
      </c>
      <c r="B8" s="447"/>
      <c r="C8" s="491">
        <v>98412.0</v>
      </c>
      <c r="D8" s="458">
        <v>110604.0</v>
      </c>
      <c r="E8" s="458">
        <v>109631.0</v>
      </c>
      <c r="F8" s="491">
        <v>102424.0</v>
      </c>
      <c r="G8" s="491">
        <v>105019.0</v>
      </c>
      <c r="H8" s="491">
        <v>122477.0</v>
      </c>
      <c r="I8" s="491">
        <v>115728.0</v>
      </c>
      <c r="J8" s="491">
        <f>89268+24559</f>
        <v>113827</v>
      </c>
      <c r="K8" s="491">
        <f>97709+26156</f>
        <v>123865</v>
      </c>
      <c r="L8" s="458">
        <f>245901+20827</f>
        <v>266728</v>
      </c>
      <c r="M8" s="458">
        <f>83890+18292</f>
        <v>102182</v>
      </c>
      <c r="N8" s="458">
        <f>61238+11455</f>
        <v>72693</v>
      </c>
      <c r="O8" s="459">
        <f t="shared" si="2"/>
        <v>1443590</v>
      </c>
      <c r="P8" s="460"/>
      <c r="Q8" s="452"/>
    </row>
    <row r="9" ht="15.75" customHeight="1">
      <c r="A9" s="447" t="s">
        <v>131</v>
      </c>
      <c r="B9" s="461"/>
      <c r="C9" s="492">
        <v>2083.0</v>
      </c>
      <c r="D9" s="492">
        <v>11980.0</v>
      </c>
      <c r="E9" s="492">
        <v>4060.0</v>
      </c>
      <c r="F9" s="492">
        <v>3415.0</v>
      </c>
      <c r="G9" s="492">
        <v>2025.0</v>
      </c>
      <c r="H9" s="492">
        <v>4450.0</v>
      </c>
      <c r="I9" s="492">
        <v>7939.0</v>
      </c>
      <c r="J9" s="493">
        <v>618.0</v>
      </c>
      <c r="K9" s="493">
        <v>0.0</v>
      </c>
      <c r="L9" s="493">
        <v>5140.0</v>
      </c>
      <c r="M9" s="493">
        <v>4371.0</v>
      </c>
      <c r="N9" s="493">
        <v>3533.0</v>
      </c>
      <c r="O9" s="462">
        <f t="shared" si="2"/>
        <v>49614</v>
      </c>
      <c r="P9" s="460">
        <f>O9/$O$3</f>
        <v>0.005716326025</v>
      </c>
      <c r="Q9" s="452"/>
    </row>
    <row r="10" ht="17.25" customHeight="1">
      <c r="A10" s="463" t="s">
        <v>132</v>
      </c>
      <c r="B10" s="464"/>
      <c r="C10" s="465">
        <f t="shared" ref="C10:N10" si="4">C2+C3-C9</f>
        <v>459619</v>
      </c>
      <c r="D10" s="465">
        <f t="shared" si="4"/>
        <v>450636</v>
      </c>
      <c r="E10" s="465">
        <f t="shared" si="4"/>
        <v>516639</v>
      </c>
      <c r="F10" s="465">
        <f t="shared" si="4"/>
        <v>788898</v>
      </c>
      <c r="G10" s="465">
        <f t="shared" si="4"/>
        <v>581937</v>
      </c>
      <c r="H10" s="465">
        <f t="shared" si="4"/>
        <v>583760</v>
      </c>
      <c r="I10" s="465">
        <f t="shared" si="4"/>
        <v>711334</v>
      </c>
      <c r="J10" s="465">
        <f t="shared" si="4"/>
        <v>630737</v>
      </c>
      <c r="K10" s="465">
        <f t="shared" si="4"/>
        <v>668497</v>
      </c>
      <c r="L10" s="465">
        <f t="shared" si="4"/>
        <v>1288397</v>
      </c>
      <c r="M10" s="465">
        <f t="shared" si="4"/>
        <v>843511</v>
      </c>
      <c r="N10" s="465">
        <f t="shared" si="4"/>
        <v>1105772</v>
      </c>
      <c r="O10" s="465">
        <f t="shared" si="2"/>
        <v>8629737</v>
      </c>
      <c r="P10" s="460"/>
      <c r="Q10" s="452"/>
    </row>
    <row r="11" ht="15.75" customHeight="1">
      <c r="A11" s="43" t="s">
        <v>99</v>
      </c>
      <c r="B11" s="447"/>
      <c r="C11" s="458">
        <f t="shared" ref="C11:E11" si="5">C6</f>
        <v>0</v>
      </c>
      <c r="D11" s="458">
        <f t="shared" si="5"/>
        <v>0</v>
      </c>
      <c r="E11" s="458">
        <f t="shared" si="5"/>
        <v>0</v>
      </c>
      <c r="F11" s="458">
        <v>0.0</v>
      </c>
      <c r="G11" s="458">
        <v>0.0</v>
      </c>
      <c r="H11" s="458">
        <v>0.0</v>
      </c>
      <c r="I11" s="458">
        <v>0.0</v>
      </c>
      <c r="J11" s="458">
        <v>0.0</v>
      </c>
      <c r="K11" s="491">
        <v>0.0</v>
      </c>
      <c r="L11" s="491">
        <v>0.0</v>
      </c>
      <c r="M11" s="458"/>
      <c r="N11" s="458"/>
      <c r="O11" s="465">
        <f t="shared" si="2"/>
        <v>0</v>
      </c>
      <c r="P11" s="460"/>
      <c r="Q11" s="452"/>
    </row>
    <row r="12" ht="15.75" customHeight="1">
      <c r="A12" s="447" t="s">
        <v>133</v>
      </c>
      <c r="B12" s="447"/>
      <c r="C12" s="462">
        <v>0.0</v>
      </c>
      <c r="D12" s="462">
        <v>0.0</v>
      </c>
      <c r="E12" s="462">
        <v>0.0</v>
      </c>
      <c r="F12" s="462">
        <v>0.0</v>
      </c>
      <c r="G12" s="462">
        <v>0.0</v>
      </c>
      <c r="H12" s="462">
        <v>0.0</v>
      </c>
      <c r="I12" s="462">
        <v>0.0</v>
      </c>
      <c r="J12" s="458">
        <v>0.0</v>
      </c>
      <c r="K12" s="494">
        <v>0.0</v>
      </c>
      <c r="L12" s="494">
        <v>0.0</v>
      </c>
      <c r="M12" s="462"/>
      <c r="N12" s="462"/>
      <c r="O12" s="462">
        <f t="shared" si="2"/>
        <v>0</v>
      </c>
      <c r="P12" s="460">
        <f>O12/$O$10</f>
        <v>0</v>
      </c>
      <c r="Q12" s="452"/>
    </row>
    <row r="13" ht="15.75" customHeight="1">
      <c r="A13" s="447" t="s">
        <v>134</v>
      </c>
      <c r="B13" s="43"/>
      <c r="C13" s="462">
        <v>161873.0</v>
      </c>
      <c r="D13" s="462">
        <v>167191.0</v>
      </c>
      <c r="E13" s="462">
        <v>168156.0</v>
      </c>
      <c r="F13" s="462">
        <v>180106.0</v>
      </c>
      <c r="G13" s="462">
        <v>168271.0</v>
      </c>
      <c r="H13" s="462">
        <v>179114.0</v>
      </c>
      <c r="I13" s="462">
        <v>169612.0</v>
      </c>
      <c r="J13" s="494">
        <v>139860.0</v>
      </c>
      <c r="K13" s="494">
        <v>131953.0</v>
      </c>
      <c r="L13" s="494">
        <v>134365.0</v>
      </c>
      <c r="M13" s="494">
        <v>132217.0</v>
      </c>
      <c r="N13" s="494">
        <f>86093+61950</f>
        <v>148043</v>
      </c>
      <c r="O13" s="462">
        <f t="shared" si="2"/>
        <v>1880761</v>
      </c>
      <c r="P13" s="460"/>
      <c r="Q13" s="452"/>
    </row>
    <row r="14" ht="15.75" customHeight="1">
      <c r="A14" s="466" t="s">
        <v>216</v>
      </c>
      <c r="B14" s="461"/>
      <c r="C14" s="459">
        <v>45293.0</v>
      </c>
      <c r="D14" s="459">
        <v>46480.0</v>
      </c>
      <c r="E14" s="459">
        <v>50418.0</v>
      </c>
      <c r="F14" s="459">
        <v>91376.0</v>
      </c>
      <c r="G14" s="459">
        <v>95310.0</v>
      </c>
      <c r="H14" s="459">
        <v>98685.0</v>
      </c>
      <c r="I14" s="459">
        <v>114851.0</v>
      </c>
      <c r="J14" s="495">
        <v>123380.0</v>
      </c>
      <c r="K14" s="495">
        <v>99282.0</v>
      </c>
      <c r="L14" s="495">
        <v>103922.0</v>
      </c>
      <c r="M14" s="495">
        <v>72431.0</v>
      </c>
      <c r="N14" s="495">
        <v>125952.0</v>
      </c>
      <c r="O14" s="462">
        <f t="shared" si="2"/>
        <v>1067380</v>
      </c>
      <c r="P14" s="460">
        <f>O14/$O$10</f>
        <v>0.1236862722</v>
      </c>
      <c r="Q14" s="452"/>
    </row>
    <row r="15" ht="15.75" customHeight="1">
      <c r="A15" s="447" t="s">
        <v>29</v>
      </c>
      <c r="B15" s="461">
        <v>0.15</v>
      </c>
      <c r="C15" s="462">
        <v>29973.0</v>
      </c>
      <c r="D15" s="462">
        <v>11167.0</v>
      </c>
      <c r="E15" s="462">
        <v>10326.0</v>
      </c>
      <c r="F15" s="462">
        <v>123086.0</v>
      </c>
      <c r="G15" s="462">
        <v>45435.0</v>
      </c>
      <c r="H15" s="462">
        <v>21611.0</v>
      </c>
      <c r="I15" s="494">
        <v>47420.0</v>
      </c>
      <c r="J15" s="494">
        <v>19099.0</v>
      </c>
      <c r="K15" s="494">
        <v>19102.0</v>
      </c>
      <c r="L15" s="494">
        <v>36175.0</v>
      </c>
      <c r="M15" s="494">
        <v>23684.0</v>
      </c>
      <c r="N15" s="494">
        <v>7100.0</v>
      </c>
      <c r="O15" s="462">
        <f t="shared" si="2"/>
        <v>394178</v>
      </c>
      <c r="P15" s="460"/>
      <c r="Q15" s="452"/>
    </row>
    <row r="16" ht="15.75" customHeight="1">
      <c r="A16" s="447" t="s">
        <v>30</v>
      </c>
      <c r="B16" s="447"/>
      <c r="C16" s="458">
        <v>19459.0</v>
      </c>
      <c r="D16" s="458">
        <v>12963.0</v>
      </c>
      <c r="E16" s="458">
        <v>13370.0</v>
      </c>
      <c r="F16" s="458">
        <v>17694.0</v>
      </c>
      <c r="G16" s="458">
        <v>10324.0</v>
      </c>
      <c r="H16" s="491">
        <v>14305.0</v>
      </c>
      <c r="I16" s="491">
        <v>20014.0</v>
      </c>
      <c r="J16" s="491">
        <v>12935.0</v>
      </c>
      <c r="K16" s="491">
        <v>13912.0</v>
      </c>
      <c r="L16" s="491">
        <v>15875.0</v>
      </c>
      <c r="M16" s="491">
        <v>30000.0</v>
      </c>
      <c r="N16" s="491">
        <v>10941.0</v>
      </c>
      <c r="O16" s="462">
        <f t="shared" si="2"/>
        <v>191792</v>
      </c>
      <c r="P16" s="460"/>
      <c r="Q16" s="452"/>
    </row>
    <row r="17" ht="15.75" customHeight="1">
      <c r="A17" s="447" t="s">
        <v>136</v>
      </c>
      <c r="B17" s="447"/>
      <c r="C17" s="462">
        <v>1000.0</v>
      </c>
      <c r="D17" s="462">
        <v>1000.0</v>
      </c>
      <c r="E17" s="462">
        <v>1000.0</v>
      </c>
      <c r="F17" s="462">
        <v>1000.0</v>
      </c>
      <c r="G17" s="462">
        <v>1000.0</v>
      </c>
      <c r="H17" s="462">
        <v>1000.0</v>
      </c>
      <c r="I17" s="462">
        <v>1000.0</v>
      </c>
      <c r="J17" s="494">
        <v>1000.0</v>
      </c>
      <c r="K17" s="462">
        <v>1000.0</v>
      </c>
      <c r="L17" s="462">
        <v>1000.0</v>
      </c>
      <c r="M17" s="462">
        <v>1000.0</v>
      </c>
      <c r="N17" s="494">
        <v>700.0</v>
      </c>
      <c r="O17" s="462">
        <f t="shared" si="2"/>
        <v>11700</v>
      </c>
      <c r="P17" s="460"/>
      <c r="Q17" s="452"/>
    </row>
    <row r="18" ht="15.75" customHeight="1">
      <c r="A18" s="447" t="s">
        <v>137</v>
      </c>
      <c r="B18" s="461"/>
      <c r="C18" s="462">
        <v>0.0</v>
      </c>
      <c r="D18" s="462">
        <v>0.0</v>
      </c>
      <c r="E18" s="462">
        <v>0.0</v>
      </c>
      <c r="F18" s="462">
        <v>0.0</v>
      </c>
      <c r="G18" s="462">
        <v>0.0</v>
      </c>
      <c r="H18" s="462">
        <v>0.0</v>
      </c>
      <c r="I18" s="458">
        <v>0.0</v>
      </c>
      <c r="J18" s="458">
        <v>0.0</v>
      </c>
      <c r="K18" s="491">
        <v>0.0</v>
      </c>
      <c r="L18" s="491">
        <v>0.0</v>
      </c>
      <c r="M18" s="458"/>
      <c r="N18" s="458"/>
      <c r="O18" s="462">
        <f t="shared" si="2"/>
        <v>0</v>
      </c>
      <c r="P18" s="460"/>
      <c r="Q18" s="452"/>
    </row>
    <row r="19" ht="15.75" customHeight="1">
      <c r="A19" s="447" t="s">
        <v>138</v>
      </c>
      <c r="B19" s="43" t="s">
        <v>217</v>
      </c>
      <c r="C19" s="462">
        <v>5557.0</v>
      </c>
      <c r="D19" s="462">
        <v>5481.0</v>
      </c>
      <c r="E19" s="462">
        <v>6605.0</v>
      </c>
      <c r="F19" s="462">
        <v>6908.0</v>
      </c>
      <c r="G19" s="462">
        <v>6185.0</v>
      </c>
      <c r="H19" s="462">
        <v>6621.0</v>
      </c>
      <c r="I19" s="462">
        <v>4949.0</v>
      </c>
      <c r="J19" s="494">
        <v>4362.0</v>
      </c>
      <c r="K19" s="494">
        <v>4609.0</v>
      </c>
      <c r="L19" s="494">
        <v>6900.0</v>
      </c>
      <c r="M19" s="494">
        <v>6269.0</v>
      </c>
      <c r="N19" s="494">
        <v>4222.0</v>
      </c>
      <c r="O19" s="462">
        <f t="shared" si="2"/>
        <v>68668</v>
      </c>
      <c r="P19" s="460"/>
      <c r="Q19" s="452"/>
    </row>
    <row r="20" ht="15.75" customHeight="1">
      <c r="A20" s="447" t="s">
        <v>139</v>
      </c>
      <c r="B20" s="447"/>
      <c r="C20" s="462">
        <v>161.0</v>
      </c>
      <c r="D20" s="462">
        <v>182.0</v>
      </c>
      <c r="E20" s="462">
        <v>118.0</v>
      </c>
      <c r="F20" s="462">
        <v>991.0</v>
      </c>
      <c r="G20" s="462">
        <v>1344.0</v>
      </c>
      <c r="H20" s="462">
        <v>161.0</v>
      </c>
      <c r="I20" s="462">
        <v>613.0</v>
      </c>
      <c r="J20" s="494">
        <v>336.0</v>
      </c>
      <c r="K20" s="494">
        <v>4228.0</v>
      </c>
      <c r="L20" s="494">
        <v>1628.0</v>
      </c>
      <c r="M20" s="494">
        <v>384.0</v>
      </c>
      <c r="N20" s="494">
        <v>156.0</v>
      </c>
      <c r="O20" s="462">
        <f t="shared" si="2"/>
        <v>10302</v>
      </c>
      <c r="P20" s="460">
        <f>O20/$O$10</f>
        <v>0.001193779138</v>
      </c>
      <c r="Q20" s="452"/>
    </row>
    <row r="21" ht="15.75" customHeight="1">
      <c r="A21" s="466" t="s">
        <v>140</v>
      </c>
      <c r="B21" s="447"/>
      <c r="C21" s="462">
        <v>0.0</v>
      </c>
      <c r="D21" s="462">
        <v>0.0</v>
      </c>
      <c r="E21" s="462">
        <v>1818.0</v>
      </c>
      <c r="F21" s="462">
        <v>0.0</v>
      </c>
      <c r="G21" s="462">
        <v>0.0</v>
      </c>
      <c r="H21" s="462">
        <v>0.0</v>
      </c>
      <c r="I21" s="458">
        <v>0.0</v>
      </c>
      <c r="J21" s="458">
        <v>0.0</v>
      </c>
      <c r="K21" s="491">
        <v>0.0</v>
      </c>
      <c r="L21" s="491">
        <v>0.0</v>
      </c>
      <c r="M21" s="491">
        <v>0.0</v>
      </c>
      <c r="N21" s="491">
        <v>509.0</v>
      </c>
      <c r="O21" s="462">
        <f t="shared" si="2"/>
        <v>2327</v>
      </c>
      <c r="P21" s="460"/>
      <c r="Q21" s="452"/>
    </row>
    <row r="22" ht="15.75" customHeight="1">
      <c r="A22" s="447" t="s">
        <v>141</v>
      </c>
      <c r="B22" s="447"/>
      <c r="C22" s="462">
        <v>0.0</v>
      </c>
      <c r="D22" s="462">
        <v>0.0</v>
      </c>
      <c r="E22" s="462">
        <v>0.0</v>
      </c>
      <c r="F22" s="462">
        <v>0.0</v>
      </c>
      <c r="G22" s="462">
        <v>0.0</v>
      </c>
      <c r="H22" s="462">
        <v>0.0</v>
      </c>
      <c r="I22" s="458">
        <v>0.0</v>
      </c>
      <c r="J22" s="458">
        <v>0.0</v>
      </c>
      <c r="K22" s="491">
        <v>0.0</v>
      </c>
      <c r="L22" s="491">
        <v>0.0</v>
      </c>
      <c r="M22" s="491">
        <v>0.0</v>
      </c>
      <c r="N22" s="491">
        <v>0.0</v>
      </c>
      <c r="O22" s="462">
        <f t="shared" si="2"/>
        <v>0</v>
      </c>
      <c r="P22" s="460">
        <f>O22/$O$10</f>
        <v>0</v>
      </c>
      <c r="Q22" s="452"/>
    </row>
    <row r="23" ht="15.75" customHeight="1">
      <c r="A23" s="447" t="s">
        <v>142</v>
      </c>
      <c r="B23" s="447"/>
      <c r="C23" s="462">
        <v>0.0</v>
      </c>
      <c r="D23" s="462">
        <v>0.0</v>
      </c>
      <c r="E23" s="462">
        <v>0.0</v>
      </c>
      <c r="F23" s="462">
        <v>0.0</v>
      </c>
      <c r="G23" s="462">
        <v>0.0</v>
      </c>
      <c r="H23" s="462">
        <v>0.0</v>
      </c>
      <c r="I23" s="458">
        <v>0.0</v>
      </c>
      <c r="J23" s="458">
        <v>0.0</v>
      </c>
      <c r="K23" s="491">
        <v>0.0</v>
      </c>
      <c r="L23" s="491">
        <v>0.0</v>
      </c>
      <c r="M23" s="491">
        <v>0.0</v>
      </c>
      <c r="N23" s="491">
        <v>0.0</v>
      </c>
      <c r="O23" s="462">
        <f t="shared" si="2"/>
        <v>0</v>
      </c>
      <c r="P23" s="460"/>
      <c r="Q23" s="452"/>
    </row>
    <row r="24" ht="15.75" customHeight="1">
      <c r="A24" s="447" t="s">
        <v>143</v>
      </c>
      <c r="B24" s="447"/>
      <c r="C24" s="462">
        <v>0.0</v>
      </c>
      <c r="D24" s="462">
        <v>0.0</v>
      </c>
      <c r="E24" s="462">
        <v>0.0</v>
      </c>
      <c r="F24" s="462">
        <v>0.0</v>
      </c>
      <c r="G24" s="462">
        <v>0.0</v>
      </c>
      <c r="H24" s="462">
        <v>0.0</v>
      </c>
      <c r="I24" s="458">
        <v>0.0</v>
      </c>
      <c r="J24" s="458">
        <v>0.0</v>
      </c>
      <c r="K24" s="491">
        <v>0.0</v>
      </c>
      <c r="L24" s="491">
        <v>0.0</v>
      </c>
      <c r="M24" s="491">
        <v>0.0</v>
      </c>
      <c r="N24" s="491">
        <v>0.0</v>
      </c>
      <c r="O24" s="462">
        <f t="shared" si="2"/>
        <v>0</v>
      </c>
      <c r="P24" s="460">
        <f>O24/$O$10</f>
        <v>0</v>
      </c>
      <c r="Q24" s="452"/>
    </row>
    <row r="25" ht="15.75" customHeight="1">
      <c r="A25" s="447" t="s">
        <v>144</v>
      </c>
      <c r="B25" s="447"/>
      <c r="C25" s="462">
        <v>0.0</v>
      </c>
      <c r="D25" s="462">
        <v>0.0</v>
      </c>
      <c r="E25" s="462">
        <v>0.0</v>
      </c>
      <c r="F25" s="462">
        <v>0.0</v>
      </c>
      <c r="G25" s="462">
        <v>0.0</v>
      </c>
      <c r="H25" s="462">
        <v>0.0</v>
      </c>
      <c r="I25" s="458">
        <v>0.0</v>
      </c>
      <c r="J25" s="458">
        <v>0.0</v>
      </c>
      <c r="K25" s="491">
        <v>0.0</v>
      </c>
      <c r="L25" s="491">
        <v>0.0</v>
      </c>
      <c r="M25" s="491">
        <v>0.0</v>
      </c>
      <c r="N25" s="491">
        <v>0.0</v>
      </c>
      <c r="O25" s="462">
        <f t="shared" si="2"/>
        <v>0</v>
      </c>
      <c r="P25" s="460"/>
      <c r="Q25" s="452"/>
    </row>
    <row r="26" ht="15.75" customHeight="1">
      <c r="A26" s="447" t="s">
        <v>145</v>
      </c>
      <c r="B26" s="447"/>
      <c r="C26" s="462">
        <v>0.0</v>
      </c>
      <c r="D26" s="462">
        <v>0.0</v>
      </c>
      <c r="E26" s="462">
        <v>0.0</v>
      </c>
      <c r="F26" s="462">
        <v>0.0</v>
      </c>
      <c r="G26" s="462">
        <v>0.0</v>
      </c>
      <c r="H26" s="462">
        <v>0.0</v>
      </c>
      <c r="I26" s="458">
        <v>0.0</v>
      </c>
      <c r="J26" s="458">
        <v>0.0</v>
      </c>
      <c r="K26" s="491">
        <v>0.0</v>
      </c>
      <c r="L26" s="491">
        <v>0.0</v>
      </c>
      <c r="M26" s="491">
        <v>0.0</v>
      </c>
      <c r="N26" s="491">
        <v>0.0</v>
      </c>
      <c r="O26" s="462">
        <f t="shared" si="2"/>
        <v>0</v>
      </c>
      <c r="P26" s="460"/>
      <c r="Q26" s="452"/>
    </row>
    <row r="27" ht="15.75" customHeight="1">
      <c r="A27" s="447" t="s">
        <v>33</v>
      </c>
      <c r="B27" s="458"/>
      <c r="C27" s="458">
        <v>150000.0</v>
      </c>
      <c r="D27" s="458">
        <v>150000.0</v>
      </c>
      <c r="E27" s="458">
        <v>150000.0</v>
      </c>
      <c r="F27" s="458">
        <v>150000.0</v>
      </c>
      <c r="G27" s="458">
        <v>150000.0</v>
      </c>
      <c r="H27" s="458">
        <v>150000.0</v>
      </c>
      <c r="I27" s="458">
        <v>150000.0</v>
      </c>
      <c r="J27" s="491">
        <v>150000.0</v>
      </c>
      <c r="K27" s="458">
        <v>150000.0</v>
      </c>
      <c r="L27" s="458">
        <v>150000.0</v>
      </c>
      <c r="M27" s="491">
        <v>150000.0</v>
      </c>
      <c r="N27" s="491">
        <v>150000.0</v>
      </c>
      <c r="O27" s="462">
        <f t="shared" si="2"/>
        <v>1800000</v>
      </c>
      <c r="P27" s="460"/>
      <c r="Q27" s="452"/>
    </row>
    <row r="28" ht="15.75" customHeight="1">
      <c r="A28" s="447" t="s">
        <v>146</v>
      </c>
      <c r="B28" s="447"/>
      <c r="C28" s="462">
        <v>0.0</v>
      </c>
      <c r="D28" s="462">
        <v>0.0</v>
      </c>
      <c r="E28" s="462">
        <v>0.0</v>
      </c>
      <c r="F28" s="462">
        <v>0.0</v>
      </c>
      <c r="G28" s="462">
        <v>0.0</v>
      </c>
      <c r="H28" s="462">
        <v>0.0</v>
      </c>
      <c r="I28" s="458">
        <v>0.0</v>
      </c>
      <c r="J28" s="458">
        <v>0.0</v>
      </c>
      <c r="K28" s="491">
        <v>0.0</v>
      </c>
      <c r="L28" s="491">
        <v>0.0</v>
      </c>
      <c r="M28" s="491">
        <v>0.0</v>
      </c>
      <c r="N28" s="491">
        <v>0.0</v>
      </c>
      <c r="O28" s="462">
        <f t="shared" si="2"/>
        <v>0</v>
      </c>
      <c r="P28" s="460"/>
      <c r="Q28" s="452"/>
    </row>
    <row r="29" ht="15.75" customHeight="1">
      <c r="A29" s="447" t="s">
        <v>147</v>
      </c>
      <c r="B29" s="447"/>
      <c r="C29" s="462">
        <v>0.0</v>
      </c>
      <c r="D29" s="462">
        <v>0.0</v>
      </c>
      <c r="E29" s="462">
        <v>0.0</v>
      </c>
      <c r="F29" s="462">
        <v>0.0</v>
      </c>
      <c r="G29" s="462">
        <v>0.0</v>
      </c>
      <c r="H29" s="462">
        <v>0.0</v>
      </c>
      <c r="I29" s="458">
        <v>0.0</v>
      </c>
      <c r="J29" s="458">
        <v>0.0</v>
      </c>
      <c r="K29" s="491">
        <v>0.0</v>
      </c>
      <c r="L29" s="491">
        <v>0.0</v>
      </c>
      <c r="M29" s="491">
        <v>0.0</v>
      </c>
      <c r="N29" s="491">
        <v>0.0</v>
      </c>
      <c r="O29" s="462">
        <f t="shared" si="2"/>
        <v>0</v>
      </c>
      <c r="P29" s="460"/>
      <c r="Q29" s="452"/>
    </row>
    <row r="30" ht="15.75" customHeight="1">
      <c r="A30" s="447" t="s">
        <v>35</v>
      </c>
      <c r="B30" s="458"/>
      <c r="C30" s="458">
        <v>936.0</v>
      </c>
      <c r="D30" s="458">
        <v>884.0</v>
      </c>
      <c r="E30" s="458">
        <v>884.0</v>
      </c>
      <c r="F30" s="458">
        <v>884.0</v>
      </c>
      <c r="G30" s="458">
        <v>884.0</v>
      </c>
      <c r="H30" s="458">
        <v>884.0</v>
      </c>
      <c r="I30" s="458">
        <v>884.0</v>
      </c>
      <c r="J30" s="491">
        <v>884.0</v>
      </c>
      <c r="K30" s="491">
        <v>884.0</v>
      </c>
      <c r="L30" s="491">
        <v>884.0</v>
      </c>
      <c r="M30" s="491">
        <v>884.0</v>
      </c>
      <c r="N30" s="491">
        <v>619.0</v>
      </c>
      <c r="O30" s="462">
        <f t="shared" si="2"/>
        <v>10395</v>
      </c>
      <c r="P30" s="460"/>
      <c r="Q30" s="452"/>
    </row>
    <row r="31" ht="15.75" customHeight="1">
      <c r="A31" s="447" t="s">
        <v>148</v>
      </c>
      <c r="B31" s="461">
        <v>0.0</v>
      </c>
      <c r="C31" s="492">
        <v>0.0</v>
      </c>
      <c r="D31" s="492">
        <v>0.0</v>
      </c>
      <c r="E31" s="492">
        <v>0.0</v>
      </c>
      <c r="F31" s="492">
        <v>0.0</v>
      </c>
      <c r="G31" s="492">
        <v>0.0</v>
      </c>
      <c r="H31" s="492">
        <v>0.0</v>
      </c>
      <c r="I31" s="458">
        <v>0.0</v>
      </c>
      <c r="J31" s="458">
        <v>0.0</v>
      </c>
      <c r="K31" s="491">
        <v>0.0</v>
      </c>
      <c r="L31" s="491">
        <v>0.0</v>
      </c>
      <c r="M31" s="491">
        <v>0.0</v>
      </c>
      <c r="N31" s="491">
        <v>0.0</v>
      </c>
      <c r="O31" s="462">
        <f t="shared" si="2"/>
        <v>0</v>
      </c>
      <c r="P31" s="460"/>
      <c r="Q31" s="452"/>
    </row>
    <row r="32" ht="15.75" customHeight="1">
      <c r="A32" s="447" t="s">
        <v>34</v>
      </c>
      <c r="B32" s="461">
        <v>0.0</v>
      </c>
      <c r="C32" s="492">
        <v>617.0</v>
      </c>
      <c r="D32" s="492">
        <v>648.0</v>
      </c>
      <c r="E32" s="492">
        <v>2838.0</v>
      </c>
      <c r="F32" s="492">
        <v>2623.0</v>
      </c>
      <c r="G32" s="492">
        <v>740.0</v>
      </c>
      <c r="H32" s="492">
        <v>260.0</v>
      </c>
      <c r="I32" s="492">
        <v>1623.0</v>
      </c>
      <c r="J32" s="493">
        <v>1073.0</v>
      </c>
      <c r="K32" s="493">
        <v>280.0</v>
      </c>
      <c r="L32" s="493">
        <v>1822.0</v>
      </c>
      <c r="M32" s="493">
        <v>389.0</v>
      </c>
      <c r="N32" s="493">
        <v>651.0</v>
      </c>
      <c r="O32" s="462">
        <f t="shared" si="2"/>
        <v>13564</v>
      </c>
      <c r="P32" s="460">
        <f>O32/$O$10</f>
        <v>0.001571774435</v>
      </c>
      <c r="Q32" s="452"/>
    </row>
    <row r="33" ht="15.75" customHeight="1">
      <c r="A33" s="447" t="s">
        <v>149</v>
      </c>
      <c r="B33" s="467"/>
      <c r="C33" s="467">
        <v>0.0</v>
      </c>
      <c r="D33" s="447">
        <v>1430.0</v>
      </c>
      <c r="E33" s="447">
        <v>60.0</v>
      </c>
      <c r="F33" s="447">
        <v>110.0</v>
      </c>
      <c r="G33" s="447">
        <v>0.0</v>
      </c>
      <c r="H33" s="447">
        <v>0.0</v>
      </c>
      <c r="I33" s="458">
        <v>0.0</v>
      </c>
      <c r="J33" s="458">
        <v>0.0</v>
      </c>
      <c r="K33" s="491">
        <v>0.0</v>
      </c>
      <c r="L33" s="491">
        <v>0.0</v>
      </c>
      <c r="M33" s="491">
        <v>0.0</v>
      </c>
      <c r="N33" s="491">
        <v>13.0</v>
      </c>
      <c r="O33" s="462">
        <f t="shared" si="2"/>
        <v>1613</v>
      </c>
      <c r="P33" s="460"/>
      <c r="Q33" s="452"/>
    </row>
    <row r="34" ht="15.75" customHeight="1">
      <c r="A34" s="447" t="s">
        <v>150</v>
      </c>
      <c r="B34" s="468"/>
      <c r="C34" s="492">
        <v>0.0</v>
      </c>
      <c r="D34" s="462">
        <v>510.0</v>
      </c>
      <c r="E34" s="462">
        <v>0.0</v>
      </c>
      <c r="F34" s="462">
        <v>0.0</v>
      </c>
      <c r="G34" s="462">
        <v>0.0</v>
      </c>
      <c r="H34" s="462">
        <v>0.0</v>
      </c>
      <c r="I34" s="458">
        <v>0.0</v>
      </c>
      <c r="J34" s="491">
        <v>4980.0</v>
      </c>
      <c r="K34" s="491">
        <v>0.0</v>
      </c>
      <c r="L34" s="491">
        <v>0.0</v>
      </c>
      <c r="M34" s="491">
        <v>0.0</v>
      </c>
      <c r="N34" s="491">
        <v>0.0</v>
      </c>
      <c r="O34" s="462">
        <f t="shared" si="2"/>
        <v>5490</v>
      </c>
      <c r="P34" s="460"/>
      <c r="Q34" s="452"/>
    </row>
    <row r="35" ht="15.75" customHeight="1">
      <c r="A35" s="447" t="s">
        <v>36</v>
      </c>
      <c r="B35" s="461">
        <v>0.0</v>
      </c>
      <c r="C35" s="462">
        <v>3808.0</v>
      </c>
      <c r="D35" s="462">
        <v>7535.0</v>
      </c>
      <c r="E35" s="462">
        <v>7485.0</v>
      </c>
      <c r="F35" s="462">
        <v>7649.0</v>
      </c>
      <c r="G35" s="462">
        <v>4954.0</v>
      </c>
      <c r="H35" s="462">
        <v>5710.0</v>
      </c>
      <c r="I35" s="462">
        <v>4826.0</v>
      </c>
      <c r="J35" s="494">
        <v>4925.0</v>
      </c>
      <c r="K35" s="494">
        <v>1291.0</v>
      </c>
      <c r="L35" s="494">
        <v>921.0</v>
      </c>
      <c r="M35" s="494">
        <v>1266.0</v>
      </c>
      <c r="N35" s="494">
        <v>8793.0</v>
      </c>
      <c r="O35" s="462">
        <f t="shared" si="2"/>
        <v>59163</v>
      </c>
      <c r="P35" s="460"/>
      <c r="Q35" s="452"/>
    </row>
    <row r="36" ht="15.75" customHeight="1">
      <c r="A36" s="447" t="s">
        <v>151</v>
      </c>
      <c r="B36" s="447"/>
      <c r="C36" s="462">
        <v>0.0</v>
      </c>
      <c r="D36" s="462">
        <v>0.0</v>
      </c>
      <c r="E36" s="462">
        <v>0.0</v>
      </c>
      <c r="F36" s="462">
        <v>0.0</v>
      </c>
      <c r="G36" s="462">
        <v>0.0</v>
      </c>
      <c r="H36" s="462">
        <v>0.0</v>
      </c>
      <c r="I36" s="458">
        <v>0.0</v>
      </c>
      <c r="J36" s="458">
        <v>0.0</v>
      </c>
      <c r="K36" s="491">
        <v>0.0</v>
      </c>
      <c r="L36" s="491">
        <v>0.0</v>
      </c>
      <c r="M36" s="491">
        <v>0.0</v>
      </c>
      <c r="N36" s="491">
        <v>0.0</v>
      </c>
      <c r="O36" s="462">
        <f t="shared" si="2"/>
        <v>0</v>
      </c>
      <c r="P36" s="460"/>
      <c r="Q36" s="452"/>
    </row>
    <row r="37" ht="15.75" customHeight="1">
      <c r="A37" s="447" t="s">
        <v>152</v>
      </c>
      <c r="B37" s="461"/>
      <c r="C37" s="462">
        <v>400.0</v>
      </c>
      <c r="D37" s="462">
        <v>0.0</v>
      </c>
      <c r="E37" s="462">
        <v>0.0</v>
      </c>
      <c r="F37" s="462">
        <v>0.0</v>
      </c>
      <c r="G37" s="462">
        <v>184.0</v>
      </c>
      <c r="H37" s="462">
        <v>0.0</v>
      </c>
      <c r="I37" s="458">
        <v>0.0</v>
      </c>
      <c r="J37" s="458">
        <v>0.0</v>
      </c>
      <c r="K37" s="491">
        <v>0.0</v>
      </c>
      <c r="L37" s="491">
        <v>0.0</v>
      </c>
      <c r="M37" s="491">
        <v>0.0</v>
      </c>
      <c r="N37" s="491">
        <v>0.0</v>
      </c>
      <c r="O37" s="462">
        <f t="shared" si="2"/>
        <v>584</v>
      </c>
      <c r="P37" s="460"/>
      <c r="Q37" s="452"/>
    </row>
    <row r="38" ht="15.75" customHeight="1">
      <c r="A38" s="469" t="s">
        <v>37</v>
      </c>
      <c r="B38" s="461">
        <v>0.2</v>
      </c>
      <c r="C38" s="462">
        <v>41890.0</v>
      </c>
      <c r="D38" s="462">
        <v>53308.0</v>
      </c>
      <c r="E38" s="462">
        <v>68772.0</v>
      </c>
      <c r="F38" s="462">
        <v>61540.0</v>
      </c>
      <c r="G38" s="462">
        <v>54165.0</v>
      </c>
      <c r="H38" s="462">
        <v>55345.0</v>
      </c>
      <c r="I38" s="462">
        <v>55348.0</v>
      </c>
      <c r="J38" s="494">
        <v>41455.0</v>
      </c>
      <c r="K38" s="494">
        <v>54987.0</v>
      </c>
      <c r="L38" s="494">
        <v>69485.0</v>
      </c>
      <c r="M38" s="494">
        <v>48150.0</v>
      </c>
      <c r="N38" s="494">
        <v>43769.0</v>
      </c>
      <c r="O38" s="462">
        <f t="shared" si="2"/>
        <v>648214</v>
      </c>
      <c r="P38" s="460"/>
      <c r="Q38" s="452"/>
    </row>
    <row r="39" ht="15.75" customHeight="1">
      <c r="A39" s="469" t="s">
        <v>218</v>
      </c>
      <c r="B39" s="461"/>
      <c r="C39" s="462">
        <v>0.0</v>
      </c>
      <c r="D39" s="462">
        <v>0.0</v>
      </c>
      <c r="E39" s="462">
        <v>30000.0</v>
      </c>
      <c r="F39" s="462">
        <v>0.0</v>
      </c>
      <c r="G39" s="462">
        <v>0.0</v>
      </c>
      <c r="H39" s="462">
        <v>0.0</v>
      </c>
      <c r="I39" s="462">
        <v>0.0</v>
      </c>
      <c r="J39" s="462">
        <v>0.0</v>
      </c>
      <c r="K39" s="491">
        <v>0.0</v>
      </c>
      <c r="L39" s="494">
        <v>0.0</v>
      </c>
      <c r="M39" s="494">
        <v>0.0</v>
      </c>
      <c r="N39" s="494">
        <v>0.0</v>
      </c>
      <c r="O39" s="462">
        <f t="shared" si="2"/>
        <v>30000</v>
      </c>
      <c r="P39" s="460">
        <f>O39/$O$10</f>
        <v>0.003476351597</v>
      </c>
      <c r="Q39" s="452"/>
    </row>
    <row r="40" ht="15.75" customHeight="1">
      <c r="A40" s="447"/>
      <c r="B40" s="447"/>
      <c r="C40" s="462">
        <v>0.0</v>
      </c>
      <c r="D40" s="462">
        <v>0.0</v>
      </c>
      <c r="E40" s="462">
        <v>0.0</v>
      </c>
      <c r="F40" s="462">
        <v>0.0</v>
      </c>
      <c r="G40" s="462">
        <v>0.0</v>
      </c>
      <c r="H40" s="462">
        <v>0.0</v>
      </c>
      <c r="I40" s="458">
        <v>0.0</v>
      </c>
      <c r="J40" s="458">
        <v>0.0</v>
      </c>
      <c r="K40" s="491">
        <v>0.0</v>
      </c>
      <c r="L40" s="491">
        <v>0.0</v>
      </c>
      <c r="M40" s="491">
        <v>0.0</v>
      </c>
      <c r="N40" s="491">
        <v>0.0</v>
      </c>
      <c r="O40" s="462">
        <f t="shared" si="2"/>
        <v>0</v>
      </c>
      <c r="P40" s="460"/>
      <c r="Q40" s="452"/>
    </row>
    <row r="41" ht="15.75" customHeight="1">
      <c r="A41" s="43"/>
      <c r="B41" s="447"/>
      <c r="C41" s="447">
        <v>0.0</v>
      </c>
      <c r="D41" s="447">
        <v>0.0</v>
      </c>
      <c r="E41" s="447">
        <v>0.0</v>
      </c>
      <c r="F41" s="447">
        <v>0.0</v>
      </c>
      <c r="G41" s="458">
        <v>0.0</v>
      </c>
      <c r="H41" s="458">
        <v>0.0</v>
      </c>
      <c r="I41" s="458">
        <v>0.0</v>
      </c>
      <c r="J41" s="458">
        <v>0.0</v>
      </c>
      <c r="K41" s="491">
        <v>0.0</v>
      </c>
      <c r="L41" s="491">
        <v>0.0</v>
      </c>
      <c r="M41" s="491">
        <v>0.0</v>
      </c>
      <c r="N41" s="491">
        <v>0.0</v>
      </c>
      <c r="O41" s="462">
        <f t="shared" si="2"/>
        <v>0</v>
      </c>
      <c r="P41" s="460"/>
      <c r="Q41" s="452"/>
    </row>
    <row r="42" ht="15.75" customHeight="1">
      <c r="A42" s="447" t="s">
        <v>153</v>
      </c>
      <c r="B42" s="447"/>
      <c r="C42" s="462">
        <f t="shared" ref="C42:N42" si="6">SUM(C12:C41)</f>
        <v>460967</v>
      </c>
      <c r="D42" s="462">
        <f t="shared" si="6"/>
        <v>458779</v>
      </c>
      <c r="E42" s="462">
        <f t="shared" si="6"/>
        <v>511850</v>
      </c>
      <c r="F42" s="462">
        <f t="shared" si="6"/>
        <v>643967</v>
      </c>
      <c r="G42" s="462">
        <f t="shared" si="6"/>
        <v>538796</v>
      </c>
      <c r="H42" s="462">
        <f t="shared" si="6"/>
        <v>533696</v>
      </c>
      <c r="I42" s="462">
        <f t="shared" si="6"/>
        <v>571140</v>
      </c>
      <c r="J42" s="462">
        <f t="shared" si="6"/>
        <v>504289</v>
      </c>
      <c r="K42" s="462">
        <f t="shared" si="6"/>
        <v>481528</v>
      </c>
      <c r="L42" s="462">
        <f t="shared" si="6"/>
        <v>522977</v>
      </c>
      <c r="M42" s="462">
        <f t="shared" si="6"/>
        <v>466674</v>
      </c>
      <c r="N42" s="462">
        <f t="shared" si="6"/>
        <v>501468</v>
      </c>
      <c r="O42" s="462">
        <f t="shared" si="2"/>
        <v>6196131</v>
      </c>
      <c r="P42" s="460">
        <f t="shared" ref="P42:P43" si="8">O42/$O$10</f>
        <v>0.7179976632</v>
      </c>
      <c r="Q42" s="452"/>
    </row>
    <row r="43" ht="15.75" customHeight="1">
      <c r="A43" s="463" t="s">
        <v>40</v>
      </c>
      <c r="B43" s="463"/>
      <c r="C43" s="465">
        <f t="shared" ref="C43:O43" si="7">C10-C42</f>
        <v>-1348</v>
      </c>
      <c r="D43" s="465">
        <f t="shared" si="7"/>
        <v>-8143</v>
      </c>
      <c r="E43" s="465">
        <f t="shared" si="7"/>
        <v>4789</v>
      </c>
      <c r="F43" s="465">
        <f t="shared" si="7"/>
        <v>144931</v>
      </c>
      <c r="G43" s="465">
        <f t="shared" si="7"/>
        <v>43141</v>
      </c>
      <c r="H43" s="465">
        <f t="shared" si="7"/>
        <v>50064</v>
      </c>
      <c r="I43" s="465">
        <f t="shared" si="7"/>
        <v>140194</v>
      </c>
      <c r="J43" s="465">
        <f t="shared" si="7"/>
        <v>126448</v>
      </c>
      <c r="K43" s="465">
        <f t="shared" si="7"/>
        <v>186969</v>
      </c>
      <c r="L43" s="465">
        <f t="shared" si="7"/>
        <v>765420</v>
      </c>
      <c r="M43" s="465">
        <f t="shared" si="7"/>
        <v>376837</v>
      </c>
      <c r="N43" s="465">
        <f t="shared" si="7"/>
        <v>604304</v>
      </c>
      <c r="O43" s="465">
        <f t="shared" si="7"/>
        <v>2433606</v>
      </c>
      <c r="P43" s="460">
        <f t="shared" si="8"/>
        <v>0.2820023368</v>
      </c>
      <c r="Q43" s="452"/>
    </row>
    <row r="44" ht="15.75" customHeight="1">
      <c r="A44" s="447" t="s">
        <v>154</v>
      </c>
      <c r="B44" s="447"/>
      <c r="C44" s="462">
        <v>0.0</v>
      </c>
      <c r="D44" s="462">
        <v>0.0</v>
      </c>
      <c r="E44" s="462">
        <v>0.0</v>
      </c>
      <c r="F44" s="462">
        <v>0.0</v>
      </c>
      <c r="G44" s="462">
        <v>0.0</v>
      </c>
      <c r="H44" s="462">
        <v>0.0</v>
      </c>
      <c r="I44" s="462">
        <v>0.0</v>
      </c>
      <c r="J44" s="494">
        <v>0.0</v>
      </c>
      <c r="K44" s="491">
        <v>0.0</v>
      </c>
      <c r="L44" s="494">
        <v>0.0</v>
      </c>
      <c r="M44" s="494">
        <v>0.0</v>
      </c>
      <c r="N44" s="462"/>
      <c r="O44" s="462">
        <f t="shared" ref="O44:O46" si="9">SUM(C44:N44)</f>
        <v>0</v>
      </c>
      <c r="P44" s="460"/>
      <c r="Q44" s="452"/>
    </row>
    <row r="45" ht="15.75" customHeight="1">
      <c r="A45" s="447" t="s">
        <v>155</v>
      </c>
      <c r="B45" s="447"/>
      <c r="C45" s="447">
        <v>0.0</v>
      </c>
      <c r="D45" s="447">
        <v>0.0</v>
      </c>
      <c r="E45" s="462">
        <v>0.0</v>
      </c>
      <c r="F45" s="447">
        <v>0.0</v>
      </c>
      <c r="G45" s="447">
        <v>0.0</v>
      </c>
      <c r="H45" s="447">
        <v>0.0</v>
      </c>
      <c r="I45" s="458">
        <v>0.0</v>
      </c>
      <c r="J45" s="496">
        <v>0.0</v>
      </c>
      <c r="K45" s="491">
        <v>0.0</v>
      </c>
      <c r="L45" s="491">
        <v>0.0</v>
      </c>
      <c r="M45" s="491">
        <v>0.0</v>
      </c>
      <c r="N45" s="458"/>
      <c r="O45" s="471">
        <f t="shared" si="9"/>
        <v>0</v>
      </c>
      <c r="P45" s="460"/>
      <c r="Q45" s="452"/>
    </row>
    <row r="46" ht="15.75" customHeight="1">
      <c r="A46" s="447" t="s">
        <v>156</v>
      </c>
      <c r="B46" s="43" t="s">
        <v>219</v>
      </c>
      <c r="C46" s="458">
        <v>0.0</v>
      </c>
      <c r="D46" s="458">
        <v>0.0</v>
      </c>
      <c r="E46" s="458">
        <v>0.0</v>
      </c>
      <c r="F46" s="458">
        <v>0.0</v>
      </c>
      <c r="G46" s="458">
        <v>0.0</v>
      </c>
      <c r="H46" s="458">
        <v>0.0</v>
      </c>
      <c r="I46" s="458">
        <v>0.0</v>
      </c>
      <c r="J46" s="491">
        <v>0.0</v>
      </c>
      <c r="K46" s="491">
        <v>0.0</v>
      </c>
      <c r="L46" s="491">
        <v>0.0</v>
      </c>
      <c r="M46" s="491">
        <v>0.0</v>
      </c>
      <c r="N46" s="458"/>
      <c r="O46" s="459">
        <f t="shared" si="9"/>
        <v>0</v>
      </c>
      <c r="P46" s="460"/>
      <c r="Q46" s="452"/>
    </row>
    <row r="47" ht="15.75" customHeight="1">
      <c r="A47" s="463" t="s">
        <v>43</v>
      </c>
      <c r="B47" s="463"/>
      <c r="C47" s="470">
        <f t="shared" ref="C47:O47" si="10">C43-C44-C45+C46</f>
        <v>-1348</v>
      </c>
      <c r="D47" s="470">
        <f t="shared" si="10"/>
        <v>-8143</v>
      </c>
      <c r="E47" s="470">
        <f t="shared" si="10"/>
        <v>4789</v>
      </c>
      <c r="F47" s="470">
        <f t="shared" si="10"/>
        <v>144931</v>
      </c>
      <c r="G47" s="470">
        <f t="shared" si="10"/>
        <v>43141</v>
      </c>
      <c r="H47" s="470">
        <f t="shared" si="10"/>
        <v>50064</v>
      </c>
      <c r="I47" s="470">
        <f t="shared" si="10"/>
        <v>140194</v>
      </c>
      <c r="J47" s="470">
        <f t="shared" si="10"/>
        <v>126448</v>
      </c>
      <c r="K47" s="470">
        <f t="shared" si="10"/>
        <v>186969</v>
      </c>
      <c r="L47" s="470">
        <f t="shared" si="10"/>
        <v>765420</v>
      </c>
      <c r="M47" s="470">
        <f t="shared" si="10"/>
        <v>376837</v>
      </c>
      <c r="N47" s="470">
        <f t="shared" si="10"/>
        <v>604304</v>
      </c>
      <c r="O47" s="470">
        <f t="shared" si="10"/>
        <v>2433606</v>
      </c>
      <c r="P47" s="460">
        <f>O47/$O$10</f>
        <v>0.2820023368</v>
      </c>
      <c r="Q47" s="452"/>
    </row>
    <row r="48" ht="15.75" customHeight="1">
      <c r="A48" s="447" t="s">
        <v>44</v>
      </c>
      <c r="B48" s="447"/>
      <c r="C48" s="447">
        <v>0.0</v>
      </c>
      <c r="D48" s="447">
        <v>0.0</v>
      </c>
      <c r="E48" s="447">
        <v>0.0</v>
      </c>
      <c r="F48" s="447">
        <v>0.0</v>
      </c>
      <c r="G48" s="447">
        <v>0.0</v>
      </c>
      <c r="H48" s="447">
        <v>0.0</v>
      </c>
      <c r="I48" s="458">
        <v>0.0</v>
      </c>
      <c r="J48" s="458">
        <v>0.0</v>
      </c>
      <c r="K48" s="491">
        <v>0.0</v>
      </c>
      <c r="L48" s="491">
        <v>0.0</v>
      </c>
      <c r="M48" s="491">
        <v>0.0</v>
      </c>
      <c r="N48" s="458"/>
      <c r="O48" s="471">
        <f t="shared" ref="O48:O49" si="11">SUM(C48:N48)</f>
        <v>0</v>
      </c>
      <c r="P48" s="460"/>
      <c r="Q48" s="452"/>
    </row>
    <row r="49" ht="15.75" customHeight="1">
      <c r="A49" s="472" t="s">
        <v>45</v>
      </c>
      <c r="B49" s="472"/>
      <c r="C49" s="472">
        <v>0.0</v>
      </c>
      <c r="D49" s="472">
        <v>0.0</v>
      </c>
      <c r="E49" s="472">
        <v>0.0</v>
      </c>
      <c r="F49" s="472">
        <v>0.0</v>
      </c>
      <c r="G49" s="472">
        <v>0.0</v>
      </c>
      <c r="H49" s="472">
        <v>0.0</v>
      </c>
      <c r="I49" s="458">
        <v>0.0</v>
      </c>
      <c r="J49" s="458">
        <v>0.0</v>
      </c>
      <c r="K49" s="491">
        <v>0.0</v>
      </c>
      <c r="L49" s="491">
        <v>0.0</v>
      </c>
      <c r="M49" s="491">
        <v>0.0</v>
      </c>
      <c r="N49" s="458"/>
      <c r="O49" s="497">
        <f t="shared" si="11"/>
        <v>0</v>
      </c>
      <c r="P49" s="460"/>
      <c r="Q49" s="452"/>
      <c r="R49" s="440"/>
      <c r="S49" s="443"/>
      <c r="T49" s="444"/>
    </row>
    <row r="50" ht="39.0" customHeight="1">
      <c r="A50" s="463" t="s">
        <v>157</v>
      </c>
      <c r="B50" s="463"/>
      <c r="C50" s="465">
        <f t="shared" ref="C50:O50" si="12">C47+C48-C49</f>
        <v>-1348</v>
      </c>
      <c r="D50" s="465">
        <f t="shared" si="12"/>
        <v>-8143</v>
      </c>
      <c r="E50" s="465">
        <f t="shared" si="12"/>
        <v>4789</v>
      </c>
      <c r="F50" s="465">
        <f t="shared" si="12"/>
        <v>144931</v>
      </c>
      <c r="G50" s="465">
        <f t="shared" si="12"/>
        <v>43141</v>
      </c>
      <c r="H50" s="465">
        <f t="shared" si="12"/>
        <v>50064</v>
      </c>
      <c r="I50" s="465">
        <f t="shared" si="12"/>
        <v>140194</v>
      </c>
      <c r="J50" s="465">
        <f t="shared" si="12"/>
        <v>126448</v>
      </c>
      <c r="K50" s="465">
        <f t="shared" si="12"/>
        <v>186969</v>
      </c>
      <c r="L50" s="465">
        <f t="shared" si="12"/>
        <v>765420</v>
      </c>
      <c r="M50" s="465">
        <f t="shared" si="12"/>
        <v>376837</v>
      </c>
      <c r="N50" s="465">
        <f t="shared" si="12"/>
        <v>604304</v>
      </c>
      <c r="O50" s="465">
        <f t="shared" si="12"/>
        <v>2433606</v>
      </c>
      <c r="P50" s="460">
        <f>O50/$O$10</f>
        <v>0.2820023368</v>
      </c>
      <c r="Q50" s="452"/>
      <c r="R50" s="440"/>
      <c r="S50" s="443"/>
      <c r="T50" s="444"/>
    </row>
    <row r="51" ht="15.75" customHeight="1">
      <c r="A51" s="478"/>
      <c r="B51" s="452"/>
      <c r="C51" s="479"/>
      <c r="D51" s="479"/>
      <c r="E51" s="479"/>
      <c r="F51" s="479"/>
      <c r="G51" s="479"/>
      <c r="H51" s="479"/>
      <c r="I51" s="479"/>
      <c r="J51" s="479"/>
      <c r="K51" s="479"/>
      <c r="L51" s="479"/>
      <c r="M51" s="479"/>
      <c r="N51" s="479"/>
      <c r="O51" s="479"/>
      <c r="P51" s="452"/>
      <c r="Q51" s="452"/>
      <c r="R51" s="440"/>
      <c r="S51" s="443"/>
    </row>
    <row r="52" ht="15.75" customHeight="1">
      <c r="A52" s="478"/>
      <c r="B52" s="452"/>
      <c r="C52" s="457"/>
      <c r="D52" s="457"/>
      <c r="E52" s="457"/>
      <c r="F52" s="457"/>
      <c r="G52" s="457"/>
      <c r="H52" s="457"/>
      <c r="I52" s="457"/>
      <c r="J52" s="457"/>
      <c r="K52" s="457"/>
      <c r="L52" s="457"/>
      <c r="M52" s="457"/>
      <c r="N52" s="457"/>
      <c r="O52" s="457"/>
      <c r="P52" s="452"/>
      <c r="Q52" s="452"/>
    </row>
    <row r="53" ht="15.75" customHeight="1">
      <c r="B53" s="440"/>
      <c r="G53" s="443"/>
      <c r="H53" s="443"/>
      <c r="I53" s="443"/>
      <c r="J53" s="443"/>
      <c r="K53" s="443"/>
      <c r="L53" s="443"/>
      <c r="M53" s="443"/>
      <c r="N53" s="443"/>
    </row>
    <row r="54" ht="15.75" customHeight="1">
      <c r="B54" s="440"/>
    </row>
    <row r="55" ht="15.75" customHeight="1">
      <c r="B55" s="480" t="s">
        <v>160</v>
      </c>
      <c r="C55" s="481">
        <f t="shared" ref="C55:N55" si="13">C61*C62*C63*C64</f>
        <v>0</v>
      </c>
      <c r="D55" s="481">
        <f t="shared" si="13"/>
        <v>0</v>
      </c>
      <c r="E55" s="481">
        <f t="shared" si="13"/>
        <v>0</v>
      </c>
      <c r="F55" s="481">
        <f t="shared" si="13"/>
        <v>0</v>
      </c>
      <c r="G55" s="481">
        <f t="shared" si="13"/>
        <v>0</v>
      </c>
      <c r="H55" s="481">
        <f t="shared" si="13"/>
        <v>0</v>
      </c>
      <c r="I55" s="481">
        <f t="shared" si="13"/>
        <v>0</v>
      </c>
      <c r="J55" s="481">
        <f t="shared" si="13"/>
        <v>0</v>
      </c>
      <c r="K55" s="481">
        <f t="shared" si="13"/>
        <v>0</v>
      </c>
      <c r="L55" s="481">
        <f t="shared" si="13"/>
        <v>0</v>
      </c>
      <c r="M55" s="481">
        <f t="shared" si="13"/>
        <v>0</v>
      </c>
      <c r="N55" s="481">
        <f t="shared" si="13"/>
        <v>0</v>
      </c>
    </row>
    <row r="56" ht="15.75" customHeight="1">
      <c r="B56" s="480" t="s">
        <v>161</v>
      </c>
      <c r="C56" s="482"/>
      <c r="D56" s="482"/>
      <c r="E56" s="482"/>
      <c r="F56" s="482"/>
      <c r="G56" s="482"/>
      <c r="H56" s="482"/>
      <c r="I56" s="482"/>
      <c r="J56" s="482"/>
      <c r="K56" s="482"/>
      <c r="L56" s="482"/>
      <c r="M56" s="482"/>
      <c r="N56" s="482"/>
    </row>
    <row r="57" ht="15.75" customHeight="1">
      <c r="B57" s="440"/>
    </row>
    <row r="58" ht="15.75" customHeight="1">
      <c r="B58" s="480" t="s">
        <v>162</v>
      </c>
      <c r="C58" s="481">
        <f t="shared" ref="C58:N58" si="14">C68*C69*C70*C71</f>
        <v>420183.72</v>
      </c>
      <c r="D58" s="481">
        <f t="shared" si="14"/>
        <v>401084.46</v>
      </c>
      <c r="E58" s="481">
        <f t="shared" si="14"/>
        <v>420183.72</v>
      </c>
      <c r="F58" s="481">
        <f t="shared" si="14"/>
        <v>732138.3</v>
      </c>
      <c r="G58" s="481">
        <f t="shared" si="14"/>
        <v>732138.3</v>
      </c>
      <c r="H58" s="481">
        <f t="shared" si="14"/>
        <v>732138.3</v>
      </c>
      <c r="I58" s="481">
        <f t="shared" si="14"/>
        <v>668474.1</v>
      </c>
      <c r="J58" s="481">
        <f t="shared" si="14"/>
        <v>636642</v>
      </c>
      <c r="K58" s="481">
        <f t="shared" si="14"/>
        <v>668474.1</v>
      </c>
      <c r="L58" s="481">
        <f t="shared" si="14"/>
        <v>700306.2</v>
      </c>
      <c r="M58" s="481">
        <f t="shared" si="14"/>
        <v>700306.2</v>
      </c>
      <c r="N58" s="481">
        <f t="shared" si="14"/>
        <v>700306.2</v>
      </c>
    </row>
    <row r="59" ht="15.75" customHeight="1"/>
    <row r="60" ht="15.75" customHeight="1">
      <c r="B60" s="440" t="s">
        <v>163</v>
      </c>
    </row>
    <row r="61" ht="15.75" customHeight="1">
      <c r="B61" s="480" t="s">
        <v>164</v>
      </c>
      <c r="C61" s="482"/>
      <c r="D61" s="482"/>
      <c r="E61" s="482"/>
      <c r="F61" s="482"/>
      <c r="G61" s="482"/>
      <c r="H61" s="482"/>
      <c r="I61" s="482"/>
      <c r="J61" s="482"/>
      <c r="K61" s="482"/>
      <c r="L61" s="482"/>
      <c r="M61" s="482"/>
      <c r="N61" s="482"/>
    </row>
    <row r="62" ht="15.75" customHeight="1">
      <c r="B62" s="480" t="s">
        <v>165</v>
      </c>
      <c r="C62" s="483"/>
      <c r="D62" s="483"/>
      <c r="E62" s="483"/>
      <c r="F62" s="483"/>
      <c r="G62" s="483"/>
      <c r="H62" s="483"/>
      <c r="I62" s="483"/>
      <c r="J62" s="483"/>
      <c r="K62" s="483"/>
      <c r="L62" s="483"/>
      <c r="M62" s="483"/>
      <c r="N62" s="483"/>
    </row>
    <row r="63" ht="15.75" customHeight="1">
      <c r="B63" s="480" t="s">
        <v>166</v>
      </c>
      <c r="C63" s="482"/>
      <c r="D63" s="482"/>
      <c r="E63" s="482"/>
      <c r="F63" s="482"/>
      <c r="G63" s="482"/>
      <c r="H63" s="482"/>
      <c r="I63" s="482"/>
      <c r="J63" s="482"/>
      <c r="K63" s="482"/>
      <c r="L63" s="482"/>
      <c r="M63" s="482"/>
      <c r="N63" s="482"/>
    </row>
    <row r="64" ht="15.75" customHeight="1">
      <c r="B64" s="480" t="s">
        <v>167</v>
      </c>
      <c r="C64" s="481"/>
      <c r="D64" s="481"/>
      <c r="E64" s="481"/>
      <c r="F64" s="481"/>
      <c r="G64" s="481"/>
      <c r="H64" s="481"/>
      <c r="I64" s="481"/>
      <c r="J64" s="481"/>
      <c r="K64" s="481"/>
      <c r="L64" s="481"/>
      <c r="M64" s="481"/>
      <c r="N64" s="481"/>
    </row>
    <row r="65" ht="15.75" customHeight="1">
      <c r="B65" s="480" t="s">
        <v>168</v>
      </c>
      <c r="C65" s="481"/>
      <c r="D65" s="481"/>
      <c r="E65" s="481"/>
      <c r="F65" s="481"/>
      <c r="G65" s="481"/>
      <c r="H65" s="481"/>
      <c r="I65" s="481"/>
      <c r="J65" s="481"/>
      <c r="K65" s="481"/>
      <c r="L65" s="481"/>
      <c r="M65" s="481"/>
      <c r="N65" s="481"/>
    </row>
    <row r="66" ht="15.75" customHeight="1"/>
    <row r="67" ht="15.75" customHeight="1">
      <c r="B67" s="440" t="s">
        <v>169</v>
      </c>
    </row>
    <row r="68" ht="15.75" customHeight="1">
      <c r="B68" s="480" t="s">
        <v>164</v>
      </c>
      <c r="C68" s="482">
        <v>22.0</v>
      </c>
      <c r="D68" s="482">
        <v>21.0</v>
      </c>
      <c r="E68" s="482">
        <v>22.0</v>
      </c>
      <c r="F68" s="482">
        <v>23.0</v>
      </c>
      <c r="G68" s="482">
        <v>23.0</v>
      </c>
      <c r="H68" s="482">
        <v>23.0</v>
      </c>
      <c r="I68" s="482">
        <v>21.0</v>
      </c>
      <c r="J68" s="482">
        <v>20.0</v>
      </c>
      <c r="K68" s="482">
        <v>21.0</v>
      </c>
      <c r="L68" s="482">
        <v>22.0</v>
      </c>
      <c r="M68" s="482">
        <v>22.0</v>
      </c>
      <c r="N68" s="482">
        <v>22.0</v>
      </c>
    </row>
    <row r="69" ht="15.75" customHeight="1">
      <c r="B69" s="480" t="s">
        <v>165</v>
      </c>
      <c r="C69" s="483">
        <v>0.5</v>
      </c>
      <c r="D69" s="483">
        <v>0.5</v>
      </c>
      <c r="E69" s="483">
        <v>0.5</v>
      </c>
      <c r="F69" s="483">
        <v>0.5</v>
      </c>
      <c r="G69" s="483">
        <v>0.5</v>
      </c>
      <c r="H69" s="483">
        <v>0.5</v>
      </c>
      <c r="I69" s="483">
        <v>0.5</v>
      </c>
      <c r="J69" s="483">
        <v>0.5</v>
      </c>
      <c r="K69" s="483">
        <v>0.5</v>
      </c>
      <c r="L69" s="483">
        <v>0.5</v>
      </c>
      <c r="M69" s="483">
        <v>0.5</v>
      </c>
      <c r="N69" s="483">
        <v>0.5</v>
      </c>
    </row>
    <row r="70" ht="33.75" customHeight="1">
      <c r="B70" s="499" t="s">
        <v>170</v>
      </c>
      <c r="C70" s="500">
        <v>6.0</v>
      </c>
      <c r="D70" s="500">
        <v>6.0</v>
      </c>
      <c r="E70" s="500">
        <v>6.0</v>
      </c>
      <c r="F70" s="500">
        <v>10.0</v>
      </c>
      <c r="G70" s="500">
        <v>10.0</v>
      </c>
      <c r="H70" s="500">
        <v>10.0</v>
      </c>
      <c r="I70" s="500">
        <v>10.0</v>
      </c>
      <c r="J70" s="500">
        <v>10.0</v>
      </c>
      <c r="K70" s="500">
        <v>10.0</v>
      </c>
      <c r="L70" s="500">
        <v>10.0</v>
      </c>
      <c r="M70" s="500">
        <v>10.0</v>
      </c>
      <c r="N70" s="500">
        <v>10.0</v>
      </c>
    </row>
    <row r="71" ht="15.75" customHeight="1">
      <c r="B71" s="480" t="s">
        <v>171</v>
      </c>
      <c r="C71" s="481">
        <f>'単位計算'!$G$23</f>
        <v>6366.42</v>
      </c>
      <c r="D71" s="481">
        <f>'単位計算'!$G$23</f>
        <v>6366.42</v>
      </c>
      <c r="E71" s="481">
        <f>'単位計算'!$G$23</f>
        <v>6366.42</v>
      </c>
      <c r="F71" s="481">
        <f>'単位計算'!$G$23</f>
        <v>6366.42</v>
      </c>
      <c r="G71" s="481">
        <f>'単位計算'!$G$23</f>
        <v>6366.42</v>
      </c>
      <c r="H71" s="481">
        <f>'単位計算'!$G$23</f>
        <v>6366.42</v>
      </c>
      <c r="I71" s="481">
        <f>'単位計算'!$G$23</f>
        <v>6366.42</v>
      </c>
      <c r="J71" s="481">
        <f>'単位計算'!$G$23</f>
        <v>6366.42</v>
      </c>
      <c r="K71" s="481">
        <f>'単位計算'!$G$23</f>
        <v>6366.42</v>
      </c>
      <c r="L71" s="481">
        <f>'単位計算'!$G$23</f>
        <v>6366.42</v>
      </c>
      <c r="M71" s="481">
        <f>'単位計算'!$G$23</f>
        <v>6366.42</v>
      </c>
      <c r="N71" s="481">
        <f>'単位計算'!$G$23</f>
        <v>6366.42</v>
      </c>
    </row>
    <row r="72" ht="15.75" customHeight="1">
      <c r="B72" s="480" t="s">
        <v>168</v>
      </c>
      <c r="C72" s="481">
        <f>C68*C69*C70*'単位計算'!$G$21</f>
        <v>41316</v>
      </c>
      <c r="D72" s="481">
        <f>D68*D69*D70*'単位計算'!$G$21</f>
        <v>39438</v>
      </c>
      <c r="E72" s="481">
        <f>E68*E69*E70*'単位計算'!$G$21</f>
        <v>41316</v>
      </c>
      <c r="F72" s="481">
        <f>F68*F69*F70*'単位計算'!$G$21</f>
        <v>71990</v>
      </c>
      <c r="G72" s="481">
        <f>G68*G69*G70*'単位計算'!$G$21</f>
        <v>71990</v>
      </c>
      <c r="H72" s="481">
        <f>H68*H69*H70*'単位計算'!$G$21</f>
        <v>71990</v>
      </c>
      <c r="I72" s="481">
        <f>I68*I69*I70*'単位計算'!$G$21</f>
        <v>65730</v>
      </c>
      <c r="J72" s="481">
        <f>J68*J69*J70*'単位計算'!$G$21</f>
        <v>62600</v>
      </c>
      <c r="K72" s="481">
        <f>K68*K69*K70*'単位計算'!$G$21</f>
        <v>65730</v>
      </c>
      <c r="L72" s="481">
        <f>L68*L69*L70*'単位計算'!$G$21</f>
        <v>68860</v>
      </c>
      <c r="M72" s="481">
        <f>M68*M69*M70*'単位計算'!$G$21</f>
        <v>68860</v>
      </c>
      <c r="N72" s="481">
        <f>N68*N69*N70*'単位計算'!$G$21</f>
        <v>68860</v>
      </c>
    </row>
    <row r="73" ht="15.75" customHeight="1"/>
    <row r="74" ht="15.75" customHeight="1">
      <c r="B74" s="480" t="s">
        <v>172</v>
      </c>
      <c r="C74" s="481">
        <f>C65*'単位計算'!$C$25*'単位計算'!$C$22</f>
        <v>0</v>
      </c>
      <c r="D74" s="481">
        <f>D65*'単位計算'!$C$25*'単位計算'!$C$22</f>
        <v>0</v>
      </c>
      <c r="E74" s="481">
        <f>E65*'単位計算'!$C$25*'単位計算'!$C$22</f>
        <v>0</v>
      </c>
      <c r="F74" s="481">
        <f>F65*'単位計算'!$C$25*'単位計算'!$C$22</f>
        <v>0</v>
      </c>
      <c r="G74" s="481">
        <f>G65*'単位計算'!$C$25*'単位計算'!$C$22</f>
        <v>0</v>
      </c>
      <c r="H74" s="481">
        <f>H65*'単位計算'!$C$25*'単位計算'!$C$22</f>
        <v>0</v>
      </c>
      <c r="I74" s="481">
        <f>I65*'単位計算'!$C$25*'単位計算'!$C$22</f>
        <v>0</v>
      </c>
      <c r="J74" s="481">
        <f>J65*'単位計算'!$C$25*'単位計算'!$C$22</f>
        <v>0</v>
      </c>
      <c r="K74" s="481">
        <f>K65*'単位計算'!$C$25*'単位計算'!$C$22</f>
        <v>0</v>
      </c>
      <c r="L74" s="481">
        <f>L65*'単位計算'!$C$25*'単位計算'!$C$22</f>
        <v>0</v>
      </c>
      <c r="M74" s="481">
        <f>M65*'単位計算'!$C$25*'単位計算'!$C$22</f>
        <v>0</v>
      </c>
      <c r="N74" s="481">
        <f>N65*'単位計算'!$C$25*'単位計算'!$C$22</f>
        <v>0</v>
      </c>
    </row>
    <row r="75" ht="15.75" customHeight="1">
      <c r="B75" s="480" t="s">
        <v>173</v>
      </c>
      <c r="C75" s="481">
        <f>C72*'単位計算'!$G$25*'単位計算'!$G$22</f>
        <v>39077.08596</v>
      </c>
      <c r="D75" s="481">
        <f>D72*'単位計算'!$G$25*'単位計算'!$G$22</f>
        <v>37300.85478</v>
      </c>
      <c r="E75" s="481">
        <f>E72*'単位計算'!$G$25*'単位計算'!$G$22</f>
        <v>39077.08596</v>
      </c>
      <c r="F75" s="481">
        <f>F72*'単位計算'!$G$25*'単位計算'!$G$22</f>
        <v>68088.8619</v>
      </c>
      <c r="G75" s="481">
        <f>G72*'単位計算'!$G$25*'単位計算'!$G$22</f>
        <v>68088.8619</v>
      </c>
      <c r="H75" s="481">
        <f>H72*'単位計算'!$G$25*'単位計算'!$G$22</f>
        <v>68088.8619</v>
      </c>
      <c r="I75" s="481">
        <f>I72*'単位計算'!$G$25*'単位計算'!$G$22</f>
        <v>62168.0913</v>
      </c>
      <c r="J75" s="481">
        <f>J72*'単位計算'!$G$25*'単位計算'!$G$22</f>
        <v>59207.706</v>
      </c>
      <c r="K75" s="481">
        <f>K72*'単位計算'!$G$25*'単位計算'!$G$22</f>
        <v>62168.0913</v>
      </c>
      <c r="L75" s="481">
        <f>L72*'単位計算'!$G$25*'単位計算'!$G$22</f>
        <v>65128.4766</v>
      </c>
      <c r="M75" s="481">
        <f>M72*'単位計算'!$G$25*'単位計算'!$G$22</f>
        <v>65128.4766</v>
      </c>
      <c r="N75" s="481">
        <f>N72*'単位計算'!$G$25*'単位計算'!$G$22</f>
        <v>65128.4766</v>
      </c>
    </row>
    <row r="76" ht="15.75" customHeight="1">
      <c r="B76" s="440"/>
    </row>
    <row r="77" ht="15.75" customHeight="1"/>
    <row r="78" ht="33.0" customHeight="1">
      <c r="B78" s="499" t="s">
        <v>220</v>
      </c>
      <c r="C78" s="502">
        <v>20000.0</v>
      </c>
      <c r="D78" s="502">
        <v>20000.0</v>
      </c>
      <c r="E78" s="502">
        <v>20000.0</v>
      </c>
      <c r="F78" s="502">
        <v>20000.0</v>
      </c>
      <c r="G78" s="502">
        <v>20000.0</v>
      </c>
      <c r="H78" s="502">
        <v>20000.0</v>
      </c>
      <c r="I78" s="502">
        <v>20000.0</v>
      </c>
      <c r="J78" s="502">
        <v>20000.0</v>
      </c>
      <c r="K78" s="502">
        <v>20000.0</v>
      </c>
      <c r="L78" s="502">
        <v>20000.0</v>
      </c>
      <c r="M78" s="502">
        <v>20000.0</v>
      </c>
      <c r="N78" s="502">
        <v>20000.0</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DE9D9"/>
    <outlinePr summaryBelow="0" summaryRight="0"/>
    <pageSetUpPr/>
  </sheetPr>
  <sheetViews>
    <sheetView workbookViewId="0"/>
  </sheetViews>
  <sheetFormatPr customHeight="1" defaultColWidth="14.43" defaultRowHeight="15.0"/>
  <cols>
    <col customWidth="1" min="1" max="1" width="33.71"/>
    <col customWidth="1" min="2" max="2" width="22.14"/>
    <col customWidth="1" min="3" max="20" width="14.43"/>
  </cols>
  <sheetData>
    <row r="1" ht="15.75" customHeight="1">
      <c r="A1" s="447"/>
      <c r="B1" s="448" t="s">
        <v>116</v>
      </c>
      <c r="C1" s="501" t="s">
        <v>221</v>
      </c>
      <c r="D1" s="501" t="s">
        <v>205</v>
      </c>
      <c r="E1" s="501" t="s">
        <v>222</v>
      </c>
      <c r="F1" s="501" t="s">
        <v>223</v>
      </c>
      <c r="G1" s="501" t="s">
        <v>224</v>
      </c>
      <c r="H1" s="501" t="s">
        <v>225</v>
      </c>
      <c r="I1" s="501" t="s">
        <v>226</v>
      </c>
      <c r="J1" s="450" t="s">
        <v>124</v>
      </c>
      <c r="K1" s="450" t="s">
        <v>125</v>
      </c>
      <c r="L1" s="450" t="s">
        <v>126</v>
      </c>
      <c r="M1" s="450" t="s">
        <v>127</v>
      </c>
      <c r="N1" s="501" t="s">
        <v>190</v>
      </c>
      <c r="O1" s="447" t="s">
        <v>129</v>
      </c>
      <c r="P1" s="452"/>
      <c r="Q1" s="452"/>
    </row>
    <row r="2" ht="15.75" customHeight="1">
      <c r="A2" s="453"/>
      <c r="B2" s="454"/>
      <c r="C2" s="455"/>
      <c r="D2" s="455"/>
      <c r="E2" s="455"/>
      <c r="F2" s="455"/>
      <c r="G2" s="455"/>
      <c r="H2" s="455"/>
      <c r="I2" s="455"/>
      <c r="J2" s="455"/>
      <c r="K2" s="455"/>
      <c r="L2" s="455"/>
      <c r="M2" s="455"/>
      <c r="N2" s="455"/>
      <c r="O2" s="456">
        <f t="shared" ref="O2:O42" si="2">SUM(C2:N2)</f>
        <v>0</v>
      </c>
      <c r="P2" s="457"/>
      <c r="Q2" s="452"/>
    </row>
    <row r="3" ht="15.75" customHeight="1">
      <c r="A3" s="447" t="s">
        <v>130</v>
      </c>
      <c r="B3" s="447"/>
      <c r="C3" s="458">
        <f t="shared" ref="C3:N3" si="1">SUM(C4:C8)</f>
        <v>0</v>
      </c>
      <c r="D3" s="458">
        <f t="shared" si="1"/>
        <v>0</v>
      </c>
      <c r="E3" s="458">
        <f t="shared" si="1"/>
        <v>0</v>
      </c>
      <c r="F3" s="458">
        <f t="shared" si="1"/>
        <v>0</v>
      </c>
      <c r="G3" s="458">
        <f t="shared" si="1"/>
        <v>0</v>
      </c>
      <c r="H3" s="458">
        <f t="shared" si="1"/>
        <v>0</v>
      </c>
      <c r="I3" s="458">
        <f t="shared" si="1"/>
        <v>1</v>
      </c>
      <c r="J3" s="458">
        <f t="shared" si="1"/>
        <v>-1</v>
      </c>
      <c r="K3" s="458">
        <f t="shared" si="1"/>
        <v>0</v>
      </c>
      <c r="L3" s="458">
        <f t="shared" si="1"/>
        <v>0</v>
      </c>
      <c r="M3" s="458">
        <f t="shared" si="1"/>
        <v>0</v>
      </c>
      <c r="N3" s="458">
        <f t="shared" si="1"/>
        <v>0</v>
      </c>
      <c r="O3" s="459">
        <f t="shared" si="2"/>
        <v>0</v>
      </c>
      <c r="P3" s="460"/>
      <c r="Q3" s="452"/>
    </row>
    <row r="4" ht="15.75" customHeight="1">
      <c r="A4" s="43" t="s">
        <v>10</v>
      </c>
      <c r="B4" s="447"/>
      <c r="C4" s="437">
        <v>0.0</v>
      </c>
      <c r="D4" s="437">
        <v>0.0</v>
      </c>
      <c r="E4" s="437">
        <v>0.0</v>
      </c>
      <c r="F4" s="437">
        <v>0.0</v>
      </c>
      <c r="G4" s="437">
        <v>0.0</v>
      </c>
      <c r="H4" s="437">
        <v>0.0</v>
      </c>
      <c r="I4" s="437">
        <v>0.0</v>
      </c>
      <c r="J4" s="437">
        <v>0.0</v>
      </c>
      <c r="K4" s="490">
        <v>0.0</v>
      </c>
      <c r="L4" s="490">
        <v>0.0</v>
      </c>
      <c r="M4" s="490">
        <v>0.0</v>
      </c>
      <c r="N4" s="437"/>
      <c r="O4" s="459">
        <f t="shared" si="2"/>
        <v>0</v>
      </c>
      <c r="P4" s="460"/>
      <c r="Q4" s="452"/>
    </row>
    <row r="5" ht="15.75" customHeight="1">
      <c r="A5" s="43" t="s">
        <v>11</v>
      </c>
      <c r="B5" s="447"/>
      <c r="C5" s="458">
        <v>0.0</v>
      </c>
      <c r="D5" s="458">
        <v>0.0</v>
      </c>
      <c r="E5" s="458">
        <v>0.0</v>
      </c>
      <c r="F5" s="458">
        <v>0.0</v>
      </c>
      <c r="G5" s="458">
        <v>0.0</v>
      </c>
      <c r="H5" s="458">
        <v>0.0</v>
      </c>
      <c r="I5" s="458">
        <v>0.0</v>
      </c>
      <c r="J5" s="458">
        <v>0.0</v>
      </c>
      <c r="K5" s="491">
        <v>0.0</v>
      </c>
      <c r="L5" s="491">
        <v>0.0</v>
      </c>
      <c r="M5" s="491">
        <v>0.0</v>
      </c>
      <c r="N5" s="458"/>
      <c r="O5" s="459">
        <f t="shared" si="2"/>
        <v>0</v>
      </c>
      <c r="P5" s="460"/>
      <c r="Q5" s="452"/>
    </row>
    <row r="6" ht="15.75" customHeight="1">
      <c r="A6" s="43" t="s">
        <v>12</v>
      </c>
      <c r="B6" s="447"/>
      <c r="C6" s="458">
        <v>0.0</v>
      </c>
      <c r="D6" s="458">
        <v>0.0</v>
      </c>
      <c r="E6" s="458">
        <v>0.0</v>
      </c>
      <c r="F6" s="458">
        <v>0.0</v>
      </c>
      <c r="G6" s="458">
        <v>0.0</v>
      </c>
      <c r="H6" s="458">
        <v>0.0</v>
      </c>
      <c r="I6" s="458">
        <v>0.0</v>
      </c>
      <c r="J6" s="458">
        <v>0.0</v>
      </c>
      <c r="K6" s="491">
        <v>0.0</v>
      </c>
      <c r="L6" s="491">
        <v>0.0</v>
      </c>
      <c r="M6" s="491">
        <v>0.0</v>
      </c>
      <c r="N6" s="458"/>
      <c r="O6" s="459">
        <f t="shared" si="2"/>
        <v>0</v>
      </c>
      <c r="P6" s="460"/>
      <c r="Q6" s="452"/>
    </row>
    <row r="7" ht="15.75" customHeight="1">
      <c r="A7" s="43" t="s">
        <v>13</v>
      </c>
      <c r="B7" s="447"/>
      <c r="C7" s="458">
        <v>0.0</v>
      </c>
      <c r="D7" s="458">
        <v>0.0</v>
      </c>
      <c r="E7" s="458">
        <v>0.0</v>
      </c>
      <c r="F7" s="458">
        <v>0.0</v>
      </c>
      <c r="G7" s="458">
        <v>0.0</v>
      </c>
      <c r="H7" s="458">
        <v>0.0</v>
      </c>
      <c r="I7" s="458">
        <v>0.0</v>
      </c>
      <c r="J7" s="458">
        <v>0.0</v>
      </c>
      <c r="K7" s="491">
        <v>0.0</v>
      </c>
      <c r="L7" s="491">
        <v>0.0</v>
      </c>
      <c r="M7" s="491">
        <v>0.0</v>
      </c>
      <c r="N7" s="458"/>
      <c r="O7" s="459">
        <f t="shared" si="2"/>
        <v>0</v>
      </c>
      <c r="P7" s="460"/>
      <c r="Q7" s="452"/>
    </row>
    <row r="8" ht="15.75" customHeight="1">
      <c r="A8" s="43" t="s">
        <v>16</v>
      </c>
      <c r="B8" s="447"/>
      <c r="C8" s="458">
        <v>0.0</v>
      </c>
      <c r="D8" s="458">
        <v>0.0</v>
      </c>
      <c r="E8" s="458">
        <v>0.0</v>
      </c>
      <c r="F8" s="458">
        <v>0.0</v>
      </c>
      <c r="G8" s="458">
        <v>0.0</v>
      </c>
      <c r="H8" s="458">
        <v>0.0</v>
      </c>
      <c r="I8" s="491">
        <v>1.0</v>
      </c>
      <c r="J8" s="491">
        <v>-1.0</v>
      </c>
      <c r="K8" s="491">
        <v>0.0</v>
      </c>
      <c r="L8" s="491">
        <v>0.0</v>
      </c>
      <c r="M8" s="491">
        <v>0.0</v>
      </c>
      <c r="N8" s="458"/>
      <c r="O8" s="459">
        <f t="shared" si="2"/>
        <v>0</v>
      </c>
      <c r="P8" s="460"/>
      <c r="Q8" s="452"/>
    </row>
    <row r="9" ht="15.75" customHeight="1">
      <c r="A9" s="447" t="s">
        <v>131</v>
      </c>
      <c r="B9" s="461"/>
      <c r="C9" s="492">
        <v>0.0</v>
      </c>
      <c r="D9" s="492">
        <v>0.0</v>
      </c>
      <c r="E9" s="492">
        <v>0.0</v>
      </c>
      <c r="F9" s="492">
        <v>0.0</v>
      </c>
      <c r="G9" s="492">
        <v>0.0</v>
      </c>
      <c r="H9" s="492">
        <v>0.0</v>
      </c>
      <c r="I9" s="492">
        <v>0.0</v>
      </c>
      <c r="J9" s="491">
        <v>-1.0</v>
      </c>
      <c r="K9" s="493">
        <v>0.0</v>
      </c>
      <c r="L9" s="493">
        <v>0.0</v>
      </c>
      <c r="M9" s="493">
        <v>0.0</v>
      </c>
      <c r="N9" s="492"/>
      <c r="O9" s="462">
        <f t="shared" si="2"/>
        <v>-1</v>
      </c>
      <c r="P9" s="460"/>
      <c r="Q9" s="452"/>
    </row>
    <row r="10" ht="17.25" customHeight="1">
      <c r="A10" s="463" t="s">
        <v>132</v>
      </c>
      <c r="B10" s="464"/>
      <c r="C10" s="465">
        <f t="shared" ref="C10:N10" si="3">C2+C3-C9</f>
        <v>0</v>
      </c>
      <c r="D10" s="465">
        <f t="shared" si="3"/>
        <v>0</v>
      </c>
      <c r="E10" s="465">
        <f t="shared" si="3"/>
        <v>0</v>
      </c>
      <c r="F10" s="465">
        <f t="shared" si="3"/>
        <v>0</v>
      </c>
      <c r="G10" s="465">
        <f t="shared" si="3"/>
        <v>0</v>
      </c>
      <c r="H10" s="465">
        <f t="shared" si="3"/>
        <v>0</v>
      </c>
      <c r="I10" s="465">
        <f t="shared" si="3"/>
        <v>1</v>
      </c>
      <c r="J10" s="465">
        <f t="shared" si="3"/>
        <v>0</v>
      </c>
      <c r="K10" s="465">
        <f t="shared" si="3"/>
        <v>0</v>
      </c>
      <c r="L10" s="465">
        <f t="shared" si="3"/>
        <v>0</v>
      </c>
      <c r="M10" s="465">
        <f t="shared" si="3"/>
        <v>0</v>
      </c>
      <c r="N10" s="465">
        <f t="shared" si="3"/>
        <v>0</v>
      </c>
      <c r="O10" s="465">
        <f t="shared" si="2"/>
        <v>1</v>
      </c>
      <c r="P10" s="460"/>
      <c r="Q10" s="452"/>
    </row>
    <row r="11" ht="15.75" customHeight="1">
      <c r="A11" s="43" t="s">
        <v>99</v>
      </c>
      <c r="B11" s="447"/>
      <c r="C11" s="458">
        <f t="shared" ref="C11:N11" si="4">C6</f>
        <v>0</v>
      </c>
      <c r="D11" s="458">
        <f t="shared" si="4"/>
        <v>0</v>
      </c>
      <c r="E11" s="458">
        <f t="shared" si="4"/>
        <v>0</v>
      </c>
      <c r="F11" s="458">
        <f t="shared" si="4"/>
        <v>0</v>
      </c>
      <c r="G11" s="458">
        <f t="shared" si="4"/>
        <v>0</v>
      </c>
      <c r="H11" s="458">
        <f t="shared" si="4"/>
        <v>0</v>
      </c>
      <c r="I11" s="458">
        <f t="shared" si="4"/>
        <v>0</v>
      </c>
      <c r="J11" s="458">
        <f t="shared" si="4"/>
        <v>0</v>
      </c>
      <c r="K11" s="458">
        <f t="shared" si="4"/>
        <v>0</v>
      </c>
      <c r="L11" s="458">
        <f t="shared" si="4"/>
        <v>0</v>
      </c>
      <c r="M11" s="458">
        <f t="shared" si="4"/>
        <v>0</v>
      </c>
      <c r="N11" s="458" t="str">
        <f t="shared" si="4"/>
        <v/>
      </c>
      <c r="O11" s="465">
        <f t="shared" si="2"/>
        <v>0</v>
      </c>
      <c r="P11" s="460"/>
      <c r="Q11" s="452"/>
    </row>
    <row r="12" ht="15.75" customHeight="1">
      <c r="A12" s="447" t="s">
        <v>133</v>
      </c>
      <c r="B12" s="447"/>
      <c r="C12" s="462">
        <v>100000.0</v>
      </c>
      <c r="D12" s="462">
        <v>100000.0</v>
      </c>
      <c r="E12" s="462">
        <v>100000.0</v>
      </c>
      <c r="F12" s="462">
        <v>100000.0</v>
      </c>
      <c r="G12" s="462">
        <v>100000.0</v>
      </c>
      <c r="H12" s="462">
        <v>100000.0</v>
      </c>
      <c r="I12" s="462">
        <v>100000.0</v>
      </c>
      <c r="J12" s="462">
        <v>100000.0</v>
      </c>
      <c r="K12" s="462">
        <v>100000.0</v>
      </c>
      <c r="L12" s="462">
        <v>100000.0</v>
      </c>
      <c r="M12" s="462">
        <v>100000.0</v>
      </c>
      <c r="N12" s="462">
        <v>100000.0</v>
      </c>
      <c r="O12" s="462">
        <f t="shared" si="2"/>
        <v>1200000</v>
      </c>
      <c r="P12" s="460"/>
      <c r="Q12" s="452"/>
    </row>
    <row r="13" ht="15.75" customHeight="1">
      <c r="A13" s="447" t="s">
        <v>134</v>
      </c>
      <c r="B13" s="43" t="s">
        <v>227</v>
      </c>
      <c r="C13" s="462">
        <v>0.0</v>
      </c>
      <c r="D13" s="462">
        <v>0.0</v>
      </c>
      <c r="E13" s="462">
        <v>0.0</v>
      </c>
      <c r="F13" s="462">
        <v>0.0</v>
      </c>
      <c r="G13" s="462">
        <v>0.0</v>
      </c>
      <c r="H13" s="462">
        <v>0.0</v>
      </c>
      <c r="I13" s="462">
        <v>0.0</v>
      </c>
      <c r="J13" s="462">
        <v>0.0</v>
      </c>
      <c r="K13" s="494">
        <v>-1.0</v>
      </c>
      <c r="L13" s="494">
        <v>0.0</v>
      </c>
      <c r="M13" s="494">
        <v>0.0</v>
      </c>
      <c r="N13" s="462"/>
      <c r="O13" s="462">
        <f t="shared" si="2"/>
        <v>-1</v>
      </c>
      <c r="P13" s="503"/>
      <c r="Q13" s="452"/>
    </row>
    <row r="14" ht="15.75" customHeight="1">
      <c r="A14" s="447" t="s">
        <v>135</v>
      </c>
      <c r="B14" s="461"/>
      <c r="C14" s="459">
        <v>0.0</v>
      </c>
      <c r="D14" s="459">
        <v>0.0</v>
      </c>
      <c r="E14" s="459">
        <v>0.0</v>
      </c>
      <c r="F14" s="459">
        <v>0.0</v>
      </c>
      <c r="G14" s="459">
        <v>0.0</v>
      </c>
      <c r="H14" s="459">
        <v>0.0</v>
      </c>
      <c r="I14" s="459">
        <v>0.0</v>
      </c>
      <c r="J14" s="459">
        <v>0.0</v>
      </c>
      <c r="K14" s="495">
        <v>0.0</v>
      </c>
      <c r="L14" s="495">
        <v>0.0</v>
      </c>
      <c r="M14" s="495">
        <v>0.0</v>
      </c>
      <c r="N14" s="459"/>
      <c r="O14" s="462">
        <f t="shared" si="2"/>
        <v>0</v>
      </c>
      <c r="P14" s="460"/>
      <c r="Q14" s="452"/>
    </row>
    <row r="15" ht="15.75" customHeight="1">
      <c r="A15" s="447" t="s">
        <v>29</v>
      </c>
      <c r="B15" s="461">
        <v>0.15</v>
      </c>
      <c r="C15" s="462">
        <v>0.0</v>
      </c>
      <c r="D15" s="462">
        <v>0.0</v>
      </c>
      <c r="E15" s="462">
        <v>0.0</v>
      </c>
      <c r="F15" s="462">
        <v>0.0</v>
      </c>
      <c r="G15" s="462">
        <v>0.0</v>
      </c>
      <c r="H15" s="462">
        <v>0.0</v>
      </c>
      <c r="I15" s="462">
        <v>0.0</v>
      </c>
      <c r="J15" s="462">
        <v>0.0</v>
      </c>
      <c r="K15" s="494">
        <v>0.0</v>
      </c>
      <c r="L15" s="494">
        <v>0.0</v>
      </c>
      <c r="M15" s="494">
        <v>0.0</v>
      </c>
      <c r="N15" s="462"/>
      <c r="O15" s="462">
        <f t="shared" si="2"/>
        <v>0</v>
      </c>
      <c r="P15" s="460"/>
      <c r="Q15" s="452"/>
    </row>
    <row r="16" ht="15.75" customHeight="1">
      <c r="A16" s="447" t="s">
        <v>30</v>
      </c>
      <c r="B16" s="447"/>
      <c r="C16" s="447">
        <v>0.0</v>
      </c>
      <c r="D16" s="447">
        <v>0.0</v>
      </c>
      <c r="E16" s="447">
        <v>0.0</v>
      </c>
      <c r="F16" s="447">
        <v>0.0</v>
      </c>
      <c r="G16" s="447">
        <v>0.0</v>
      </c>
      <c r="H16" s="447">
        <v>1.0</v>
      </c>
      <c r="I16" s="447">
        <v>0.0</v>
      </c>
      <c r="J16" s="447">
        <v>0.0</v>
      </c>
      <c r="K16" s="496">
        <v>-1.0</v>
      </c>
      <c r="L16" s="496">
        <v>0.0</v>
      </c>
      <c r="M16" s="496">
        <v>0.0</v>
      </c>
      <c r="N16" s="447"/>
      <c r="O16" s="462">
        <f t="shared" si="2"/>
        <v>0</v>
      </c>
      <c r="P16" s="460"/>
      <c r="Q16" s="452"/>
    </row>
    <row r="17" ht="15.75" customHeight="1">
      <c r="A17" s="447" t="s">
        <v>136</v>
      </c>
      <c r="B17" s="447"/>
      <c r="C17" s="462">
        <v>0.0</v>
      </c>
      <c r="D17" s="462">
        <v>0.0</v>
      </c>
      <c r="E17" s="462">
        <v>0.0</v>
      </c>
      <c r="F17" s="462">
        <v>0.0</v>
      </c>
      <c r="G17" s="462">
        <v>0.0</v>
      </c>
      <c r="H17" s="462">
        <v>0.0</v>
      </c>
      <c r="I17" s="462">
        <v>0.0</v>
      </c>
      <c r="J17" s="462">
        <v>0.0</v>
      </c>
      <c r="K17" s="494">
        <v>0.0</v>
      </c>
      <c r="L17" s="494">
        <v>0.0</v>
      </c>
      <c r="M17" s="494">
        <v>0.0</v>
      </c>
      <c r="N17" s="462"/>
      <c r="O17" s="462">
        <f t="shared" si="2"/>
        <v>0</v>
      </c>
      <c r="P17" s="460"/>
      <c r="Q17" s="452"/>
    </row>
    <row r="18" ht="15.75" customHeight="1">
      <c r="A18" s="447" t="s">
        <v>137</v>
      </c>
      <c r="B18" s="461"/>
      <c r="C18" s="462">
        <v>0.0</v>
      </c>
      <c r="D18" s="462">
        <v>0.0</v>
      </c>
      <c r="E18" s="462">
        <v>0.0</v>
      </c>
      <c r="F18" s="462">
        <v>0.0</v>
      </c>
      <c r="G18" s="462">
        <v>0.0</v>
      </c>
      <c r="H18" s="462">
        <v>0.0</v>
      </c>
      <c r="I18" s="458">
        <v>0.0</v>
      </c>
      <c r="J18" s="458">
        <v>0.0</v>
      </c>
      <c r="K18" s="491">
        <v>0.0</v>
      </c>
      <c r="L18" s="491">
        <v>0.0</v>
      </c>
      <c r="M18" s="491">
        <v>0.0</v>
      </c>
      <c r="N18" s="458"/>
      <c r="O18" s="462">
        <f t="shared" si="2"/>
        <v>0</v>
      </c>
      <c r="P18" s="460"/>
      <c r="Q18" s="452"/>
    </row>
    <row r="19" ht="15.75" customHeight="1">
      <c r="A19" s="447" t="s">
        <v>138</v>
      </c>
      <c r="B19" s="447"/>
      <c r="C19" s="462">
        <v>0.0</v>
      </c>
      <c r="D19" s="462">
        <v>0.0</v>
      </c>
      <c r="E19" s="462">
        <v>1.0</v>
      </c>
      <c r="F19" s="462">
        <v>0.0</v>
      </c>
      <c r="G19" s="462">
        <v>1.0</v>
      </c>
      <c r="H19" s="462">
        <v>0.0</v>
      </c>
      <c r="I19" s="462">
        <v>0.0</v>
      </c>
      <c r="J19" s="462">
        <v>0.0</v>
      </c>
      <c r="K19" s="494">
        <v>0.0</v>
      </c>
      <c r="L19" s="494">
        <v>0.0</v>
      </c>
      <c r="M19" s="494">
        <v>0.0</v>
      </c>
      <c r="N19" s="462"/>
      <c r="O19" s="462">
        <f t="shared" si="2"/>
        <v>2</v>
      </c>
      <c r="P19" s="460"/>
      <c r="Q19" s="452"/>
    </row>
    <row r="20" ht="15.75" customHeight="1">
      <c r="A20" s="447" t="s">
        <v>139</v>
      </c>
      <c r="B20" s="447"/>
      <c r="C20" s="462">
        <v>0.0</v>
      </c>
      <c r="D20" s="462">
        <v>0.0</v>
      </c>
      <c r="E20" s="462">
        <v>0.0</v>
      </c>
      <c r="F20" s="462">
        <v>0.0</v>
      </c>
      <c r="G20" s="462">
        <v>-1.0</v>
      </c>
      <c r="H20" s="462">
        <v>0.0</v>
      </c>
      <c r="I20" s="462">
        <v>0.0</v>
      </c>
      <c r="J20" s="462">
        <v>0.0</v>
      </c>
      <c r="K20" s="494">
        <v>0.0</v>
      </c>
      <c r="L20" s="494">
        <v>0.0</v>
      </c>
      <c r="M20" s="494">
        <v>0.0</v>
      </c>
      <c r="N20" s="462"/>
      <c r="O20" s="462">
        <f t="shared" si="2"/>
        <v>-1</v>
      </c>
      <c r="P20" s="460"/>
      <c r="Q20" s="452"/>
    </row>
    <row r="21" ht="15.75" customHeight="1">
      <c r="A21" s="466" t="s">
        <v>140</v>
      </c>
      <c r="B21" s="447"/>
      <c r="C21" s="462">
        <v>0.0</v>
      </c>
      <c r="D21" s="462">
        <v>0.0</v>
      </c>
      <c r="E21" s="462">
        <v>0.0</v>
      </c>
      <c r="F21" s="462">
        <v>0.0</v>
      </c>
      <c r="G21" s="462">
        <v>0.0</v>
      </c>
      <c r="H21" s="462">
        <v>0.0</v>
      </c>
      <c r="I21" s="458">
        <v>0.0</v>
      </c>
      <c r="J21" s="458">
        <v>0.0</v>
      </c>
      <c r="K21" s="491">
        <v>0.0</v>
      </c>
      <c r="L21" s="491">
        <v>0.0</v>
      </c>
      <c r="M21" s="491">
        <v>0.0</v>
      </c>
      <c r="N21" s="458"/>
      <c r="O21" s="462">
        <f t="shared" si="2"/>
        <v>0</v>
      </c>
      <c r="P21" s="460"/>
      <c r="Q21" s="452"/>
    </row>
    <row r="22" ht="15.75" customHeight="1">
      <c r="A22" s="447" t="s">
        <v>141</v>
      </c>
      <c r="B22" s="447"/>
      <c r="C22" s="462">
        <v>0.0</v>
      </c>
      <c r="D22" s="462">
        <v>0.0</v>
      </c>
      <c r="E22" s="462">
        <v>0.0</v>
      </c>
      <c r="F22" s="462">
        <v>0.0</v>
      </c>
      <c r="G22" s="462">
        <v>0.0</v>
      </c>
      <c r="H22" s="462">
        <v>0.0</v>
      </c>
      <c r="I22" s="458">
        <v>0.0</v>
      </c>
      <c r="J22" s="458">
        <v>0.0</v>
      </c>
      <c r="K22" s="491">
        <v>0.0</v>
      </c>
      <c r="L22" s="491">
        <v>0.0</v>
      </c>
      <c r="M22" s="491">
        <v>0.0</v>
      </c>
      <c r="N22" s="458"/>
      <c r="O22" s="462">
        <f t="shared" si="2"/>
        <v>0</v>
      </c>
      <c r="P22" s="460"/>
      <c r="Q22" s="452"/>
    </row>
    <row r="23" ht="15.75" customHeight="1">
      <c r="A23" s="447" t="s">
        <v>142</v>
      </c>
      <c r="B23" s="447"/>
      <c r="C23" s="462">
        <v>0.0</v>
      </c>
      <c r="D23" s="462">
        <v>0.0</v>
      </c>
      <c r="E23" s="462">
        <v>0.0</v>
      </c>
      <c r="F23" s="462">
        <v>0.0</v>
      </c>
      <c r="G23" s="462">
        <v>0.0</v>
      </c>
      <c r="H23" s="462">
        <v>0.0</v>
      </c>
      <c r="I23" s="458">
        <v>0.0</v>
      </c>
      <c r="J23" s="458">
        <v>0.0</v>
      </c>
      <c r="K23" s="491">
        <v>0.0</v>
      </c>
      <c r="L23" s="491">
        <v>0.0</v>
      </c>
      <c r="M23" s="491">
        <v>0.0</v>
      </c>
      <c r="N23" s="458"/>
      <c r="O23" s="462">
        <f t="shared" si="2"/>
        <v>0</v>
      </c>
      <c r="P23" s="460"/>
      <c r="Q23" s="452"/>
    </row>
    <row r="24" ht="15.75" customHeight="1">
      <c r="A24" s="447" t="s">
        <v>143</v>
      </c>
      <c r="B24" s="447"/>
      <c r="C24" s="462">
        <v>0.0</v>
      </c>
      <c r="D24" s="462">
        <v>0.0</v>
      </c>
      <c r="E24" s="462">
        <v>0.0</v>
      </c>
      <c r="F24" s="462">
        <v>0.0</v>
      </c>
      <c r="G24" s="462">
        <v>0.0</v>
      </c>
      <c r="H24" s="462">
        <v>0.0</v>
      </c>
      <c r="I24" s="458">
        <v>0.0</v>
      </c>
      <c r="J24" s="458">
        <v>0.0</v>
      </c>
      <c r="K24" s="491">
        <v>0.0</v>
      </c>
      <c r="L24" s="491">
        <v>0.0</v>
      </c>
      <c r="M24" s="491">
        <v>0.0</v>
      </c>
      <c r="N24" s="458"/>
      <c r="O24" s="462">
        <f t="shared" si="2"/>
        <v>0</v>
      </c>
      <c r="P24" s="460"/>
      <c r="Q24" s="452"/>
    </row>
    <row r="25" ht="15.75" customHeight="1">
      <c r="A25" s="447" t="s">
        <v>144</v>
      </c>
      <c r="B25" s="447"/>
      <c r="C25" s="462">
        <v>0.0</v>
      </c>
      <c r="D25" s="462">
        <v>0.0</v>
      </c>
      <c r="E25" s="462">
        <v>0.0</v>
      </c>
      <c r="F25" s="462">
        <v>0.0</v>
      </c>
      <c r="G25" s="462">
        <v>0.0</v>
      </c>
      <c r="H25" s="462">
        <v>0.0</v>
      </c>
      <c r="I25" s="458">
        <v>0.0</v>
      </c>
      <c r="J25" s="458">
        <v>0.0</v>
      </c>
      <c r="K25" s="491">
        <v>0.0</v>
      </c>
      <c r="L25" s="491">
        <v>0.0</v>
      </c>
      <c r="M25" s="491">
        <v>0.0</v>
      </c>
      <c r="N25" s="458"/>
      <c r="O25" s="462">
        <f t="shared" si="2"/>
        <v>0</v>
      </c>
      <c r="P25" s="460"/>
      <c r="Q25" s="452"/>
    </row>
    <row r="26" ht="15.75" customHeight="1">
      <c r="A26" s="447" t="s">
        <v>145</v>
      </c>
      <c r="B26" s="447"/>
      <c r="C26" s="462">
        <v>0.0</v>
      </c>
      <c r="D26" s="462">
        <v>0.0</v>
      </c>
      <c r="E26" s="462">
        <v>0.0</v>
      </c>
      <c r="F26" s="462">
        <v>0.0</v>
      </c>
      <c r="G26" s="462">
        <v>0.0</v>
      </c>
      <c r="H26" s="462">
        <v>0.0</v>
      </c>
      <c r="I26" s="458">
        <v>0.0</v>
      </c>
      <c r="J26" s="458">
        <v>0.0</v>
      </c>
      <c r="K26" s="491">
        <v>0.0</v>
      </c>
      <c r="L26" s="491">
        <v>0.0</v>
      </c>
      <c r="M26" s="491">
        <v>0.0</v>
      </c>
      <c r="N26" s="458"/>
      <c r="O26" s="462">
        <f t="shared" si="2"/>
        <v>0</v>
      </c>
      <c r="P26" s="460"/>
      <c r="Q26" s="452"/>
    </row>
    <row r="27" ht="15.75" customHeight="1">
      <c r="A27" s="447" t="s">
        <v>33</v>
      </c>
      <c r="B27" s="458"/>
      <c r="C27" s="458">
        <v>17000.0</v>
      </c>
      <c r="D27" s="458">
        <v>17000.0</v>
      </c>
      <c r="E27" s="458">
        <v>17000.0</v>
      </c>
      <c r="F27" s="458">
        <v>17000.0</v>
      </c>
      <c r="G27" s="458">
        <v>17000.0</v>
      </c>
      <c r="H27" s="458">
        <v>17000.0</v>
      </c>
      <c r="I27" s="458">
        <v>17000.0</v>
      </c>
      <c r="J27" s="458">
        <v>17000.0</v>
      </c>
      <c r="K27" s="491">
        <v>21600.0</v>
      </c>
      <c r="L27" s="491">
        <v>-17000.0</v>
      </c>
      <c r="M27" s="491">
        <v>0.0</v>
      </c>
      <c r="N27" s="458"/>
      <c r="O27" s="462">
        <f t="shared" si="2"/>
        <v>140600</v>
      </c>
      <c r="P27" s="460"/>
      <c r="Q27" s="452"/>
    </row>
    <row r="28" ht="15.75" customHeight="1">
      <c r="A28" s="447" t="s">
        <v>146</v>
      </c>
      <c r="B28" s="447"/>
      <c r="C28" s="462">
        <v>0.0</v>
      </c>
      <c r="D28" s="462">
        <v>0.0</v>
      </c>
      <c r="E28" s="462">
        <v>0.0</v>
      </c>
      <c r="F28" s="462">
        <v>0.0</v>
      </c>
      <c r="G28" s="462">
        <v>0.0</v>
      </c>
      <c r="H28" s="462">
        <v>0.0</v>
      </c>
      <c r="I28" s="462">
        <v>0.0</v>
      </c>
      <c r="J28" s="462">
        <v>0.0</v>
      </c>
      <c r="K28" s="494">
        <v>0.0</v>
      </c>
      <c r="L28" s="494">
        <v>0.0</v>
      </c>
      <c r="M28" s="494">
        <v>0.0</v>
      </c>
      <c r="N28" s="462"/>
      <c r="O28" s="462">
        <f t="shared" si="2"/>
        <v>0</v>
      </c>
      <c r="P28" s="460"/>
      <c r="Q28" s="452"/>
    </row>
    <row r="29" ht="15.75" customHeight="1">
      <c r="A29" s="447" t="s">
        <v>147</v>
      </c>
      <c r="B29" s="447"/>
      <c r="C29" s="462">
        <v>0.0</v>
      </c>
      <c r="D29" s="462">
        <v>0.0</v>
      </c>
      <c r="E29" s="462">
        <v>0.0</v>
      </c>
      <c r="F29" s="462">
        <v>0.0</v>
      </c>
      <c r="G29" s="462">
        <v>0.0</v>
      </c>
      <c r="H29" s="462">
        <v>0.0</v>
      </c>
      <c r="I29" s="462">
        <v>0.0</v>
      </c>
      <c r="J29" s="462">
        <v>0.0</v>
      </c>
      <c r="K29" s="494">
        <v>0.0</v>
      </c>
      <c r="L29" s="494">
        <v>0.0</v>
      </c>
      <c r="M29" s="494">
        <v>0.0</v>
      </c>
      <c r="N29" s="462"/>
      <c r="O29" s="462">
        <f t="shared" si="2"/>
        <v>0</v>
      </c>
      <c r="P29" s="460"/>
      <c r="Q29" s="452"/>
    </row>
    <row r="30" ht="15.75" customHeight="1">
      <c r="A30" s="447" t="s">
        <v>35</v>
      </c>
      <c r="B30" s="458"/>
      <c r="C30" s="458">
        <v>0.0</v>
      </c>
      <c r="D30" s="458">
        <v>0.0</v>
      </c>
      <c r="E30" s="458">
        <v>0.0</v>
      </c>
      <c r="F30" s="458">
        <v>0.0</v>
      </c>
      <c r="G30" s="458">
        <v>0.0</v>
      </c>
      <c r="H30" s="458">
        <v>0.0</v>
      </c>
      <c r="I30" s="458">
        <v>0.0</v>
      </c>
      <c r="J30" s="458">
        <v>0.0</v>
      </c>
      <c r="K30" s="491">
        <v>0.0</v>
      </c>
      <c r="L30" s="491">
        <v>0.0</v>
      </c>
      <c r="M30" s="491">
        <v>-1.0</v>
      </c>
      <c r="N30" s="458"/>
      <c r="O30" s="462">
        <f t="shared" si="2"/>
        <v>-1</v>
      </c>
      <c r="P30" s="460"/>
      <c r="Q30" s="452"/>
    </row>
    <row r="31" ht="15.75" customHeight="1">
      <c r="A31" s="447" t="s">
        <v>148</v>
      </c>
      <c r="B31" s="461">
        <v>0.0</v>
      </c>
      <c r="C31" s="492">
        <v>0.0</v>
      </c>
      <c r="D31" s="492">
        <v>0.0</v>
      </c>
      <c r="E31" s="492">
        <v>0.0</v>
      </c>
      <c r="F31" s="492">
        <v>0.0</v>
      </c>
      <c r="G31" s="492">
        <v>0.0</v>
      </c>
      <c r="H31" s="492">
        <v>0.0</v>
      </c>
      <c r="I31" s="458">
        <v>0.0</v>
      </c>
      <c r="J31" s="458">
        <v>0.0</v>
      </c>
      <c r="K31" s="491">
        <v>0.0</v>
      </c>
      <c r="L31" s="491">
        <v>0.0</v>
      </c>
      <c r="M31" s="491">
        <v>0.0</v>
      </c>
      <c r="N31" s="458"/>
      <c r="O31" s="462">
        <f t="shared" si="2"/>
        <v>0</v>
      </c>
      <c r="P31" s="460"/>
      <c r="Q31" s="452"/>
    </row>
    <row r="32" ht="15.75" customHeight="1">
      <c r="A32" s="447" t="s">
        <v>34</v>
      </c>
      <c r="B32" s="461">
        <v>0.0</v>
      </c>
      <c r="C32" s="492">
        <v>-1.0</v>
      </c>
      <c r="D32" s="492">
        <v>0.0</v>
      </c>
      <c r="E32" s="492">
        <v>0.0</v>
      </c>
      <c r="F32" s="492">
        <v>0.0</v>
      </c>
      <c r="G32" s="492">
        <v>0.0</v>
      </c>
      <c r="H32" s="492">
        <v>0.0</v>
      </c>
      <c r="I32" s="492">
        <v>0.0</v>
      </c>
      <c r="J32" s="491">
        <v>-1.0</v>
      </c>
      <c r="K32" s="493">
        <v>0.0</v>
      </c>
      <c r="L32" s="493">
        <v>0.0</v>
      </c>
      <c r="M32" s="493">
        <v>0.0</v>
      </c>
      <c r="N32" s="492"/>
      <c r="O32" s="462">
        <f t="shared" si="2"/>
        <v>-2</v>
      </c>
      <c r="P32" s="460"/>
      <c r="Q32" s="452"/>
    </row>
    <row r="33" ht="15.75" customHeight="1">
      <c r="A33" s="447" t="s">
        <v>149</v>
      </c>
      <c r="B33" s="467"/>
      <c r="C33" s="467">
        <v>0.0</v>
      </c>
      <c r="D33" s="447">
        <v>0.0</v>
      </c>
      <c r="E33" s="447">
        <v>0.0</v>
      </c>
      <c r="F33" s="447">
        <v>0.0</v>
      </c>
      <c r="G33" s="447">
        <v>0.0</v>
      </c>
      <c r="H33" s="447">
        <v>0.0</v>
      </c>
      <c r="I33" s="458">
        <v>0.0</v>
      </c>
      <c r="J33" s="458">
        <v>0.0</v>
      </c>
      <c r="K33" s="491">
        <v>0.0</v>
      </c>
      <c r="L33" s="491">
        <v>0.0</v>
      </c>
      <c r="M33" s="491">
        <v>0.0</v>
      </c>
      <c r="N33" s="458"/>
      <c r="O33" s="462">
        <f t="shared" si="2"/>
        <v>0</v>
      </c>
      <c r="P33" s="460"/>
      <c r="Q33" s="452"/>
    </row>
    <row r="34" ht="15.75" customHeight="1">
      <c r="A34" s="447" t="s">
        <v>150</v>
      </c>
      <c r="B34" s="468"/>
      <c r="C34" s="492">
        <v>0.0</v>
      </c>
      <c r="D34" s="462">
        <v>0.0</v>
      </c>
      <c r="E34" s="462">
        <v>0.0</v>
      </c>
      <c r="F34" s="462">
        <v>0.0</v>
      </c>
      <c r="G34" s="462">
        <v>0.0</v>
      </c>
      <c r="H34" s="462">
        <v>0.0</v>
      </c>
      <c r="I34" s="458">
        <v>0.0</v>
      </c>
      <c r="J34" s="458">
        <v>0.0</v>
      </c>
      <c r="K34" s="491">
        <v>0.0</v>
      </c>
      <c r="L34" s="491">
        <v>0.0</v>
      </c>
      <c r="M34" s="491">
        <v>0.0</v>
      </c>
      <c r="N34" s="458"/>
      <c r="O34" s="462">
        <f t="shared" si="2"/>
        <v>0</v>
      </c>
      <c r="P34" s="460"/>
      <c r="Q34" s="452"/>
    </row>
    <row r="35" ht="15.75" customHeight="1">
      <c r="A35" s="447" t="s">
        <v>36</v>
      </c>
      <c r="B35" s="461">
        <v>0.0</v>
      </c>
      <c r="C35" s="462">
        <v>0.0</v>
      </c>
      <c r="D35" s="462">
        <v>0.0</v>
      </c>
      <c r="E35" s="462">
        <v>0.0</v>
      </c>
      <c r="F35" s="462">
        <v>0.0</v>
      </c>
      <c r="G35" s="462">
        <v>0.0</v>
      </c>
      <c r="H35" s="462">
        <v>0.0</v>
      </c>
      <c r="I35" s="462">
        <v>-1.0</v>
      </c>
      <c r="J35" s="458">
        <v>0.0</v>
      </c>
      <c r="K35" s="494">
        <v>0.0</v>
      </c>
      <c r="L35" s="494">
        <v>0.0</v>
      </c>
      <c r="M35" s="494">
        <v>0.0</v>
      </c>
      <c r="N35" s="462"/>
      <c r="O35" s="462">
        <f t="shared" si="2"/>
        <v>-1</v>
      </c>
      <c r="P35" s="460"/>
      <c r="Q35" s="452"/>
    </row>
    <row r="36" ht="15.75" customHeight="1">
      <c r="A36" s="447" t="s">
        <v>151</v>
      </c>
      <c r="B36" s="447"/>
      <c r="C36" s="462">
        <v>0.0</v>
      </c>
      <c r="D36" s="462">
        <v>0.0</v>
      </c>
      <c r="E36" s="462">
        <v>0.0</v>
      </c>
      <c r="F36" s="462">
        <v>0.0</v>
      </c>
      <c r="G36" s="462">
        <v>0.0</v>
      </c>
      <c r="H36" s="462">
        <v>0.0</v>
      </c>
      <c r="I36" s="458">
        <v>0.0</v>
      </c>
      <c r="J36" s="458">
        <v>0.0</v>
      </c>
      <c r="K36" s="491">
        <v>0.0</v>
      </c>
      <c r="L36" s="491">
        <v>0.0</v>
      </c>
      <c r="M36" s="491">
        <v>0.0</v>
      </c>
      <c r="N36" s="458"/>
      <c r="O36" s="462">
        <f t="shared" si="2"/>
        <v>0</v>
      </c>
      <c r="P36" s="460"/>
      <c r="Q36" s="452"/>
    </row>
    <row r="37" ht="15.75" customHeight="1">
      <c r="A37" s="447" t="s">
        <v>152</v>
      </c>
      <c r="B37" s="461"/>
      <c r="C37" s="462">
        <v>0.0</v>
      </c>
      <c r="D37" s="462">
        <v>0.0</v>
      </c>
      <c r="E37" s="462">
        <v>0.0</v>
      </c>
      <c r="F37" s="462">
        <v>0.0</v>
      </c>
      <c r="G37" s="462">
        <v>0.0</v>
      </c>
      <c r="H37" s="462">
        <v>0.0</v>
      </c>
      <c r="I37" s="458">
        <v>0.0</v>
      </c>
      <c r="J37" s="458">
        <v>0.0</v>
      </c>
      <c r="K37" s="491">
        <v>0.0</v>
      </c>
      <c r="L37" s="491">
        <v>0.0</v>
      </c>
      <c r="M37" s="491">
        <v>0.0</v>
      </c>
      <c r="N37" s="458"/>
      <c r="O37" s="462">
        <f t="shared" si="2"/>
        <v>0</v>
      </c>
      <c r="P37" s="460"/>
      <c r="Q37" s="452"/>
    </row>
    <row r="38" ht="15.75" customHeight="1">
      <c r="A38" s="469" t="s">
        <v>37</v>
      </c>
      <c r="B38" s="504" t="s">
        <v>228</v>
      </c>
      <c r="C38" s="462">
        <v>0.0</v>
      </c>
      <c r="D38" s="462">
        <v>0.0</v>
      </c>
      <c r="E38" s="462">
        <v>0.0</v>
      </c>
      <c r="F38" s="462">
        <v>0.0</v>
      </c>
      <c r="G38" s="462">
        <v>0.0</v>
      </c>
      <c r="H38" s="462">
        <v>0.0</v>
      </c>
      <c r="I38" s="462">
        <v>0.0</v>
      </c>
      <c r="J38" s="462">
        <v>0.0</v>
      </c>
      <c r="K38" s="494">
        <v>0.0</v>
      </c>
      <c r="L38" s="494">
        <v>0.0</v>
      </c>
      <c r="M38" s="494">
        <v>-1.0</v>
      </c>
      <c r="N38" s="462"/>
      <c r="O38" s="462">
        <f t="shared" si="2"/>
        <v>-1</v>
      </c>
      <c r="P38" s="460"/>
      <c r="Q38" s="452"/>
    </row>
    <row r="39" ht="15.75" customHeight="1">
      <c r="A39" s="469"/>
      <c r="B39" s="504"/>
      <c r="C39" s="462">
        <v>0.0</v>
      </c>
      <c r="D39" s="462">
        <v>0.0</v>
      </c>
      <c r="E39" s="462">
        <v>0.0</v>
      </c>
      <c r="F39" s="462">
        <v>0.0</v>
      </c>
      <c r="G39" s="462">
        <v>0.0</v>
      </c>
      <c r="H39" s="462">
        <v>0.0</v>
      </c>
      <c r="I39" s="462">
        <v>0.0</v>
      </c>
      <c r="J39" s="458">
        <v>0.0</v>
      </c>
      <c r="K39" s="494">
        <v>0.0</v>
      </c>
      <c r="L39" s="494">
        <v>0.0</v>
      </c>
      <c r="M39" s="494">
        <v>0.0</v>
      </c>
      <c r="N39" s="462"/>
      <c r="O39" s="462">
        <f t="shared" si="2"/>
        <v>0</v>
      </c>
      <c r="P39" s="460"/>
      <c r="Q39" s="452"/>
    </row>
    <row r="40" ht="15.75" customHeight="1">
      <c r="A40" s="447"/>
      <c r="B40" s="447"/>
      <c r="C40" s="462">
        <v>0.0</v>
      </c>
      <c r="D40" s="462">
        <v>0.0</v>
      </c>
      <c r="E40" s="462">
        <v>0.0</v>
      </c>
      <c r="F40" s="462">
        <v>0.0</v>
      </c>
      <c r="G40" s="462">
        <v>0.0</v>
      </c>
      <c r="H40" s="462">
        <v>0.0</v>
      </c>
      <c r="I40" s="458">
        <v>0.0</v>
      </c>
      <c r="J40" s="458">
        <v>0.0</v>
      </c>
      <c r="K40" s="491">
        <v>0.0</v>
      </c>
      <c r="L40" s="491">
        <v>0.0</v>
      </c>
      <c r="M40" s="491">
        <v>0.0</v>
      </c>
      <c r="N40" s="458"/>
      <c r="O40" s="462">
        <f t="shared" si="2"/>
        <v>0</v>
      </c>
      <c r="P40" s="460"/>
      <c r="Q40" s="452"/>
    </row>
    <row r="41" ht="15.75" customHeight="1">
      <c r="A41" s="43"/>
      <c r="B41" s="447"/>
      <c r="C41" s="447">
        <v>0.0</v>
      </c>
      <c r="D41" s="447">
        <v>0.0</v>
      </c>
      <c r="E41" s="447">
        <v>0.0</v>
      </c>
      <c r="F41" s="447">
        <v>0.0</v>
      </c>
      <c r="G41" s="458">
        <v>0.0</v>
      </c>
      <c r="H41" s="458">
        <v>0.0</v>
      </c>
      <c r="I41" s="458">
        <v>0.0</v>
      </c>
      <c r="J41" s="462">
        <v>0.0</v>
      </c>
      <c r="K41" s="491">
        <v>0.0</v>
      </c>
      <c r="L41" s="491">
        <v>0.0</v>
      </c>
      <c r="M41" s="491">
        <v>0.0</v>
      </c>
      <c r="N41" s="458"/>
      <c r="O41" s="462">
        <f t="shared" si="2"/>
        <v>0</v>
      </c>
      <c r="P41" s="460"/>
      <c r="Q41" s="452"/>
    </row>
    <row r="42" ht="15.75" customHeight="1">
      <c r="A42" s="447" t="s">
        <v>153</v>
      </c>
      <c r="B42" s="447"/>
      <c r="C42" s="462">
        <f t="shared" ref="C42:N42" si="5">SUM(C12:C41)</f>
        <v>116999</v>
      </c>
      <c r="D42" s="462">
        <f t="shared" si="5"/>
        <v>117000</v>
      </c>
      <c r="E42" s="462">
        <f t="shared" si="5"/>
        <v>117001</v>
      </c>
      <c r="F42" s="462">
        <f t="shared" si="5"/>
        <v>117000</v>
      </c>
      <c r="G42" s="462">
        <f t="shared" si="5"/>
        <v>117000</v>
      </c>
      <c r="H42" s="462">
        <f t="shared" si="5"/>
        <v>117001</v>
      </c>
      <c r="I42" s="462">
        <f t="shared" si="5"/>
        <v>116999</v>
      </c>
      <c r="J42" s="462">
        <f t="shared" si="5"/>
        <v>116999</v>
      </c>
      <c r="K42" s="462">
        <f t="shared" si="5"/>
        <v>121598</v>
      </c>
      <c r="L42" s="462">
        <f t="shared" si="5"/>
        <v>83000</v>
      </c>
      <c r="M42" s="462">
        <f t="shared" si="5"/>
        <v>99998</v>
      </c>
      <c r="N42" s="462">
        <f t="shared" si="5"/>
        <v>100000</v>
      </c>
      <c r="O42" s="462">
        <f t="shared" si="2"/>
        <v>1340595</v>
      </c>
      <c r="P42" s="460"/>
      <c r="Q42" s="452"/>
    </row>
    <row r="43" ht="15.75" customHeight="1">
      <c r="A43" s="463" t="s">
        <v>40</v>
      </c>
      <c r="B43" s="463"/>
      <c r="C43" s="465">
        <f t="shared" ref="C43:O43" si="6">C10-C42</f>
        <v>-116999</v>
      </c>
      <c r="D43" s="465">
        <f t="shared" si="6"/>
        <v>-117000</v>
      </c>
      <c r="E43" s="465">
        <f t="shared" si="6"/>
        <v>-117001</v>
      </c>
      <c r="F43" s="465">
        <f t="shared" si="6"/>
        <v>-117000</v>
      </c>
      <c r="G43" s="465">
        <f t="shared" si="6"/>
        <v>-117000</v>
      </c>
      <c r="H43" s="465">
        <f t="shared" si="6"/>
        <v>-117001</v>
      </c>
      <c r="I43" s="465">
        <f t="shared" si="6"/>
        <v>-116998</v>
      </c>
      <c r="J43" s="465">
        <f t="shared" si="6"/>
        <v>-116999</v>
      </c>
      <c r="K43" s="465">
        <f t="shared" si="6"/>
        <v>-121598</v>
      </c>
      <c r="L43" s="465">
        <f t="shared" si="6"/>
        <v>-83000</v>
      </c>
      <c r="M43" s="465">
        <f t="shared" si="6"/>
        <v>-99998</v>
      </c>
      <c r="N43" s="465">
        <f t="shared" si="6"/>
        <v>-100000</v>
      </c>
      <c r="O43" s="465">
        <f t="shared" si="6"/>
        <v>-1340594</v>
      </c>
      <c r="P43" s="460"/>
      <c r="Q43" s="452"/>
    </row>
    <row r="44" ht="15.75" customHeight="1">
      <c r="A44" s="447" t="s">
        <v>154</v>
      </c>
      <c r="B44" s="447"/>
      <c r="C44" s="462">
        <v>5424.0</v>
      </c>
      <c r="D44" s="462">
        <v>0.0</v>
      </c>
      <c r="E44" s="462">
        <v>9697.0</v>
      </c>
      <c r="F44" s="462">
        <v>5260.0</v>
      </c>
      <c r="G44" s="462">
        <v>0.0</v>
      </c>
      <c r="H44" s="462">
        <v>9862.0</v>
      </c>
      <c r="I44" s="462">
        <v>5095.0</v>
      </c>
      <c r="J44" s="494">
        <v>0.0</v>
      </c>
      <c r="K44" s="494">
        <v>5753.0</v>
      </c>
      <c r="L44" s="494">
        <v>4525.0</v>
      </c>
      <c r="M44" s="494">
        <v>4448.0</v>
      </c>
      <c r="N44" s="494">
        <v>9126.0</v>
      </c>
      <c r="O44" s="462">
        <f t="shared" ref="O44:O46" si="7">SUM(C44:N44)</f>
        <v>59190</v>
      </c>
      <c r="P44" s="460"/>
      <c r="Q44" s="452"/>
    </row>
    <row r="45" ht="15.75" customHeight="1">
      <c r="A45" s="447" t="s">
        <v>155</v>
      </c>
      <c r="B45" s="447"/>
      <c r="C45" s="447">
        <v>0.0</v>
      </c>
      <c r="D45" s="447">
        <v>0.0</v>
      </c>
      <c r="E45" s="462">
        <v>0.0</v>
      </c>
      <c r="F45" s="447">
        <v>0.0</v>
      </c>
      <c r="G45" s="447">
        <v>0.0</v>
      </c>
      <c r="H45" s="447">
        <v>0.0</v>
      </c>
      <c r="I45" s="458">
        <v>0.0</v>
      </c>
      <c r="J45" s="458">
        <v>0.0</v>
      </c>
      <c r="K45" s="491">
        <v>0.0</v>
      </c>
      <c r="L45" s="458"/>
      <c r="M45" s="458"/>
      <c r="N45" s="458"/>
      <c r="O45" s="471">
        <f t="shared" si="7"/>
        <v>0</v>
      </c>
      <c r="P45" s="460"/>
      <c r="Q45" s="452"/>
    </row>
    <row r="46" ht="15.75" customHeight="1">
      <c r="A46" s="447" t="s">
        <v>156</v>
      </c>
      <c r="B46" s="447"/>
      <c r="C46" s="447">
        <v>19444.0</v>
      </c>
      <c r="D46" s="447">
        <v>179264.0</v>
      </c>
      <c r="E46" s="447">
        <v>155.0</v>
      </c>
      <c r="F46" s="447">
        <v>101047.0</v>
      </c>
      <c r="G46" s="447">
        <v>2783.0</v>
      </c>
      <c r="H46" s="496">
        <v>0.0</v>
      </c>
      <c r="I46" s="496">
        <v>0.0</v>
      </c>
      <c r="J46" s="496">
        <v>0.0</v>
      </c>
      <c r="K46" s="496">
        <v>0.0</v>
      </c>
      <c r="L46" s="496">
        <v>1400000.0</v>
      </c>
      <c r="M46" s="496">
        <v>2033.0</v>
      </c>
      <c r="N46" s="447"/>
      <c r="O46" s="471">
        <f t="shared" si="7"/>
        <v>1704726</v>
      </c>
      <c r="P46" s="460"/>
      <c r="Q46" s="452"/>
    </row>
    <row r="47" ht="15.75" customHeight="1">
      <c r="A47" s="463" t="s">
        <v>43</v>
      </c>
      <c r="B47" s="463"/>
      <c r="C47" s="470">
        <f t="shared" ref="C47:O47" si="8">C43-C44-C45+C46</f>
        <v>-102979</v>
      </c>
      <c r="D47" s="470">
        <f t="shared" si="8"/>
        <v>62264</v>
      </c>
      <c r="E47" s="470">
        <f t="shared" si="8"/>
        <v>-126543</v>
      </c>
      <c r="F47" s="470">
        <f t="shared" si="8"/>
        <v>-21213</v>
      </c>
      <c r="G47" s="470">
        <f t="shared" si="8"/>
        <v>-114217</v>
      </c>
      <c r="H47" s="470">
        <f t="shared" si="8"/>
        <v>-126863</v>
      </c>
      <c r="I47" s="470">
        <f t="shared" si="8"/>
        <v>-122093</v>
      </c>
      <c r="J47" s="470">
        <f t="shared" si="8"/>
        <v>-116999</v>
      </c>
      <c r="K47" s="470">
        <f t="shared" si="8"/>
        <v>-127351</v>
      </c>
      <c r="L47" s="470">
        <f t="shared" si="8"/>
        <v>1312475</v>
      </c>
      <c r="M47" s="470">
        <f t="shared" si="8"/>
        <v>-102413</v>
      </c>
      <c r="N47" s="470">
        <f t="shared" si="8"/>
        <v>-109126</v>
      </c>
      <c r="O47" s="470">
        <f t="shared" si="8"/>
        <v>304942</v>
      </c>
      <c r="P47" s="460"/>
      <c r="Q47" s="452"/>
    </row>
    <row r="48" ht="15.75" customHeight="1">
      <c r="A48" s="447" t="s">
        <v>44</v>
      </c>
      <c r="B48" s="447"/>
      <c r="C48" s="447">
        <v>0.0</v>
      </c>
      <c r="D48" s="447">
        <v>0.0</v>
      </c>
      <c r="E48" s="447">
        <v>0.0</v>
      </c>
      <c r="F48" s="447">
        <v>0.0</v>
      </c>
      <c r="G48" s="447">
        <v>0.0</v>
      </c>
      <c r="H48" s="447">
        <v>0.0</v>
      </c>
      <c r="I48" s="458">
        <v>0.0</v>
      </c>
      <c r="J48" s="458">
        <v>0.0</v>
      </c>
      <c r="K48" s="491">
        <v>0.0</v>
      </c>
      <c r="L48" s="458"/>
      <c r="M48" s="458"/>
      <c r="N48" s="458"/>
      <c r="O48" s="471">
        <f t="shared" ref="O48:O49" si="9">SUM(C48:N48)</f>
        <v>0</v>
      </c>
      <c r="P48" s="460"/>
      <c r="Q48" s="452"/>
    </row>
    <row r="49" ht="15.75" customHeight="1">
      <c r="A49" s="472" t="s">
        <v>45</v>
      </c>
      <c r="B49" s="472"/>
      <c r="C49" s="472">
        <v>0.0</v>
      </c>
      <c r="D49" s="472">
        <v>0.0</v>
      </c>
      <c r="E49" s="472">
        <v>0.0</v>
      </c>
      <c r="F49" s="472">
        <v>0.0</v>
      </c>
      <c r="G49" s="472">
        <v>0.0</v>
      </c>
      <c r="H49" s="472">
        <v>0.0</v>
      </c>
      <c r="I49" s="458">
        <v>0.0</v>
      </c>
      <c r="J49" s="458">
        <v>0.0</v>
      </c>
      <c r="K49" s="491">
        <v>0.0</v>
      </c>
      <c r="L49" s="458"/>
      <c r="M49" s="458"/>
      <c r="N49" s="458"/>
      <c r="O49" s="497">
        <f t="shared" si="9"/>
        <v>0</v>
      </c>
      <c r="P49" s="460"/>
      <c r="Q49" s="452"/>
      <c r="R49" s="440"/>
      <c r="S49" s="443"/>
      <c r="T49" s="444"/>
    </row>
    <row r="50" ht="44.25" customHeight="1">
      <c r="A50" s="463" t="s">
        <v>157</v>
      </c>
      <c r="B50" s="463"/>
      <c r="C50" s="465">
        <f t="shared" ref="C50:O50" si="10">C47+C48-C49</f>
        <v>-102979</v>
      </c>
      <c r="D50" s="465">
        <f t="shared" si="10"/>
        <v>62264</v>
      </c>
      <c r="E50" s="465">
        <f t="shared" si="10"/>
        <v>-126543</v>
      </c>
      <c r="F50" s="465">
        <f t="shared" si="10"/>
        <v>-21213</v>
      </c>
      <c r="G50" s="465">
        <f t="shared" si="10"/>
        <v>-114217</v>
      </c>
      <c r="H50" s="465">
        <f t="shared" si="10"/>
        <v>-126863</v>
      </c>
      <c r="I50" s="465">
        <f t="shared" si="10"/>
        <v>-122093</v>
      </c>
      <c r="J50" s="465">
        <f t="shared" si="10"/>
        <v>-116999</v>
      </c>
      <c r="K50" s="465">
        <f t="shared" si="10"/>
        <v>-127351</v>
      </c>
      <c r="L50" s="465">
        <f t="shared" si="10"/>
        <v>1312475</v>
      </c>
      <c r="M50" s="465">
        <f t="shared" si="10"/>
        <v>-102413</v>
      </c>
      <c r="N50" s="465">
        <f t="shared" si="10"/>
        <v>-109126</v>
      </c>
      <c r="O50" s="465">
        <f t="shared" si="10"/>
        <v>304942</v>
      </c>
      <c r="P50" s="460"/>
      <c r="Q50" s="452"/>
      <c r="R50" s="440"/>
      <c r="S50" s="443"/>
      <c r="T50" s="444"/>
    </row>
    <row r="51" ht="15.75" customHeight="1">
      <c r="A51" s="478"/>
      <c r="B51" s="452"/>
      <c r="C51" s="479"/>
      <c r="D51" s="479"/>
      <c r="E51" s="479"/>
      <c r="F51" s="479"/>
      <c r="G51" s="479"/>
      <c r="H51" s="479"/>
      <c r="I51" s="479"/>
      <c r="J51" s="479"/>
      <c r="K51" s="479"/>
      <c r="L51" s="479"/>
      <c r="M51" s="479"/>
      <c r="N51" s="479"/>
      <c r="O51" s="479"/>
      <c r="P51" s="452"/>
      <c r="Q51" s="452"/>
      <c r="R51" s="440"/>
      <c r="S51" s="443"/>
    </row>
    <row r="52" ht="15.75" customHeight="1">
      <c r="A52" s="478"/>
      <c r="B52" s="452"/>
      <c r="C52" s="457"/>
      <c r="D52" s="457"/>
      <c r="E52" s="457"/>
      <c r="F52" s="457"/>
      <c r="G52" s="457"/>
      <c r="H52" s="457"/>
      <c r="I52" s="457"/>
      <c r="J52" s="457"/>
      <c r="K52" s="457"/>
      <c r="L52" s="457"/>
      <c r="M52" s="457"/>
      <c r="N52" s="457"/>
      <c r="O52" s="457"/>
      <c r="P52" s="452"/>
      <c r="Q52" s="452"/>
    </row>
    <row r="53" ht="15.75" customHeight="1">
      <c r="B53" s="440"/>
      <c r="G53" s="443"/>
      <c r="H53" s="443"/>
      <c r="I53" s="443"/>
      <c r="J53" s="443"/>
      <c r="K53" s="443"/>
      <c r="L53" s="443"/>
      <c r="M53" s="443"/>
      <c r="N53" s="443"/>
    </row>
    <row r="54" ht="15.75" customHeight="1">
      <c r="B54" s="440"/>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71"/>
    <col customWidth="1" min="2" max="2" width="18.43"/>
    <col customWidth="1" min="3" max="20" width="14.43"/>
  </cols>
  <sheetData>
    <row r="1" ht="15.75" customHeight="1">
      <c r="A1" s="447"/>
      <c r="B1" s="448" t="s">
        <v>116</v>
      </c>
      <c r="C1" s="449" t="s">
        <v>229</v>
      </c>
      <c r="D1" s="449" t="s">
        <v>230</v>
      </c>
      <c r="E1" s="449" t="s">
        <v>231</v>
      </c>
      <c r="F1" s="449" t="s">
        <v>232</v>
      </c>
      <c r="G1" s="449" t="s">
        <v>233</v>
      </c>
      <c r="H1" s="449" t="s">
        <v>234</v>
      </c>
      <c r="I1" s="449" t="s">
        <v>235</v>
      </c>
      <c r="J1" s="449" t="s">
        <v>236</v>
      </c>
      <c r="K1" s="449" t="s">
        <v>237</v>
      </c>
      <c r="L1" s="449" t="s">
        <v>238</v>
      </c>
      <c r="M1" s="449" t="s">
        <v>239</v>
      </c>
      <c r="N1" s="449" t="s">
        <v>240</v>
      </c>
      <c r="O1" s="447" t="s">
        <v>129</v>
      </c>
      <c r="P1" s="452"/>
      <c r="Q1" s="452"/>
    </row>
    <row r="2" ht="15.75" customHeight="1">
      <c r="A2" s="453"/>
      <c r="B2" s="454"/>
      <c r="C2" s="455"/>
      <c r="D2" s="455"/>
      <c r="E2" s="455"/>
      <c r="F2" s="455"/>
      <c r="G2" s="455"/>
      <c r="H2" s="455"/>
      <c r="I2" s="455"/>
      <c r="J2" s="455"/>
      <c r="K2" s="455"/>
      <c r="L2" s="455"/>
      <c r="M2" s="455"/>
      <c r="N2" s="455"/>
      <c r="O2" s="456">
        <f t="shared" ref="O2:O42" si="2">SUM(C2:N2)</f>
        <v>0</v>
      </c>
      <c r="P2" s="457"/>
      <c r="Q2" s="452"/>
    </row>
    <row r="3" ht="15.75" customHeight="1">
      <c r="A3" s="447" t="s">
        <v>130</v>
      </c>
      <c r="B3" s="447"/>
      <c r="C3" s="458">
        <f t="shared" ref="C3:K3" si="1">SUM(C4:C8)</f>
        <v>3167597</v>
      </c>
      <c r="D3" s="458">
        <f t="shared" si="1"/>
        <v>3425028</v>
      </c>
      <c r="E3" s="458">
        <f t="shared" si="1"/>
        <v>2910499</v>
      </c>
      <c r="F3" s="458">
        <f t="shared" si="1"/>
        <v>3617638</v>
      </c>
      <c r="G3" s="458">
        <f t="shared" si="1"/>
        <v>2874274</v>
      </c>
      <c r="H3" s="458">
        <f t="shared" si="1"/>
        <v>2600884</v>
      </c>
      <c r="I3" s="458">
        <f t="shared" si="1"/>
        <v>2535061</v>
      </c>
      <c r="J3" s="458">
        <f t="shared" si="1"/>
        <v>2543908</v>
      </c>
      <c r="K3" s="458">
        <f t="shared" si="1"/>
        <v>3151749</v>
      </c>
      <c r="L3" s="458"/>
      <c r="M3" s="458"/>
      <c r="N3" s="458"/>
      <c r="O3" s="459">
        <f t="shared" si="2"/>
        <v>26826638</v>
      </c>
      <c r="P3" s="460">
        <f>O3/$O$3</f>
        <v>1</v>
      </c>
      <c r="Q3" s="452"/>
    </row>
    <row r="4" ht="15.75" customHeight="1">
      <c r="A4" s="43" t="s">
        <v>10</v>
      </c>
      <c r="B4" s="447"/>
      <c r="C4" s="458">
        <v>2522779.0</v>
      </c>
      <c r="D4" s="458">
        <v>2548892.0</v>
      </c>
      <c r="E4" s="458">
        <v>1925694.0</v>
      </c>
      <c r="F4" s="437">
        <v>2380420.0</v>
      </c>
      <c r="G4" s="437">
        <v>1810499.0</v>
      </c>
      <c r="H4" s="437">
        <v>1671189.0</v>
      </c>
      <c r="I4" s="437">
        <v>1672457.0</v>
      </c>
      <c r="J4" s="437">
        <v>1488521.0</v>
      </c>
      <c r="K4" s="437">
        <v>1868452.0</v>
      </c>
      <c r="L4" s="437"/>
      <c r="M4" s="437"/>
      <c r="N4" s="437"/>
      <c r="O4" s="459">
        <f t="shared" si="2"/>
        <v>17888903</v>
      </c>
      <c r="P4" s="460"/>
      <c r="Q4" s="452"/>
    </row>
    <row r="5" ht="15.75" customHeight="1">
      <c r="A5" s="43" t="s">
        <v>11</v>
      </c>
      <c r="B5" s="447"/>
      <c r="C5" s="458">
        <v>0.0</v>
      </c>
      <c r="D5" s="458">
        <v>0.0</v>
      </c>
      <c r="E5" s="458">
        <v>0.0</v>
      </c>
      <c r="F5" s="458">
        <v>0.0</v>
      </c>
      <c r="G5" s="458">
        <v>98373.0</v>
      </c>
      <c r="H5" s="458">
        <v>136927.0</v>
      </c>
      <c r="I5" s="458">
        <v>120493.0</v>
      </c>
      <c r="J5" s="458">
        <v>184887.0</v>
      </c>
      <c r="K5" s="458">
        <v>233237.0</v>
      </c>
      <c r="L5" s="458"/>
      <c r="M5" s="458"/>
      <c r="N5" s="458"/>
      <c r="O5" s="459">
        <f t="shared" si="2"/>
        <v>773917</v>
      </c>
      <c r="P5" s="460"/>
      <c r="Q5" s="452"/>
    </row>
    <row r="6" ht="15.75" customHeight="1">
      <c r="A6" s="43"/>
      <c r="B6" s="447"/>
      <c r="C6" s="458"/>
      <c r="D6" s="458"/>
      <c r="E6" s="458"/>
      <c r="F6" s="458"/>
      <c r="G6" s="458"/>
      <c r="H6" s="458"/>
      <c r="I6" s="458"/>
      <c r="J6" s="458"/>
      <c r="K6" s="458"/>
      <c r="L6" s="458"/>
      <c r="M6" s="458"/>
      <c r="N6" s="458"/>
      <c r="O6" s="459">
        <f t="shared" si="2"/>
        <v>0</v>
      </c>
      <c r="P6" s="460"/>
      <c r="Q6" s="452"/>
    </row>
    <row r="7" ht="15.75" customHeight="1">
      <c r="A7" s="43" t="s">
        <v>13</v>
      </c>
      <c r="B7" s="447"/>
      <c r="C7" s="458">
        <v>0.0</v>
      </c>
      <c r="D7" s="458">
        <v>0.0</v>
      </c>
      <c r="E7" s="458">
        <v>0.0</v>
      </c>
      <c r="F7" s="458">
        <v>0.0</v>
      </c>
      <c r="G7" s="458"/>
      <c r="H7" s="458">
        <f t="shared" ref="H7:I7" si="3">H58*200000</f>
        <v>0</v>
      </c>
      <c r="I7" s="458">
        <f t="shared" si="3"/>
        <v>0</v>
      </c>
      <c r="J7" s="458">
        <v>0.0</v>
      </c>
      <c r="K7" s="458">
        <f>K58*200000</f>
        <v>0</v>
      </c>
      <c r="L7" s="458"/>
      <c r="M7" s="458"/>
      <c r="N7" s="458"/>
      <c r="O7" s="459">
        <f t="shared" si="2"/>
        <v>0</v>
      </c>
      <c r="P7" s="460"/>
      <c r="Q7" s="452"/>
    </row>
    <row r="8" ht="15.75" customHeight="1">
      <c r="A8" s="43" t="s">
        <v>16</v>
      </c>
      <c r="B8" s="447"/>
      <c r="C8" s="458">
        <v>644818.0</v>
      </c>
      <c r="D8" s="458">
        <v>876136.0</v>
      </c>
      <c r="E8" s="458">
        <v>984805.0</v>
      </c>
      <c r="F8" s="458">
        <v>1237218.0</v>
      </c>
      <c r="G8" s="458">
        <v>965402.0</v>
      </c>
      <c r="H8" s="458">
        <v>792768.0</v>
      </c>
      <c r="I8" s="458">
        <v>742111.0</v>
      </c>
      <c r="J8" s="458">
        <v>870500.0</v>
      </c>
      <c r="K8" s="458">
        <v>1050060.0</v>
      </c>
      <c r="L8" s="458"/>
      <c r="M8" s="458"/>
      <c r="N8" s="458"/>
      <c r="O8" s="459">
        <f t="shared" si="2"/>
        <v>8163818</v>
      </c>
      <c r="P8" s="460"/>
      <c r="Q8" s="452"/>
    </row>
    <row r="9" ht="15.75" customHeight="1">
      <c r="A9" s="447" t="s">
        <v>131</v>
      </c>
      <c r="B9" s="461"/>
      <c r="C9" s="492"/>
      <c r="D9" s="492">
        <v>2500.0</v>
      </c>
      <c r="E9" s="492">
        <v>55700.0</v>
      </c>
      <c r="F9" s="492">
        <v>100695.0</v>
      </c>
      <c r="G9" s="492">
        <v>5538.0</v>
      </c>
      <c r="H9" s="492">
        <v>15412.0</v>
      </c>
      <c r="I9" s="492">
        <v>25044.0</v>
      </c>
      <c r="J9" s="492">
        <v>17848.0</v>
      </c>
      <c r="K9" s="492">
        <v>31435.0</v>
      </c>
      <c r="L9" s="492"/>
      <c r="M9" s="492"/>
      <c r="N9" s="492"/>
      <c r="O9" s="462">
        <f t="shared" si="2"/>
        <v>254172</v>
      </c>
      <c r="P9" s="460">
        <f>O9/$O$3</f>
        <v>0.00947461251</v>
      </c>
      <c r="Q9" s="452"/>
    </row>
    <row r="10" ht="17.25" customHeight="1">
      <c r="A10" s="463" t="s">
        <v>132</v>
      </c>
      <c r="B10" s="464"/>
      <c r="C10" s="465">
        <f t="shared" ref="C10:N10" si="4">C2+C3-C9</f>
        <v>3167597</v>
      </c>
      <c r="D10" s="465">
        <f t="shared" si="4"/>
        <v>3422528</v>
      </c>
      <c r="E10" s="465">
        <f t="shared" si="4"/>
        <v>2854799</v>
      </c>
      <c r="F10" s="465">
        <f t="shared" si="4"/>
        <v>3516943</v>
      </c>
      <c r="G10" s="465">
        <f t="shared" si="4"/>
        <v>2868736</v>
      </c>
      <c r="H10" s="465">
        <f t="shared" si="4"/>
        <v>2585472</v>
      </c>
      <c r="I10" s="465">
        <f t="shared" si="4"/>
        <v>2510017</v>
      </c>
      <c r="J10" s="465">
        <f t="shared" si="4"/>
        <v>2526060</v>
      </c>
      <c r="K10" s="465">
        <f t="shared" si="4"/>
        <v>3120314</v>
      </c>
      <c r="L10" s="465">
        <f t="shared" si="4"/>
        <v>0</v>
      </c>
      <c r="M10" s="465">
        <f t="shared" si="4"/>
        <v>0</v>
      </c>
      <c r="N10" s="465">
        <f t="shared" si="4"/>
        <v>0</v>
      </c>
      <c r="O10" s="465">
        <f t="shared" si="2"/>
        <v>26572466</v>
      </c>
      <c r="P10" s="460"/>
      <c r="Q10" s="452"/>
    </row>
    <row r="11" ht="15.75" customHeight="1">
      <c r="A11" s="447"/>
      <c r="B11" s="447"/>
      <c r="C11" s="447"/>
      <c r="D11" s="447"/>
      <c r="E11" s="447"/>
      <c r="F11" s="447"/>
      <c r="G11" s="447"/>
      <c r="H11" s="447"/>
      <c r="I11" s="447"/>
      <c r="J11" s="447"/>
      <c r="K11" s="447"/>
      <c r="L11" s="447"/>
      <c r="M11" s="447"/>
      <c r="N11" s="447"/>
      <c r="O11" s="465">
        <f t="shared" si="2"/>
        <v>0</v>
      </c>
      <c r="P11" s="460"/>
      <c r="Q11" s="452"/>
    </row>
    <row r="12" ht="15.75" customHeight="1">
      <c r="A12" s="447" t="s">
        <v>133</v>
      </c>
      <c r="B12" s="447"/>
      <c r="C12" s="462">
        <v>100000.0</v>
      </c>
      <c r="D12" s="462">
        <v>100000.0</v>
      </c>
      <c r="E12" s="462">
        <v>100000.0</v>
      </c>
      <c r="F12" s="462">
        <v>100000.0</v>
      </c>
      <c r="G12" s="462">
        <v>100000.0</v>
      </c>
      <c r="H12" s="462">
        <v>100000.0</v>
      </c>
      <c r="I12" s="462">
        <v>100000.0</v>
      </c>
      <c r="J12" s="462">
        <v>100000.0</v>
      </c>
      <c r="K12" s="462">
        <v>100000.0</v>
      </c>
      <c r="L12" s="462"/>
      <c r="M12" s="462"/>
      <c r="N12" s="462"/>
      <c r="O12" s="462">
        <f t="shared" si="2"/>
        <v>900000</v>
      </c>
      <c r="P12" s="460">
        <f>O12/$O$10</f>
        <v>0.03386964537</v>
      </c>
      <c r="Q12" s="452"/>
    </row>
    <row r="13" ht="15.75" customHeight="1">
      <c r="A13" s="447" t="s">
        <v>134</v>
      </c>
      <c r="B13" s="447"/>
      <c r="C13" s="462">
        <v>990985.0</v>
      </c>
      <c r="D13" s="462">
        <v>1012718.0</v>
      </c>
      <c r="E13" s="462">
        <v>1329766.0</v>
      </c>
      <c r="F13" s="462">
        <v>1546185.0</v>
      </c>
      <c r="G13" s="462">
        <v>1327564.0</v>
      </c>
      <c r="H13" s="462">
        <v>1340000.0</v>
      </c>
      <c r="I13" s="462">
        <v>1406600.0</v>
      </c>
      <c r="J13" s="462">
        <v>1355000.0</v>
      </c>
      <c r="K13" s="462">
        <f>1130000+1622465</f>
        <v>2752465</v>
      </c>
      <c r="L13" s="462"/>
      <c r="M13" s="462"/>
      <c r="N13" s="462"/>
      <c r="O13" s="462">
        <f t="shared" si="2"/>
        <v>13061283</v>
      </c>
      <c r="P13" s="460"/>
      <c r="Q13" s="452"/>
    </row>
    <row r="14" ht="15.75" customHeight="1">
      <c r="A14" s="447" t="s">
        <v>135</v>
      </c>
      <c r="B14" s="461"/>
      <c r="C14" s="459">
        <v>1668580.0</v>
      </c>
      <c r="D14" s="459">
        <v>1770640.0</v>
      </c>
      <c r="E14" s="459">
        <v>1302720.0</v>
      </c>
      <c r="F14" s="459">
        <v>1714646.0</v>
      </c>
      <c r="G14" s="459">
        <v>1620679.0</v>
      </c>
      <c r="H14" s="459">
        <v>1435431.0</v>
      </c>
      <c r="I14" s="459">
        <v>1324109.0</v>
      </c>
      <c r="J14" s="459">
        <v>1241742.0</v>
      </c>
      <c r="K14" s="459">
        <v>1351432.0</v>
      </c>
      <c r="L14" s="459"/>
      <c r="M14" s="459"/>
      <c r="N14" s="459"/>
      <c r="O14" s="462">
        <f t="shared" si="2"/>
        <v>13429979</v>
      </c>
      <c r="P14" s="460">
        <f>O14/$O$10</f>
        <v>0.5054095845</v>
      </c>
      <c r="Q14" s="452"/>
    </row>
    <row r="15" ht="15.75" customHeight="1">
      <c r="A15" s="447" t="s">
        <v>29</v>
      </c>
      <c r="B15" s="461">
        <v>0.0</v>
      </c>
      <c r="C15" s="462">
        <v>238453.0</v>
      </c>
      <c r="D15" s="462">
        <v>173534.0</v>
      </c>
      <c r="E15" s="462">
        <v>197529.0</v>
      </c>
      <c r="F15" s="462">
        <v>192435.0</v>
      </c>
      <c r="G15" s="462">
        <v>246407.0</v>
      </c>
      <c r="H15" s="462">
        <v>247527.0</v>
      </c>
      <c r="I15" s="462">
        <v>-288512.0</v>
      </c>
      <c r="J15" s="462">
        <v>180964.0</v>
      </c>
      <c r="K15" s="462">
        <v>395837.0</v>
      </c>
      <c r="L15" s="462"/>
      <c r="M15" s="462"/>
      <c r="N15" s="462"/>
      <c r="O15" s="462">
        <f t="shared" si="2"/>
        <v>1584174</v>
      </c>
      <c r="P15" s="460"/>
      <c r="Q15" s="452"/>
    </row>
    <row r="16" ht="15.75" customHeight="1">
      <c r="A16" s="447" t="s">
        <v>30</v>
      </c>
      <c r="B16" s="447"/>
      <c r="C16" s="505">
        <v>201852.0</v>
      </c>
      <c r="D16" s="447">
        <v>253855.0</v>
      </c>
      <c r="E16" s="447">
        <v>184259.0</v>
      </c>
      <c r="F16" s="447">
        <v>214815.0</v>
      </c>
      <c r="G16" s="447">
        <v>205741.0</v>
      </c>
      <c r="H16" s="447">
        <v>194028.0</v>
      </c>
      <c r="I16" s="447">
        <v>186306.0</v>
      </c>
      <c r="J16" s="447">
        <v>154000.0</v>
      </c>
      <c r="K16" s="447">
        <v>192500.0</v>
      </c>
      <c r="L16" s="447"/>
      <c r="M16" s="447"/>
      <c r="N16" s="447"/>
      <c r="O16" s="462">
        <f t="shared" si="2"/>
        <v>1787356</v>
      </c>
      <c r="P16" s="460"/>
      <c r="Q16" s="452"/>
    </row>
    <row r="17" ht="15.75" customHeight="1">
      <c r="A17" s="447" t="s">
        <v>136</v>
      </c>
      <c r="B17" s="447"/>
      <c r="C17" s="462">
        <v>10000.0</v>
      </c>
      <c r="D17" s="462">
        <v>10000.0</v>
      </c>
      <c r="E17" s="462">
        <v>70000.0</v>
      </c>
      <c r="F17" s="462">
        <v>10000.0</v>
      </c>
      <c r="G17" s="462">
        <v>10000.0</v>
      </c>
      <c r="H17" s="462">
        <v>10000.0</v>
      </c>
      <c r="I17" s="462">
        <v>10000.0</v>
      </c>
      <c r="J17" s="462">
        <v>10000.0</v>
      </c>
      <c r="K17" s="462">
        <v>10000.0</v>
      </c>
      <c r="L17" s="462"/>
      <c r="M17" s="462"/>
      <c r="N17" s="462"/>
      <c r="O17" s="462">
        <f t="shared" si="2"/>
        <v>150000</v>
      </c>
      <c r="P17" s="460"/>
      <c r="Q17" s="452"/>
    </row>
    <row r="18" ht="15.75" customHeight="1">
      <c r="A18" s="447" t="s">
        <v>137</v>
      </c>
      <c r="B18" s="461"/>
      <c r="C18" s="462"/>
      <c r="D18" s="462"/>
      <c r="E18" s="462"/>
      <c r="F18" s="462"/>
      <c r="G18" s="462"/>
      <c r="H18" s="462"/>
      <c r="I18" s="458"/>
      <c r="J18" s="462"/>
      <c r="K18" s="458"/>
      <c r="L18" s="458"/>
      <c r="M18" s="458"/>
      <c r="N18" s="458"/>
      <c r="O18" s="462">
        <f t="shared" si="2"/>
        <v>0</v>
      </c>
      <c r="P18" s="460"/>
      <c r="Q18" s="452"/>
    </row>
    <row r="19" ht="15.75" customHeight="1">
      <c r="A19" s="447" t="s">
        <v>138</v>
      </c>
      <c r="B19" s="447"/>
      <c r="C19" s="462">
        <v>11585.0</v>
      </c>
      <c r="D19" s="462">
        <v>20109.0</v>
      </c>
      <c r="E19" s="462">
        <v>17000.0</v>
      </c>
      <c r="F19" s="462">
        <v>22591.0</v>
      </c>
      <c r="G19" s="462">
        <v>20636.0</v>
      </c>
      <c r="H19" s="462">
        <v>20946.0</v>
      </c>
      <c r="I19" s="462">
        <v>23501.0</v>
      </c>
      <c r="J19" s="462">
        <v>20091.0</v>
      </c>
      <c r="K19" s="462">
        <v>54027.0</v>
      </c>
      <c r="L19" s="462"/>
      <c r="M19" s="462"/>
      <c r="N19" s="462"/>
      <c r="O19" s="462">
        <f t="shared" si="2"/>
        <v>210486</v>
      </c>
      <c r="P19" s="460"/>
      <c r="Q19" s="452"/>
    </row>
    <row r="20" ht="15.75" customHeight="1">
      <c r="A20" s="447" t="s">
        <v>139</v>
      </c>
      <c r="B20" s="447"/>
      <c r="C20" s="462">
        <v>16341.0</v>
      </c>
      <c r="D20" s="462">
        <v>13271.0</v>
      </c>
      <c r="E20" s="462">
        <v>1650.0</v>
      </c>
      <c r="F20" s="462">
        <v>5125.0</v>
      </c>
      <c r="G20" s="462">
        <v>4055.0</v>
      </c>
      <c r="H20" s="462">
        <v>1483.0</v>
      </c>
      <c r="I20" s="462">
        <v>14511.0</v>
      </c>
      <c r="J20" s="462">
        <v>2905.0</v>
      </c>
      <c r="K20" s="462">
        <v>3042.0</v>
      </c>
      <c r="L20" s="462"/>
      <c r="M20" s="462"/>
      <c r="N20" s="462"/>
      <c r="O20" s="462">
        <f t="shared" si="2"/>
        <v>62383</v>
      </c>
      <c r="P20" s="460">
        <f>O20/$O$10</f>
        <v>0.002347655652</v>
      </c>
      <c r="Q20" s="452"/>
    </row>
    <row r="21" ht="15.75" customHeight="1">
      <c r="A21" s="466" t="s">
        <v>140</v>
      </c>
      <c r="B21" s="447"/>
      <c r="C21" s="462"/>
      <c r="D21" s="462"/>
      <c r="E21" s="462"/>
      <c r="F21" s="462">
        <v>9091.0</v>
      </c>
      <c r="G21" s="462"/>
      <c r="H21" s="462"/>
      <c r="I21" s="458">
        <v>18182.0</v>
      </c>
      <c r="J21" s="462">
        <v>54545.0</v>
      </c>
      <c r="K21" s="458">
        <v>18182.0</v>
      </c>
      <c r="L21" s="458"/>
      <c r="M21" s="458"/>
      <c r="N21" s="458"/>
      <c r="O21" s="462">
        <f t="shared" si="2"/>
        <v>100000</v>
      </c>
      <c r="P21" s="460"/>
      <c r="Q21" s="452"/>
    </row>
    <row r="22" ht="15.75" customHeight="1">
      <c r="A22" s="447" t="s">
        <v>141</v>
      </c>
      <c r="B22" s="447"/>
      <c r="C22" s="462">
        <v>39273.0</v>
      </c>
      <c r="D22" s="462">
        <v>18909.0</v>
      </c>
      <c r="E22" s="462"/>
      <c r="F22" s="462"/>
      <c r="G22" s="462"/>
      <c r="H22" s="462"/>
      <c r="I22" s="458"/>
      <c r="J22" s="462"/>
      <c r="K22" s="458"/>
      <c r="L22" s="458"/>
      <c r="M22" s="458"/>
      <c r="N22" s="458"/>
      <c r="O22" s="462">
        <f t="shared" si="2"/>
        <v>58182</v>
      </c>
      <c r="P22" s="460">
        <f>O22/$O$10</f>
        <v>0.002189559674</v>
      </c>
      <c r="Q22" s="452"/>
    </row>
    <row r="23" ht="15.75" customHeight="1">
      <c r="A23" s="447" t="s">
        <v>142</v>
      </c>
      <c r="B23" s="447"/>
      <c r="C23" s="462"/>
      <c r="D23" s="462"/>
      <c r="E23" s="462"/>
      <c r="F23" s="462"/>
      <c r="G23" s="462"/>
      <c r="H23" s="462"/>
      <c r="I23" s="458"/>
      <c r="J23" s="462"/>
      <c r="K23" s="458"/>
      <c r="L23" s="458"/>
      <c r="M23" s="458"/>
      <c r="N23" s="458"/>
      <c r="O23" s="462">
        <f t="shared" si="2"/>
        <v>0</v>
      </c>
      <c r="P23" s="460"/>
      <c r="Q23" s="452"/>
    </row>
    <row r="24" ht="15.75" customHeight="1">
      <c r="A24" s="447" t="s">
        <v>143</v>
      </c>
      <c r="B24" s="447"/>
      <c r="C24" s="462"/>
      <c r="D24" s="462"/>
      <c r="E24" s="462"/>
      <c r="F24" s="462"/>
      <c r="G24" s="462"/>
      <c r="H24" s="462"/>
      <c r="I24" s="458"/>
      <c r="J24" s="462"/>
      <c r="K24" s="458"/>
      <c r="L24" s="458"/>
      <c r="M24" s="458"/>
      <c r="N24" s="458"/>
      <c r="O24" s="462">
        <f t="shared" si="2"/>
        <v>0</v>
      </c>
      <c r="P24" s="460">
        <f>O24/$O$10</f>
        <v>0</v>
      </c>
      <c r="Q24" s="452"/>
    </row>
    <row r="25" ht="15.75" customHeight="1">
      <c r="A25" s="447" t="s">
        <v>144</v>
      </c>
      <c r="B25" s="447"/>
      <c r="C25" s="462"/>
      <c r="D25" s="462"/>
      <c r="E25" s="462"/>
      <c r="F25" s="462"/>
      <c r="G25" s="462"/>
      <c r="H25" s="462"/>
      <c r="I25" s="458"/>
      <c r="J25" s="462"/>
      <c r="K25" s="458"/>
      <c r="L25" s="458"/>
      <c r="M25" s="458"/>
      <c r="N25" s="458"/>
      <c r="O25" s="462">
        <f t="shared" si="2"/>
        <v>0</v>
      </c>
      <c r="P25" s="460"/>
      <c r="Q25" s="452"/>
    </row>
    <row r="26" ht="15.75" customHeight="1">
      <c r="A26" s="447" t="s">
        <v>145</v>
      </c>
      <c r="B26" s="447"/>
      <c r="C26" s="462"/>
      <c r="D26" s="462"/>
      <c r="E26" s="462"/>
      <c r="F26" s="462"/>
      <c r="G26" s="462"/>
      <c r="H26" s="462"/>
      <c r="I26" s="458"/>
      <c r="J26" s="462"/>
      <c r="K26" s="458"/>
      <c r="L26" s="458"/>
      <c r="M26" s="458"/>
      <c r="N26" s="458"/>
      <c r="O26" s="462">
        <f t="shared" si="2"/>
        <v>0</v>
      </c>
      <c r="P26" s="460"/>
      <c r="Q26" s="452"/>
    </row>
    <row r="27" ht="15.75" customHeight="1">
      <c r="A27" s="447" t="s">
        <v>33</v>
      </c>
      <c r="B27" s="458"/>
      <c r="C27" s="458">
        <v>217000.0</v>
      </c>
      <c r="D27" s="458">
        <v>217000.0</v>
      </c>
      <c r="E27" s="458">
        <v>217000.0</v>
      </c>
      <c r="F27" s="458">
        <v>217000.0</v>
      </c>
      <c r="G27" s="458">
        <v>367000.0</v>
      </c>
      <c r="H27" s="458">
        <v>367000.0</v>
      </c>
      <c r="I27" s="458">
        <v>367000.0</v>
      </c>
      <c r="J27" s="458">
        <v>367000.0</v>
      </c>
      <c r="K27" s="458">
        <v>367000.0</v>
      </c>
      <c r="L27" s="458"/>
      <c r="M27" s="458"/>
      <c r="N27" s="458"/>
      <c r="O27" s="462">
        <f t="shared" si="2"/>
        <v>2703000</v>
      </c>
      <c r="P27" s="460"/>
      <c r="Q27" s="452"/>
    </row>
    <row r="28" ht="15.75" customHeight="1">
      <c r="A28" s="447" t="s">
        <v>146</v>
      </c>
      <c r="B28" s="447"/>
      <c r="C28" s="462"/>
      <c r="D28" s="462"/>
      <c r="E28" s="462"/>
      <c r="F28" s="462"/>
      <c r="G28" s="462"/>
      <c r="H28" s="462"/>
      <c r="I28" s="458"/>
      <c r="J28" s="462"/>
      <c r="K28" s="458"/>
      <c r="L28" s="458"/>
      <c r="M28" s="458"/>
      <c r="N28" s="458"/>
      <c r="O28" s="462">
        <f t="shared" si="2"/>
        <v>0</v>
      </c>
      <c r="P28" s="460"/>
      <c r="Q28" s="452"/>
    </row>
    <row r="29" ht="15.75" customHeight="1">
      <c r="A29" s="447" t="s">
        <v>147</v>
      </c>
      <c r="B29" s="447"/>
      <c r="C29" s="462"/>
      <c r="D29" s="462"/>
      <c r="E29" s="462"/>
      <c r="F29" s="462"/>
      <c r="G29" s="462"/>
      <c r="H29" s="462"/>
      <c r="I29" s="458"/>
      <c r="J29" s="462"/>
      <c r="K29" s="458"/>
      <c r="L29" s="458"/>
      <c r="M29" s="458"/>
      <c r="N29" s="458"/>
      <c r="O29" s="462">
        <f t="shared" si="2"/>
        <v>0</v>
      </c>
      <c r="P29" s="460"/>
      <c r="Q29" s="452"/>
    </row>
    <row r="30" ht="15.75" customHeight="1">
      <c r="A30" s="447" t="s">
        <v>35</v>
      </c>
      <c r="B30" s="458"/>
      <c r="C30" s="458">
        <v>10270.0</v>
      </c>
      <c r="D30" s="458">
        <v>10270.0</v>
      </c>
      <c r="E30" s="458">
        <v>10270.0</v>
      </c>
      <c r="F30" s="458">
        <v>10270.0</v>
      </c>
      <c r="G30" s="458">
        <v>10270.0</v>
      </c>
      <c r="H30" s="458">
        <v>10270.0</v>
      </c>
      <c r="I30" s="458">
        <v>10270.0</v>
      </c>
      <c r="J30" s="458">
        <v>10270.0</v>
      </c>
      <c r="K30" s="458">
        <v>10270.0</v>
      </c>
      <c r="L30" s="458"/>
      <c r="M30" s="458"/>
      <c r="N30" s="458"/>
      <c r="O30" s="462">
        <f t="shared" si="2"/>
        <v>92430</v>
      </c>
      <c r="P30" s="460"/>
      <c r="Q30" s="452"/>
    </row>
    <row r="31" ht="15.75" customHeight="1">
      <c r="A31" s="447" t="s">
        <v>148</v>
      </c>
      <c r="B31" s="461">
        <v>0.0</v>
      </c>
      <c r="C31" s="492"/>
      <c r="D31" s="492"/>
      <c r="E31" s="492"/>
      <c r="F31" s="492"/>
      <c r="G31" s="492"/>
      <c r="H31" s="492"/>
      <c r="I31" s="458"/>
      <c r="J31" s="492"/>
      <c r="K31" s="458"/>
      <c r="L31" s="458"/>
      <c r="M31" s="458"/>
      <c r="N31" s="458"/>
      <c r="O31" s="462">
        <f t="shared" si="2"/>
        <v>0</v>
      </c>
      <c r="P31" s="460"/>
      <c r="Q31" s="452"/>
    </row>
    <row r="32" ht="15.75" customHeight="1">
      <c r="A32" s="447" t="s">
        <v>34</v>
      </c>
      <c r="B32" s="461">
        <v>0.0</v>
      </c>
      <c r="C32" s="492">
        <v>27530.0</v>
      </c>
      <c r="D32" s="492">
        <v>29515.0</v>
      </c>
      <c r="E32" s="492">
        <v>11798.0</v>
      </c>
      <c r="F32" s="492">
        <v>11204.0</v>
      </c>
      <c r="G32" s="492">
        <v>12816.0</v>
      </c>
      <c r="H32" s="492">
        <v>12173.0</v>
      </c>
      <c r="I32" s="492">
        <v>2340.0</v>
      </c>
      <c r="J32" s="492">
        <v>100.0</v>
      </c>
      <c r="K32" s="492">
        <v>12290.0</v>
      </c>
      <c r="L32" s="492"/>
      <c r="M32" s="492"/>
      <c r="N32" s="492"/>
      <c r="O32" s="462">
        <f t="shared" si="2"/>
        <v>119766</v>
      </c>
      <c r="P32" s="460">
        <f>O32/$O$10</f>
        <v>0.004507146608</v>
      </c>
      <c r="Q32" s="452"/>
    </row>
    <row r="33" ht="15.75" customHeight="1">
      <c r="A33" s="447" t="s">
        <v>149</v>
      </c>
      <c r="B33" s="467"/>
      <c r="C33" s="467">
        <v>7000.0</v>
      </c>
      <c r="D33" s="447"/>
      <c r="E33" s="447"/>
      <c r="F33" s="447"/>
      <c r="G33" s="447"/>
      <c r="H33" s="447"/>
      <c r="I33" s="458"/>
      <c r="J33" s="447"/>
      <c r="K33" s="458"/>
      <c r="L33" s="458"/>
      <c r="M33" s="458"/>
      <c r="N33" s="458"/>
      <c r="O33" s="462">
        <f t="shared" si="2"/>
        <v>7000</v>
      </c>
      <c r="P33" s="460"/>
      <c r="Q33" s="452"/>
    </row>
    <row r="34" ht="15.75" customHeight="1">
      <c r="A34" s="447" t="s">
        <v>150</v>
      </c>
      <c r="B34" s="468"/>
      <c r="C34" s="492"/>
      <c r="D34" s="462"/>
      <c r="E34" s="462"/>
      <c r="F34" s="462"/>
      <c r="G34" s="462"/>
      <c r="H34" s="462"/>
      <c r="I34" s="458"/>
      <c r="J34" s="462"/>
      <c r="K34" s="458"/>
      <c r="L34" s="458"/>
      <c r="M34" s="458"/>
      <c r="N34" s="458"/>
      <c r="O34" s="462">
        <f t="shared" si="2"/>
        <v>0</v>
      </c>
      <c r="P34" s="460"/>
      <c r="Q34" s="452"/>
    </row>
    <row r="35" ht="15.75" customHeight="1">
      <c r="A35" s="447" t="s">
        <v>36</v>
      </c>
      <c r="B35" s="461">
        <v>0.0</v>
      </c>
      <c r="C35" s="462">
        <v>5700.0</v>
      </c>
      <c r="D35" s="462">
        <v>7550.0</v>
      </c>
      <c r="E35" s="462">
        <v>8000.0</v>
      </c>
      <c r="F35" s="462">
        <v>7850.0</v>
      </c>
      <c r="G35" s="462">
        <v>6850.0</v>
      </c>
      <c r="H35" s="462">
        <v>7250.0</v>
      </c>
      <c r="I35" s="462">
        <v>34150.0</v>
      </c>
      <c r="J35" s="462">
        <v>38930.0</v>
      </c>
      <c r="K35" s="462">
        <v>38960.0</v>
      </c>
      <c r="L35" s="462"/>
      <c r="M35" s="462"/>
      <c r="N35" s="462"/>
      <c r="O35" s="462">
        <f t="shared" si="2"/>
        <v>155240</v>
      </c>
      <c r="P35" s="460"/>
      <c r="Q35" s="452"/>
    </row>
    <row r="36" ht="15.75" customHeight="1">
      <c r="A36" s="447" t="s">
        <v>151</v>
      </c>
      <c r="B36" s="447"/>
      <c r="C36" s="462"/>
      <c r="D36" s="462"/>
      <c r="E36" s="462"/>
      <c r="F36" s="462"/>
      <c r="G36" s="462"/>
      <c r="H36" s="462"/>
      <c r="I36" s="458"/>
      <c r="J36" s="462"/>
      <c r="K36" s="458"/>
      <c r="L36" s="458"/>
      <c r="M36" s="458"/>
      <c r="N36" s="458"/>
      <c r="O36" s="462">
        <f t="shared" si="2"/>
        <v>0</v>
      </c>
      <c r="P36" s="460"/>
      <c r="Q36" s="452"/>
    </row>
    <row r="37" ht="15.75" customHeight="1">
      <c r="A37" s="447" t="s">
        <v>152</v>
      </c>
      <c r="B37" s="461"/>
      <c r="C37" s="462"/>
      <c r="D37" s="462"/>
      <c r="E37" s="462"/>
      <c r="F37" s="462">
        <v>86182.0</v>
      </c>
      <c r="G37" s="462"/>
      <c r="H37" s="462"/>
      <c r="I37" s="458"/>
      <c r="J37" s="462"/>
      <c r="K37" s="458"/>
      <c r="L37" s="458"/>
      <c r="M37" s="458"/>
      <c r="N37" s="458"/>
      <c r="O37" s="462">
        <f t="shared" si="2"/>
        <v>86182</v>
      </c>
      <c r="P37" s="460"/>
      <c r="Q37" s="452"/>
    </row>
    <row r="38" ht="15.75" customHeight="1">
      <c r="A38" s="447"/>
      <c r="B38" s="461">
        <v>0.0</v>
      </c>
      <c r="C38" s="462"/>
      <c r="D38" s="462"/>
      <c r="E38" s="462"/>
      <c r="F38" s="462"/>
      <c r="G38" s="462"/>
      <c r="H38" s="462"/>
      <c r="I38" s="462"/>
      <c r="J38" s="462"/>
      <c r="K38" s="462"/>
      <c r="L38" s="462"/>
      <c r="M38" s="462"/>
      <c r="N38" s="462"/>
      <c r="O38" s="462">
        <f t="shared" si="2"/>
        <v>0</v>
      </c>
      <c r="P38" s="460"/>
      <c r="Q38" s="452"/>
    </row>
    <row r="39" ht="15.75" customHeight="1">
      <c r="A39" s="469" t="s">
        <v>37</v>
      </c>
      <c r="B39" s="461"/>
      <c r="C39" s="462">
        <v>30000.0</v>
      </c>
      <c r="D39" s="462">
        <v>30000.0</v>
      </c>
      <c r="E39" s="462">
        <v>150000.0</v>
      </c>
      <c r="F39" s="462">
        <v>50000.0</v>
      </c>
      <c r="G39" s="462">
        <v>50000.0</v>
      </c>
      <c r="H39" s="462">
        <v>50000.0</v>
      </c>
      <c r="I39" s="462">
        <v>50000.0</v>
      </c>
      <c r="J39" s="462">
        <v>69000.0</v>
      </c>
      <c r="K39" s="462">
        <v>62000.0</v>
      </c>
      <c r="L39" s="462"/>
      <c r="M39" s="462"/>
      <c r="N39" s="462"/>
      <c r="O39" s="462">
        <f t="shared" si="2"/>
        <v>541000</v>
      </c>
      <c r="P39" s="460">
        <f>O39/$O$10</f>
        <v>0.02035942016</v>
      </c>
      <c r="Q39" s="452"/>
    </row>
    <row r="40" ht="15.75" customHeight="1">
      <c r="A40" s="447" t="s">
        <v>241</v>
      </c>
      <c r="B40" s="447"/>
      <c r="C40" s="462"/>
      <c r="D40" s="462"/>
      <c r="E40" s="462">
        <v>1364.0</v>
      </c>
      <c r="F40" s="462"/>
      <c r="G40" s="462"/>
      <c r="H40" s="462"/>
      <c r="I40" s="458"/>
      <c r="J40" s="462"/>
      <c r="K40" s="458"/>
      <c r="L40" s="458"/>
      <c r="M40" s="458"/>
      <c r="N40" s="458"/>
      <c r="O40" s="462">
        <f t="shared" si="2"/>
        <v>1364</v>
      </c>
      <c r="P40" s="460"/>
      <c r="Q40" s="452"/>
    </row>
    <row r="41" ht="15.75" customHeight="1">
      <c r="A41" s="43"/>
      <c r="B41" s="447"/>
      <c r="C41" s="447"/>
      <c r="D41" s="447"/>
      <c r="E41" s="447"/>
      <c r="F41" s="447"/>
      <c r="G41" s="458"/>
      <c r="H41" s="458"/>
      <c r="I41" s="458"/>
      <c r="J41" s="458"/>
      <c r="K41" s="458"/>
      <c r="L41" s="458"/>
      <c r="M41" s="458"/>
      <c r="N41" s="458"/>
      <c r="O41" s="462">
        <f t="shared" si="2"/>
        <v>0</v>
      </c>
      <c r="P41" s="460"/>
      <c r="Q41" s="452"/>
    </row>
    <row r="42" ht="15.75" customHeight="1">
      <c r="A42" s="447" t="s">
        <v>153</v>
      </c>
      <c r="B42" s="447"/>
      <c r="C42" s="462">
        <f t="shared" ref="C42:N42" si="5">SUM(C12:C41)</f>
        <v>3574569</v>
      </c>
      <c r="D42" s="462">
        <f t="shared" si="5"/>
        <v>3667371</v>
      </c>
      <c r="E42" s="462">
        <f t="shared" si="5"/>
        <v>3601356</v>
      </c>
      <c r="F42" s="462">
        <f t="shared" si="5"/>
        <v>4197394</v>
      </c>
      <c r="G42" s="462">
        <f t="shared" si="5"/>
        <v>3982018</v>
      </c>
      <c r="H42" s="462">
        <f t="shared" si="5"/>
        <v>3796108</v>
      </c>
      <c r="I42" s="462">
        <f t="shared" si="5"/>
        <v>3258457</v>
      </c>
      <c r="J42" s="462">
        <f t="shared" si="5"/>
        <v>3604547</v>
      </c>
      <c r="K42" s="462">
        <f t="shared" si="5"/>
        <v>5368005</v>
      </c>
      <c r="L42" s="462">
        <f t="shared" si="5"/>
        <v>0</v>
      </c>
      <c r="M42" s="462">
        <f t="shared" si="5"/>
        <v>0</v>
      </c>
      <c r="N42" s="462">
        <f t="shared" si="5"/>
        <v>0</v>
      </c>
      <c r="O42" s="462">
        <f t="shared" si="2"/>
        <v>35049825</v>
      </c>
      <c r="P42" s="460">
        <f t="shared" ref="P42:P43" si="7">O42/$O$10</f>
        <v>1.319027937</v>
      </c>
      <c r="Q42" s="452"/>
    </row>
    <row r="43" ht="15.75" customHeight="1">
      <c r="A43" s="463" t="s">
        <v>40</v>
      </c>
      <c r="B43" s="463"/>
      <c r="C43" s="465">
        <f t="shared" ref="C43:O43" si="6">C10-C42</f>
        <v>-406972</v>
      </c>
      <c r="D43" s="465">
        <f t="shared" si="6"/>
        <v>-244843</v>
      </c>
      <c r="E43" s="465">
        <f t="shared" si="6"/>
        <v>-746557</v>
      </c>
      <c r="F43" s="465">
        <f t="shared" si="6"/>
        <v>-680451</v>
      </c>
      <c r="G43" s="465">
        <f t="shared" si="6"/>
        <v>-1113282</v>
      </c>
      <c r="H43" s="465">
        <f t="shared" si="6"/>
        <v>-1210636</v>
      </c>
      <c r="I43" s="465">
        <f t="shared" si="6"/>
        <v>-748440</v>
      </c>
      <c r="J43" s="465">
        <f t="shared" si="6"/>
        <v>-1078487</v>
      </c>
      <c r="K43" s="465">
        <f t="shared" si="6"/>
        <v>-2247691</v>
      </c>
      <c r="L43" s="465">
        <f t="shared" si="6"/>
        <v>0</v>
      </c>
      <c r="M43" s="465">
        <f t="shared" si="6"/>
        <v>0</v>
      </c>
      <c r="N43" s="465">
        <f t="shared" si="6"/>
        <v>0</v>
      </c>
      <c r="O43" s="465">
        <f t="shared" si="6"/>
        <v>-8477359</v>
      </c>
      <c r="P43" s="460">
        <f t="shared" si="7"/>
        <v>-0.3190279367</v>
      </c>
      <c r="Q43" s="452"/>
    </row>
    <row r="44" ht="15.75" customHeight="1">
      <c r="A44" s="447" t="s">
        <v>154</v>
      </c>
      <c r="B44" s="447"/>
      <c r="C44" s="462">
        <v>10355.0</v>
      </c>
      <c r="D44" s="462"/>
      <c r="E44" s="462">
        <v>9697.0</v>
      </c>
      <c r="F44" s="462">
        <v>5260.0</v>
      </c>
      <c r="G44" s="462"/>
      <c r="H44" s="462">
        <v>5753.0</v>
      </c>
      <c r="I44" s="462">
        <v>8711.0</v>
      </c>
      <c r="J44" s="462">
        <v>5095.0</v>
      </c>
      <c r="K44" s="462">
        <v>4931.0</v>
      </c>
      <c r="L44" s="462"/>
      <c r="M44" s="462"/>
      <c r="N44" s="462"/>
      <c r="O44" s="462">
        <f t="shared" ref="O44:O46" si="8">SUM(C44:N44)</f>
        <v>49802</v>
      </c>
      <c r="P44" s="460"/>
      <c r="Q44" s="452"/>
    </row>
    <row r="45" ht="15.75" customHeight="1">
      <c r="A45" s="447" t="s">
        <v>155</v>
      </c>
      <c r="B45" s="447"/>
      <c r="C45" s="447"/>
      <c r="D45" s="447"/>
      <c r="E45" s="462"/>
      <c r="F45" s="447"/>
      <c r="G45" s="447"/>
      <c r="H45" s="447"/>
      <c r="I45" s="458"/>
      <c r="J45" s="447"/>
      <c r="K45" s="458"/>
      <c r="L45" s="458"/>
      <c r="M45" s="458"/>
      <c r="N45" s="458"/>
      <c r="O45" s="471">
        <f t="shared" si="8"/>
        <v>0</v>
      </c>
      <c r="P45" s="460"/>
      <c r="Q45" s="452"/>
    </row>
    <row r="46" ht="15.75" customHeight="1">
      <c r="A46" s="447" t="s">
        <v>156</v>
      </c>
      <c r="B46" s="447"/>
      <c r="C46" s="447">
        <v>77636.0</v>
      </c>
      <c r="D46" s="447">
        <v>78459.0</v>
      </c>
      <c r="E46" s="447">
        <v>67823.0</v>
      </c>
      <c r="F46" s="447">
        <v>75273.0</v>
      </c>
      <c r="G46" s="447">
        <v>67636.0</v>
      </c>
      <c r="H46" s="447">
        <v>63273.0</v>
      </c>
      <c r="I46" s="447">
        <v>59091.0</v>
      </c>
      <c r="J46" s="447">
        <v>51561.0</v>
      </c>
      <c r="K46" s="447">
        <v>63273.0</v>
      </c>
      <c r="L46" s="447"/>
      <c r="M46" s="447"/>
      <c r="N46" s="447"/>
      <c r="O46" s="471">
        <f t="shared" si="8"/>
        <v>604025</v>
      </c>
      <c r="P46" s="460"/>
      <c r="Q46" s="452"/>
    </row>
    <row r="47" ht="15.75" customHeight="1">
      <c r="A47" s="463" t="s">
        <v>43</v>
      </c>
      <c r="B47" s="463"/>
      <c r="C47" s="470">
        <f t="shared" ref="C47:O47" si="9">C43-C44-C45+C46</f>
        <v>-339691</v>
      </c>
      <c r="D47" s="470">
        <f t="shared" si="9"/>
        <v>-166384</v>
      </c>
      <c r="E47" s="470">
        <f t="shared" si="9"/>
        <v>-688431</v>
      </c>
      <c r="F47" s="470">
        <f t="shared" si="9"/>
        <v>-610438</v>
      </c>
      <c r="G47" s="470">
        <f t="shared" si="9"/>
        <v>-1045646</v>
      </c>
      <c r="H47" s="470">
        <f t="shared" si="9"/>
        <v>-1153116</v>
      </c>
      <c r="I47" s="470">
        <f t="shared" si="9"/>
        <v>-698060</v>
      </c>
      <c r="J47" s="470">
        <f t="shared" si="9"/>
        <v>-1032021</v>
      </c>
      <c r="K47" s="470">
        <f t="shared" si="9"/>
        <v>-2189349</v>
      </c>
      <c r="L47" s="470">
        <f t="shared" si="9"/>
        <v>0</v>
      </c>
      <c r="M47" s="470">
        <f t="shared" si="9"/>
        <v>0</v>
      </c>
      <c r="N47" s="470">
        <f t="shared" si="9"/>
        <v>0</v>
      </c>
      <c r="O47" s="470">
        <f t="shared" si="9"/>
        <v>-7923136</v>
      </c>
      <c r="P47" s="460">
        <f>O47/$O$10</f>
        <v>-0.2981708961</v>
      </c>
      <c r="Q47" s="452"/>
    </row>
    <row r="48" ht="15.75" customHeight="1">
      <c r="A48" s="447" t="s">
        <v>44</v>
      </c>
      <c r="B48" s="447"/>
      <c r="C48" s="447"/>
      <c r="D48" s="447"/>
      <c r="E48" s="447"/>
      <c r="F48" s="447"/>
      <c r="G48" s="447"/>
      <c r="H48" s="447"/>
      <c r="I48" s="458"/>
      <c r="J48" s="447"/>
      <c r="K48" s="458"/>
      <c r="L48" s="458"/>
      <c r="M48" s="458"/>
      <c r="N48" s="458"/>
      <c r="O48" s="471">
        <f t="shared" ref="O48:O49" si="10">SUM(C48:N48)</f>
        <v>0</v>
      </c>
      <c r="P48" s="460"/>
      <c r="Q48" s="452"/>
    </row>
    <row r="49" ht="15.75" customHeight="1">
      <c r="A49" s="472" t="s">
        <v>45</v>
      </c>
      <c r="B49" s="472"/>
      <c r="C49" s="472"/>
      <c r="D49" s="472"/>
      <c r="E49" s="472"/>
      <c r="F49" s="472"/>
      <c r="G49" s="472"/>
      <c r="H49" s="472"/>
      <c r="I49" s="458"/>
      <c r="J49" s="472"/>
      <c r="K49" s="458"/>
      <c r="L49" s="458"/>
      <c r="M49" s="458"/>
      <c r="N49" s="458"/>
      <c r="O49" s="497">
        <f t="shared" si="10"/>
        <v>0</v>
      </c>
      <c r="P49" s="460"/>
      <c r="Q49" s="452"/>
      <c r="R49" s="440"/>
      <c r="S49" s="443"/>
      <c r="T49" s="444"/>
    </row>
    <row r="50" ht="15.75" customHeight="1">
      <c r="A50" s="463" t="s">
        <v>157</v>
      </c>
      <c r="B50" s="463"/>
      <c r="C50" s="465">
        <f t="shared" ref="C50:O50" si="11">C47+C48-C49</f>
        <v>-339691</v>
      </c>
      <c r="D50" s="465">
        <f t="shared" si="11"/>
        <v>-166384</v>
      </c>
      <c r="E50" s="465">
        <f t="shared" si="11"/>
        <v>-688431</v>
      </c>
      <c r="F50" s="465">
        <f t="shared" si="11"/>
        <v>-610438</v>
      </c>
      <c r="G50" s="465">
        <f t="shared" si="11"/>
        <v>-1045646</v>
      </c>
      <c r="H50" s="465">
        <f t="shared" si="11"/>
        <v>-1153116</v>
      </c>
      <c r="I50" s="465">
        <f t="shared" si="11"/>
        <v>-698060</v>
      </c>
      <c r="J50" s="465">
        <f t="shared" si="11"/>
        <v>-1032021</v>
      </c>
      <c r="K50" s="465">
        <f t="shared" si="11"/>
        <v>-2189349</v>
      </c>
      <c r="L50" s="465">
        <f t="shared" si="11"/>
        <v>0</v>
      </c>
      <c r="M50" s="465">
        <f t="shared" si="11"/>
        <v>0</v>
      </c>
      <c r="N50" s="465">
        <f t="shared" si="11"/>
        <v>0</v>
      </c>
      <c r="O50" s="465">
        <f t="shared" si="11"/>
        <v>-7923136</v>
      </c>
      <c r="P50" s="460">
        <f t="shared" ref="P50:P52" si="12">O50/$O$10</f>
        <v>-0.2981708961</v>
      </c>
      <c r="Q50" s="452"/>
      <c r="R50" s="440"/>
      <c r="S50" s="443"/>
      <c r="T50" s="444"/>
    </row>
    <row r="51" ht="15.75" customHeight="1">
      <c r="A51" s="463" t="s">
        <v>158</v>
      </c>
      <c r="B51" s="477">
        <v>0.33</v>
      </c>
      <c r="C51" s="465"/>
      <c r="D51" s="465"/>
      <c r="E51" s="465"/>
      <c r="F51" s="465"/>
      <c r="G51" s="465"/>
      <c r="H51" s="465"/>
      <c r="I51" s="465"/>
      <c r="J51" s="465"/>
      <c r="K51" s="465"/>
      <c r="L51" s="465"/>
      <c r="M51" s="465"/>
      <c r="N51" s="465"/>
      <c r="O51" s="465">
        <f>IF(O50&gt;=0,O50*30%+70000,70000)</f>
        <v>70000</v>
      </c>
      <c r="P51" s="460">
        <f t="shared" si="12"/>
        <v>0.002634305751</v>
      </c>
      <c r="Q51" s="452"/>
      <c r="R51" s="440"/>
      <c r="S51" s="443"/>
      <c r="T51" s="444"/>
    </row>
    <row r="52" ht="15.75" customHeight="1">
      <c r="A52" s="463" t="s">
        <v>159</v>
      </c>
      <c r="B52" s="463"/>
      <c r="C52" s="465"/>
      <c r="D52" s="465"/>
      <c r="E52" s="465"/>
      <c r="F52" s="465"/>
      <c r="G52" s="465"/>
      <c r="H52" s="465"/>
      <c r="I52" s="465"/>
      <c r="J52" s="465"/>
      <c r="K52" s="465"/>
      <c r="L52" s="465"/>
      <c r="M52" s="465"/>
      <c r="N52" s="465"/>
      <c r="O52" s="465">
        <f>O50-O51</f>
        <v>-7993136</v>
      </c>
      <c r="P52" s="460">
        <f t="shared" si="12"/>
        <v>-0.3008052019</v>
      </c>
      <c r="Q52" s="452"/>
      <c r="R52" s="440"/>
      <c r="S52" s="443"/>
      <c r="T52" s="444"/>
    </row>
    <row r="53" ht="15.75" customHeight="1">
      <c r="A53" s="478"/>
      <c r="B53" s="452"/>
      <c r="C53" s="479"/>
      <c r="D53" s="479"/>
      <c r="E53" s="479"/>
      <c r="F53" s="479"/>
      <c r="G53" s="479"/>
      <c r="H53" s="479"/>
      <c r="I53" s="479"/>
      <c r="J53" s="479"/>
      <c r="K53" s="479"/>
      <c r="L53" s="479"/>
      <c r="M53" s="479"/>
      <c r="N53" s="479"/>
      <c r="O53" s="479"/>
      <c r="P53" s="452"/>
      <c r="Q53" s="452"/>
      <c r="R53" s="440"/>
      <c r="S53" s="443"/>
    </row>
    <row r="54" ht="15.75" customHeight="1">
      <c r="A54" s="478"/>
      <c r="B54" s="452"/>
      <c r="C54" s="457"/>
      <c r="D54" s="457"/>
      <c r="E54" s="457"/>
      <c r="F54" s="457"/>
      <c r="G54" s="457"/>
      <c r="H54" s="457"/>
      <c r="I54" s="457"/>
      <c r="J54" s="457"/>
      <c r="K54" s="457"/>
      <c r="L54" s="457"/>
      <c r="M54" s="457"/>
      <c r="N54" s="457"/>
      <c r="O54" s="457"/>
      <c r="P54" s="452"/>
      <c r="Q54" s="452"/>
    </row>
    <row r="55" ht="15.75" customHeight="1">
      <c r="B55" s="440"/>
      <c r="G55" s="443"/>
      <c r="H55" s="443"/>
      <c r="I55" s="443"/>
      <c r="J55" s="443"/>
      <c r="K55" s="443"/>
      <c r="L55" s="443"/>
      <c r="M55" s="443"/>
      <c r="N55" s="443"/>
    </row>
    <row r="56" ht="15.75" customHeight="1">
      <c r="B56" s="440"/>
    </row>
    <row r="57" ht="15.75" customHeight="1">
      <c r="B57" s="480" t="s">
        <v>160</v>
      </c>
      <c r="C57" s="482">
        <v>18.0</v>
      </c>
      <c r="D57" s="482">
        <v>23.0</v>
      </c>
      <c r="E57" s="482">
        <v>18.0</v>
      </c>
      <c r="F57" s="482">
        <v>18.0</v>
      </c>
      <c r="G57" s="482">
        <v>17.0</v>
      </c>
      <c r="H57" s="482">
        <v>20.0</v>
      </c>
      <c r="I57" s="482">
        <v>20.0</v>
      </c>
      <c r="J57" s="482">
        <v>14.0</v>
      </c>
      <c r="K57" s="481">
        <f t="shared" ref="K57:N57" si="13">K63*K64*K65*K66</f>
        <v>1528477.776</v>
      </c>
      <c r="L57" s="481">
        <f t="shared" si="13"/>
        <v>1601262.432</v>
      </c>
      <c r="M57" s="481">
        <f t="shared" si="13"/>
        <v>1601262.432</v>
      </c>
      <c r="N57" s="481">
        <f t="shared" si="13"/>
        <v>1601262.432</v>
      </c>
    </row>
    <row r="58" ht="15.75" customHeight="1">
      <c r="B58" s="480" t="s">
        <v>161</v>
      </c>
      <c r="C58" s="482"/>
      <c r="D58" s="482"/>
      <c r="E58" s="482"/>
      <c r="F58" s="482"/>
      <c r="G58" s="482"/>
      <c r="H58" s="482"/>
      <c r="I58" s="482"/>
      <c r="J58" s="482"/>
      <c r="K58" s="482"/>
      <c r="L58" s="482">
        <v>11.0</v>
      </c>
      <c r="M58" s="482">
        <v>2.0</v>
      </c>
      <c r="N58" s="482">
        <v>1.0</v>
      </c>
    </row>
    <row r="59" ht="15.75" customHeight="1">
      <c r="B59" s="440"/>
    </row>
    <row r="60" ht="15.75" customHeight="1">
      <c r="B60" s="480" t="s">
        <v>162</v>
      </c>
      <c r="C60" s="482"/>
      <c r="D60" s="482"/>
      <c r="E60" s="482"/>
      <c r="F60" s="482"/>
      <c r="G60" s="482"/>
      <c r="H60" s="482">
        <v>2.0</v>
      </c>
      <c r="I60" s="482">
        <v>3.0</v>
      </c>
      <c r="J60" s="482">
        <v>3.0</v>
      </c>
      <c r="K60" s="481">
        <f t="shared" ref="K60:N60" si="14">K69*K70*K71*K72</f>
        <v>334237.05</v>
      </c>
      <c r="L60" s="481">
        <f t="shared" si="14"/>
        <v>350153.1</v>
      </c>
      <c r="M60" s="481">
        <f t="shared" si="14"/>
        <v>350153.1</v>
      </c>
      <c r="N60" s="481">
        <f t="shared" si="14"/>
        <v>350153.1</v>
      </c>
    </row>
    <row r="61" ht="15.75" customHeight="1"/>
    <row r="62" ht="15.75" customHeight="1">
      <c r="B62" s="440" t="s">
        <v>163</v>
      </c>
    </row>
    <row r="63" ht="15.75" customHeight="1">
      <c r="B63" s="480" t="s">
        <v>164</v>
      </c>
      <c r="C63" s="482"/>
      <c r="D63" s="482"/>
      <c r="E63" s="482"/>
      <c r="F63" s="482"/>
      <c r="G63" s="482"/>
      <c r="H63" s="482"/>
      <c r="I63" s="482"/>
      <c r="J63" s="482"/>
      <c r="K63" s="482">
        <v>21.0</v>
      </c>
      <c r="L63" s="482">
        <v>22.0</v>
      </c>
      <c r="M63" s="482">
        <v>22.0</v>
      </c>
      <c r="N63" s="482">
        <v>22.0</v>
      </c>
    </row>
    <row r="64" ht="15.75" customHeight="1">
      <c r="B64" s="480" t="s">
        <v>165</v>
      </c>
      <c r="C64" s="482"/>
      <c r="D64" s="482"/>
      <c r="E64" s="482"/>
      <c r="F64" s="482"/>
      <c r="G64" s="482"/>
      <c r="H64" s="482"/>
      <c r="I64" s="482"/>
      <c r="J64" s="482"/>
      <c r="K64" s="483">
        <v>0.8</v>
      </c>
      <c r="L64" s="483">
        <v>0.8</v>
      </c>
      <c r="M64" s="483">
        <v>0.8</v>
      </c>
      <c r="N64" s="483">
        <v>0.8</v>
      </c>
    </row>
    <row r="65" ht="15.75" customHeight="1">
      <c r="B65" s="480" t="s">
        <v>166</v>
      </c>
      <c r="C65" s="482"/>
      <c r="D65" s="482"/>
      <c r="E65" s="482"/>
      <c r="F65" s="482"/>
      <c r="G65" s="482"/>
      <c r="H65" s="482"/>
      <c r="I65" s="482"/>
      <c r="J65" s="482"/>
      <c r="K65" s="482">
        <v>14.0</v>
      </c>
      <c r="L65" s="482">
        <v>14.0</v>
      </c>
      <c r="M65" s="482">
        <v>14.0</v>
      </c>
      <c r="N65" s="482">
        <v>14.0</v>
      </c>
    </row>
    <row r="66" ht="15.75" customHeight="1">
      <c r="B66" s="480" t="s">
        <v>171</v>
      </c>
      <c r="C66" s="482"/>
      <c r="D66" s="482"/>
      <c r="E66" s="482"/>
      <c r="F66" s="482"/>
      <c r="G66" s="482"/>
      <c r="H66" s="482"/>
      <c r="I66" s="482"/>
      <c r="J66" s="482"/>
      <c r="K66" s="481">
        <f>'単位計算'!$C$9</f>
        <v>6498.63</v>
      </c>
      <c r="L66" s="481">
        <f>'単位計算'!$C$9</f>
        <v>6498.63</v>
      </c>
      <c r="M66" s="481">
        <f>'単位計算'!$C$9</f>
        <v>6498.63</v>
      </c>
      <c r="N66" s="481">
        <f>'単位計算'!$C$9</f>
        <v>6498.63</v>
      </c>
    </row>
    <row r="67" ht="15.75" customHeight="1"/>
    <row r="68" ht="15.75" customHeight="1">
      <c r="B68" s="440" t="s">
        <v>169</v>
      </c>
    </row>
    <row r="69" ht="15.75" customHeight="1">
      <c r="B69" s="480" t="s">
        <v>164</v>
      </c>
      <c r="C69" s="482"/>
      <c r="D69" s="482"/>
      <c r="E69" s="482"/>
      <c r="F69" s="482"/>
      <c r="G69" s="482"/>
      <c r="H69" s="482"/>
      <c r="I69" s="482"/>
      <c r="J69" s="482"/>
      <c r="K69" s="482">
        <v>21.0</v>
      </c>
      <c r="L69" s="482">
        <v>22.0</v>
      </c>
      <c r="M69" s="482">
        <v>22.0</v>
      </c>
      <c r="N69" s="482">
        <v>22.0</v>
      </c>
    </row>
    <row r="70" ht="15.75" customHeight="1">
      <c r="B70" s="480" t="s">
        <v>165</v>
      </c>
      <c r="C70" s="482"/>
      <c r="D70" s="482"/>
      <c r="E70" s="482"/>
      <c r="F70" s="482"/>
      <c r="G70" s="482"/>
      <c r="H70" s="482"/>
      <c r="I70" s="482"/>
      <c r="J70" s="482"/>
      <c r="K70" s="483">
        <v>0.5</v>
      </c>
      <c r="L70" s="483">
        <v>0.5</v>
      </c>
      <c r="M70" s="483">
        <v>0.5</v>
      </c>
      <c r="N70" s="483">
        <v>0.5</v>
      </c>
    </row>
    <row r="71" ht="15.75" customHeight="1">
      <c r="B71" s="480" t="s">
        <v>170</v>
      </c>
      <c r="C71" s="482"/>
      <c r="D71" s="482"/>
      <c r="E71" s="482"/>
      <c r="F71" s="482"/>
      <c r="G71" s="482"/>
      <c r="H71" s="482"/>
      <c r="I71" s="482"/>
      <c r="J71" s="482"/>
      <c r="K71" s="482">
        <v>5.0</v>
      </c>
      <c r="L71" s="482">
        <v>5.0</v>
      </c>
      <c r="M71" s="482">
        <v>5.0</v>
      </c>
      <c r="N71" s="482">
        <v>5.0</v>
      </c>
    </row>
    <row r="72" ht="15.75" customHeight="1">
      <c r="B72" s="480" t="s">
        <v>171</v>
      </c>
      <c r="C72" s="482"/>
      <c r="D72" s="482"/>
      <c r="E72" s="482"/>
      <c r="F72" s="482"/>
      <c r="G72" s="482"/>
      <c r="H72" s="482"/>
      <c r="I72" s="482"/>
      <c r="J72" s="482"/>
      <c r="K72" s="481">
        <f>'単位計算'!$G$9</f>
        <v>6366.42</v>
      </c>
      <c r="L72" s="481">
        <f>'単位計算'!$G$9</f>
        <v>6366.42</v>
      </c>
      <c r="M72" s="481">
        <f>'単位計算'!$G$9</f>
        <v>6366.42</v>
      </c>
      <c r="N72" s="481">
        <f>'単位計算'!$G$9</f>
        <v>6366.42</v>
      </c>
    </row>
    <row r="73" ht="15.75" customHeight="1"/>
    <row r="74" ht="15.75" customHeight="1"/>
    <row r="75" ht="15.75" customHeight="1">
      <c r="B75" s="480" t="s">
        <v>242</v>
      </c>
      <c r="C75" s="482"/>
      <c r="D75" s="482"/>
      <c r="E75" s="482"/>
      <c r="F75" s="482"/>
      <c r="G75" s="482"/>
      <c r="H75" s="482"/>
      <c r="I75" s="482"/>
      <c r="J75" s="482"/>
      <c r="K75" s="482"/>
      <c r="L75" s="482"/>
      <c r="M75" s="482"/>
      <c r="N75" s="482"/>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71"/>
    <col customWidth="1" min="2" max="20" width="14.43"/>
  </cols>
  <sheetData>
    <row r="1" ht="15.75" customHeight="1">
      <c r="A1" s="447"/>
      <c r="B1" s="448" t="s">
        <v>116</v>
      </c>
      <c r="C1" s="449" t="s">
        <v>243</v>
      </c>
      <c r="D1" s="449" t="s">
        <v>244</v>
      </c>
      <c r="E1" s="449" t="s">
        <v>245</v>
      </c>
      <c r="F1" s="449" t="s">
        <v>246</v>
      </c>
      <c r="G1" s="449" t="s">
        <v>247</v>
      </c>
      <c r="H1" s="449" t="s">
        <v>248</v>
      </c>
      <c r="I1" s="449" t="s">
        <v>249</v>
      </c>
      <c r="J1" s="449" t="s">
        <v>250</v>
      </c>
      <c r="K1" s="449" t="s">
        <v>251</v>
      </c>
      <c r="L1" s="449" t="s">
        <v>252</v>
      </c>
      <c r="M1" s="449" t="s">
        <v>253</v>
      </c>
      <c r="N1" s="449" t="s">
        <v>254</v>
      </c>
      <c r="O1" s="447" t="s">
        <v>129</v>
      </c>
      <c r="P1" s="452"/>
      <c r="Q1" s="452"/>
    </row>
    <row r="2" ht="15.75" customHeight="1">
      <c r="A2" s="453"/>
      <c r="B2" s="454"/>
      <c r="C2" s="455"/>
      <c r="D2" s="455"/>
      <c r="E2" s="455"/>
      <c r="F2" s="455"/>
      <c r="G2" s="455"/>
      <c r="H2" s="455"/>
      <c r="I2" s="455"/>
      <c r="J2" s="455"/>
      <c r="K2" s="455"/>
      <c r="L2" s="455"/>
      <c r="M2" s="455"/>
      <c r="N2" s="455"/>
      <c r="O2" s="456">
        <f t="shared" ref="O2:O37" si="1">SUM(C2:N2)</f>
        <v>0</v>
      </c>
      <c r="P2" s="457"/>
      <c r="Q2" s="452"/>
    </row>
    <row r="3" ht="15.75" customHeight="1">
      <c r="A3" s="447" t="s">
        <v>130</v>
      </c>
      <c r="B3" s="447"/>
      <c r="C3" s="458">
        <v>507273.0</v>
      </c>
      <c r="D3" s="458">
        <v>367202.0</v>
      </c>
      <c r="E3" s="458">
        <v>355174.0</v>
      </c>
      <c r="F3" s="458">
        <v>343678.0</v>
      </c>
      <c r="G3" s="458">
        <v>310741.0</v>
      </c>
      <c r="H3" s="458">
        <v>305926.0</v>
      </c>
      <c r="I3" s="458">
        <v>198380.0</v>
      </c>
      <c r="J3" s="458"/>
      <c r="K3" s="458"/>
      <c r="L3" s="458">
        <v>318182.0</v>
      </c>
      <c r="M3" s="458"/>
      <c r="N3" s="458"/>
      <c r="O3" s="506">
        <f t="shared" si="1"/>
        <v>2706556</v>
      </c>
      <c r="P3" s="460">
        <f t="shared" ref="P3:P4" si="2">O3/$O$3</f>
        <v>1</v>
      </c>
      <c r="Q3" s="452"/>
    </row>
    <row r="4" ht="15.75" customHeight="1">
      <c r="A4" s="447" t="s">
        <v>131</v>
      </c>
      <c r="B4" s="461"/>
      <c r="C4" s="492">
        <v>47776.0</v>
      </c>
      <c r="D4" s="492">
        <v>20813.0</v>
      </c>
      <c r="E4" s="492">
        <v>7576.0</v>
      </c>
      <c r="F4" s="492">
        <v>21859.0</v>
      </c>
      <c r="G4" s="492">
        <v>14718.0</v>
      </c>
      <c r="H4" s="492">
        <v>31386.0</v>
      </c>
      <c r="I4" s="492">
        <v>198380.0</v>
      </c>
      <c r="J4" s="492"/>
      <c r="K4" s="492"/>
      <c r="L4" s="492"/>
      <c r="M4" s="492"/>
      <c r="N4" s="492"/>
      <c r="O4" s="462">
        <f t="shared" si="1"/>
        <v>342508</v>
      </c>
      <c r="P4" s="460">
        <f t="shared" si="2"/>
        <v>0.1265475386</v>
      </c>
      <c r="Q4" s="452"/>
    </row>
    <row r="5" ht="15.75" customHeight="1">
      <c r="A5" s="463" t="s">
        <v>132</v>
      </c>
      <c r="B5" s="464"/>
      <c r="C5" s="465">
        <f t="shared" ref="C5:N5" si="3">C2+C3-C4</f>
        <v>459497</v>
      </c>
      <c r="D5" s="465">
        <f t="shared" si="3"/>
        <v>346389</v>
      </c>
      <c r="E5" s="465">
        <f t="shared" si="3"/>
        <v>347598</v>
      </c>
      <c r="F5" s="465">
        <f t="shared" si="3"/>
        <v>321819</v>
      </c>
      <c r="G5" s="465">
        <f t="shared" si="3"/>
        <v>296023</v>
      </c>
      <c r="H5" s="465">
        <f t="shared" si="3"/>
        <v>274540</v>
      </c>
      <c r="I5" s="465">
        <f t="shared" si="3"/>
        <v>0</v>
      </c>
      <c r="J5" s="465">
        <f t="shared" si="3"/>
        <v>0</v>
      </c>
      <c r="K5" s="465">
        <f t="shared" si="3"/>
        <v>0</v>
      </c>
      <c r="L5" s="465">
        <f t="shared" si="3"/>
        <v>318182</v>
      </c>
      <c r="M5" s="465">
        <f t="shared" si="3"/>
        <v>0</v>
      </c>
      <c r="N5" s="465">
        <f t="shared" si="3"/>
        <v>0</v>
      </c>
      <c r="O5" s="465">
        <f t="shared" si="1"/>
        <v>2364048</v>
      </c>
      <c r="P5" s="460"/>
      <c r="Q5" s="452"/>
    </row>
    <row r="6" ht="15.75" customHeight="1">
      <c r="A6" s="447"/>
      <c r="B6" s="447"/>
      <c r="C6" s="447"/>
      <c r="D6" s="447"/>
      <c r="E6" s="447"/>
      <c r="F6" s="447"/>
      <c r="G6" s="447"/>
      <c r="H6" s="447"/>
      <c r="I6" s="447"/>
      <c r="J6" s="447"/>
      <c r="K6" s="447"/>
      <c r="L6" s="447"/>
      <c r="M6" s="447"/>
      <c r="N6" s="447"/>
      <c r="O6" s="465">
        <f t="shared" si="1"/>
        <v>0</v>
      </c>
      <c r="P6" s="460"/>
      <c r="Q6" s="452"/>
    </row>
    <row r="7" ht="15.75" customHeight="1">
      <c r="A7" s="447" t="s">
        <v>133</v>
      </c>
      <c r="B7" s="447"/>
      <c r="C7" s="462"/>
      <c r="D7" s="462"/>
      <c r="E7" s="462"/>
      <c r="F7" s="462"/>
      <c r="G7" s="462"/>
      <c r="H7" s="462"/>
      <c r="I7" s="458"/>
      <c r="J7" s="462"/>
      <c r="K7" s="458"/>
      <c r="L7" s="458"/>
      <c r="M7" s="458"/>
      <c r="N7" s="458"/>
      <c r="O7" s="462">
        <f t="shared" si="1"/>
        <v>0</v>
      </c>
      <c r="P7" s="460">
        <f>O7/$O$5</f>
        <v>0</v>
      </c>
      <c r="Q7" s="452"/>
    </row>
    <row r="8" ht="15.75" customHeight="1">
      <c r="A8" s="447" t="s">
        <v>134</v>
      </c>
      <c r="B8" s="447"/>
      <c r="C8" s="462"/>
      <c r="D8" s="462"/>
      <c r="E8" s="462"/>
      <c r="F8" s="462"/>
      <c r="G8" s="462"/>
      <c r="H8" s="507"/>
      <c r="I8" s="458"/>
      <c r="J8" s="462"/>
      <c r="K8" s="458"/>
      <c r="L8" s="458"/>
      <c r="M8" s="458"/>
      <c r="N8" s="458"/>
      <c r="O8" s="462">
        <f t="shared" si="1"/>
        <v>0</v>
      </c>
      <c r="P8" s="460"/>
      <c r="Q8" s="452"/>
    </row>
    <row r="9" ht="15.75" customHeight="1">
      <c r="A9" s="447" t="s">
        <v>135</v>
      </c>
      <c r="B9" s="461"/>
      <c r="C9" s="459"/>
      <c r="D9" s="459"/>
      <c r="E9" s="459"/>
      <c r="F9" s="459"/>
      <c r="G9" s="459"/>
      <c r="H9" s="507"/>
      <c r="I9" s="458"/>
      <c r="J9" s="459"/>
      <c r="K9" s="458"/>
      <c r="L9" s="458"/>
      <c r="M9" s="458"/>
      <c r="N9" s="458"/>
      <c r="O9" s="462">
        <f t="shared" si="1"/>
        <v>0</v>
      </c>
      <c r="P9" s="460">
        <f>O9/$O$5</f>
        <v>0</v>
      </c>
      <c r="Q9" s="452"/>
    </row>
    <row r="10" ht="15.75" customHeight="1">
      <c r="A10" s="447" t="s">
        <v>29</v>
      </c>
      <c r="B10" s="461">
        <v>0.0</v>
      </c>
      <c r="C10" s="462"/>
      <c r="D10" s="462"/>
      <c r="E10" s="462"/>
      <c r="F10" s="462"/>
      <c r="G10" s="462"/>
      <c r="H10" s="507"/>
      <c r="I10" s="458"/>
      <c r="J10" s="462"/>
      <c r="K10" s="458"/>
      <c r="L10" s="458"/>
      <c r="M10" s="458"/>
      <c r="N10" s="458"/>
      <c r="O10" s="462">
        <f t="shared" si="1"/>
        <v>0</v>
      </c>
      <c r="P10" s="460"/>
      <c r="Q10" s="452"/>
    </row>
    <row r="11" ht="15.75" customHeight="1">
      <c r="A11" s="447" t="s">
        <v>30</v>
      </c>
      <c r="B11" s="447"/>
      <c r="C11" s="447"/>
      <c r="D11" s="447"/>
      <c r="E11" s="447"/>
      <c r="F11" s="447"/>
      <c r="G11" s="447"/>
      <c r="I11" s="458"/>
      <c r="J11" s="447"/>
      <c r="K11" s="458"/>
      <c r="L11" s="458"/>
      <c r="M11" s="458"/>
      <c r="N11" s="458"/>
      <c r="O11" s="462">
        <f t="shared" si="1"/>
        <v>0</v>
      </c>
      <c r="P11" s="460"/>
      <c r="Q11" s="452"/>
    </row>
    <row r="12" ht="15.75" customHeight="1">
      <c r="A12" s="447" t="s">
        <v>136</v>
      </c>
      <c r="B12" s="447"/>
      <c r="C12" s="462">
        <v>272727.0</v>
      </c>
      <c r="D12" s="462">
        <v>318182.0</v>
      </c>
      <c r="E12" s="462">
        <v>318182.0</v>
      </c>
      <c r="F12" s="462">
        <v>318182.0</v>
      </c>
      <c r="G12" s="462">
        <v>318182.0</v>
      </c>
      <c r="H12" s="462">
        <v>318182.0</v>
      </c>
      <c r="I12" s="462"/>
      <c r="J12" s="462"/>
      <c r="K12" s="462"/>
      <c r="L12" s="462"/>
      <c r="M12" s="462"/>
      <c r="N12" s="462"/>
      <c r="O12" s="462">
        <f t="shared" si="1"/>
        <v>1863637</v>
      </c>
      <c r="P12" s="460"/>
      <c r="Q12" s="452"/>
    </row>
    <row r="13" ht="15.75" customHeight="1">
      <c r="A13" s="447" t="s">
        <v>137</v>
      </c>
      <c r="B13" s="461"/>
      <c r="C13" s="462"/>
      <c r="D13" s="462"/>
      <c r="E13" s="462"/>
      <c r="F13" s="462"/>
      <c r="G13" s="462"/>
      <c r="H13" s="462"/>
      <c r="I13" s="458"/>
      <c r="J13" s="462"/>
      <c r="K13" s="458"/>
      <c r="L13" s="458"/>
      <c r="M13" s="458"/>
      <c r="N13" s="458"/>
      <c r="O13" s="462">
        <f t="shared" si="1"/>
        <v>0</v>
      </c>
      <c r="P13" s="460"/>
      <c r="Q13" s="452"/>
    </row>
    <row r="14" ht="15.75" customHeight="1">
      <c r="A14" s="447" t="s">
        <v>138</v>
      </c>
      <c r="B14" s="447"/>
      <c r="C14" s="462"/>
      <c r="D14" s="462"/>
      <c r="E14" s="462"/>
      <c r="F14" s="462"/>
      <c r="G14" s="462"/>
      <c r="H14" s="507"/>
      <c r="I14" s="458"/>
      <c r="J14" s="462"/>
      <c r="K14" s="458"/>
      <c r="L14" s="458"/>
      <c r="M14" s="458"/>
      <c r="N14" s="458"/>
      <c r="O14" s="462">
        <f t="shared" si="1"/>
        <v>0</v>
      </c>
      <c r="P14" s="460"/>
      <c r="Q14" s="452"/>
    </row>
    <row r="15" ht="15.75" customHeight="1">
      <c r="A15" s="447" t="s">
        <v>139</v>
      </c>
      <c r="B15" s="447"/>
      <c r="C15" s="462"/>
      <c r="D15" s="462">
        <v>85.0</v>
      </c>
      <c r="E15" s="462"/>
      <c r="F15" s="462"/>
      <c r="G15" s="462"/>
      <c r="H15" s="462"/>
      <c r="I15" s="458"/>
      <c r="J15" s="462"/>
      <c r="K15" s="458"/>
      <c r="L15" s="458"/>
      <c r="M15" s="458"/>
      <c r="N15" s="458"/>
      <c r="O15" s="462">
        <f t="shared" si="1"/>
        <v>85</v>
      </c>
      <c r="P15" s="460">
        <f>O15/$O$5</f>
        <v>0.00003595527671</v>
      </c>
      <c r="Q15" s="452"/>
    </row>
    <row r="16" ht="15.75" customHeight="1">
      <c r="A16" s="447" t="s">
        <v>255</v>
      </c>
      <c r="B16" s="447"/>
      <c r="C16" s="462"/>
      <c r="D16" s="462"/>
      <c r="E16" s="462"/>
      <c r="F16" s="462"/>
      <c r="G16" s="462"/>
      <c r="H16" s="462"/>
      <c r="I16" s="458"/>
      <c r="J16" s="462"/>
      <c r="K16" s="458"/>
      <c r="L16" s="458"/>
      <c r="M16" s="458"/>
      <c r="N16" s="458"/>
      <c r="O16" s="462">
        <f t="shared" si="1"/>
        <v>0</v>
      </c>
      <c r="P16" s="460"/>
      <c r="Q16" s="452"/>
    </row>
    <row r="17" ht="15.75" customHeight="1">
      <c r="A17" s="447" t="s">
        <v>141</v>
      </c>
      <c r="B17" s="447"/>
      <c r="C17" s="462"/>
      <c r="D17" s="462"/>
      <c r="E17" s="462"/>
      <c r="F17" s="462"/>
      <c r="G17" s="462"/>
      <c r="H17" s="462"/>
      <c r="I17" s="458"/>
      <c r="J17" s="462"/>
      <c r="K17" s="458"/>
      <c r="L17" s="458"/>
      <c r="M17" s="458"/>
      <c r="N17" s="458"/>
      <c r="O17" s="462">
        <f t="shared" si="1"/>
        <v>0</v>
      </c>
      <c r="P17" s="460">
        <f>O17/$O$5</f>
        <v>0</v>
      </c>
      <c r="Q17" s="452"/>
    </row>
    <row r="18" ht="15.75" customHeight="1">
      <c r="A18" s="447" t="s">
        <v>142</v>
      </c>
      <c r="B18" s="447"/>
      <c r="C18" s="462"/>
      <c r="D18" s="462"/>
      <c r="E18" s="462"/>
      <c r="F18" s="462"/>
      <c r="G18" s="462"/>
      <c r="H18" s="462"/>
      <c r="I18" s="458"/>
      <c r="J18" s="462"/>
      <c r="K18" s="458"/>
      <c r="L18" s="458"/>
      <c r="M18" s="458"/>
      <c r="N18" s="458"/>
      <c r="O18" s="462">
        <f t="shared" si="1"/>
        <v>0</v>
      </c>
      <c r="P18" s="460"/>
      <c r="Q18" s="452"/>
    </row>
    <row r="19" ht="15.75" customHeight="1">
      <c r="A19" s="447" t="s">
        <v>143</v>
      </c>
      <c r="B19" s="447"/>
      <c r="C19" s="462"/>
      <c r="D19" s="462"/>
      <c r="E19" s="462"/>
      <c r="F19" s="462"/>
      <c r="G19" s="462"/>
      <c r="H19" s="462"/>
      <c r="I19" s="458"/>
      <c r="J19" s="462"/>
      <c r="K19" s="458"/>
      <c r="L19" s="458"/>
      <c r="M19" s="458"/>
      <c r="N19" s="458"/>
      <c r="O19" s="462">
        <f t="shared" si="1"/>
        <v>0</v>
      </c>
      <c r="P19" s="460">
        <f>O19/$O$5</f>
        <v>0</v>
      </c>
      <c r="Q19" s="452"/>
    </row>
    <row r="20" ht="15.75" customHeight="1">
      <c r="A20" s="447" t="s">
        <v>144</v>
      </c>
      <c r="B20" s="447"/>
      <c r="C20" s="462"/>
      <c r="D20" s="462"/>
      <c r="E20" s="462"/>
      <c r="F20" s="462"/>
      <c r="G20" s="462"/>
      <c r="H20" s="462"/>
      <c r="I20" s="458"/>
      <c r="J20" s="462"/>
      <c r="K20" s="458"/>
      <c r="L20" s="458"/>
      <c r="M20" s="458"/>
      <c r="N20" s="458"/>
      <c r="O20" s="462">
        <f t="shared" si="1"/>
        <v>0</v>
      </c>
      <c r="P20" s="460"/>
      <c r="Q20" s="452"/>
    </row>
    <row r="21" ht="15.75" customHeight="1">
      <c r="A21" s="447" t="s">
        <v>145</v>
      </c>
      <c r="B21" s="447"/>
      <c r="C21" s="462"/>
      <c r="D21" s="462"/>
      <c r="E21" s="462"/>
      <c r="F21" s="462"/>
      <c r="G21" s="462"/>
      <c r="H21" s="462"/>
      <c r="I21" s="458"/>
      <c r="J21" s="462"/>
      <c r="K21" s="458"/>
      <c r="L21" s="458"/>
      <c r="M21" s="458"/>
      <c r="N21" s="458"/>
      <c r="O21" s="462">
        <f t="shared" si="1"/>
        <v>0</v>
      </c>
      <c r="P21" s="460"/>
      <c r="Q21" s="452"/>
    </row>
    <row r="22" ht="15.75" customHeight="1">
      <c r="A22" s="447" t="s">
        <v>33</v>
      </c>
      <c r="B22" s="447"/>
      <c r="C22" s="462"/>
      <c r="D22" s="462"/>
      <c r="E22" s="462"/>
      <c r="F22" s="462"/>
      <c r="G22" s="462"/>
      <c r="H22" s="462"/>
      <c r="I22" s="458"/>
      <c r="J22" s="462"/>
      <c r="K22" s="458"/>
      <c r="L22" s="458">
        <v>26065.0</v>
      </c>
      <c r="M22" s="458">
        <v>17000.0</v>
      </c>
      <c r="N22" s="458">
        <v>17000.0</v>
      </c>
      <c r="O22" s="462">
        <f t="shared" si="1"/>
        <v>60065</v>
      </c>
      <c r="P22" s="460"/>
      <c r="Q22" s="452"/>
    </row>
    <row r="23" ht="15.75" customHeight="1">
      <c r="A23" s="447" t="s">
        <v>146</v>
      </c>
      <c r="B23" s="447"/>
      <c r="C23" s="462"/>
      <c r="D23" s="462"/>
      <c r="E23" s="462"/>
      <c r="F23" s="462"/>
      <c r="G23" s="462"/>
      <c r="H23" s="462"/>
      <c r="I23" s="458"/>
      <c r="J23" s="462"/>
      <c r="K23" s="458"/>
      <c r="L23" s="458"/>
      <c r="M23" s="458"/>
      <c r="N23" s="458"/>
      <c r="O23" s="462">
        <f t="shared" si="1"/>
        <v>0</v>
      </c>
      <c r="P23" s="460"/>
      <c r="Q23" s="452"/>
    </row>
    <row r="24" ht="15.75" customHeight="1">
      <c r="A24" s="447" t="s">
        <v>147</v>
      </c>
      <c r="B24" s="447"/>
      <c r="C24" s="462"/>
      <c r="D24" s="462"/>
      <c r="E24" s="462"/>
      <c r="F24" s="462"/>
      <c r="G24" s="462"/>
      <c r="H24" s="462"/>
      <c r="I24" s="458"/>
      <c r="J24" s="462"/>
      <c r="K24" s="458"/>
      <c r="L24" s="458"/>
      <c r="M24" s="458"/>
      <c r="N24" s="458"/>
      <c r="O24" s="462">
        <f t="shared" si="1"/>
        <v>0</v>
      </c>
      <c r="P24" s="460"/>
      <c r="Q24" s="452"/>
    </row>
    <row r="25" ht="15.75" customHeight="1">
      <c r="A25" s="447" t="s">
        <v>35</v>
      </c>
      <c r="B25" s="467"/>
      <c r="C25" s="467"/>
      <c r="D25" s="447"/>
      <c r="E25" s="447"/>
      <c r="F25" s="447"/>
      <c r="G25" s="447"/>
      <c r="H25" s="447"/>
      <c r="I25" s="458"/>
      <c r="J25" s="447"/>
      <c r="K25" s="458"/>
      <c r="L25" s="458">
        <v>13480.0</v>
      </c>
      <c r="M25" s="458">
        <v>21420.0</v>
      </c>
      <c r="N25" s="458">
        <v>10710.0</v>
      </c>
      <c r="O25" s="462">
        <f t="shared" si="1"/>
        <v>45610</v>
      </c>
      <c r="P25" s="460"/>
      <c r="Q25" s="452"/>
    </row>
    <row r="26" ht="15.75" customHeight="1">
      <c r="A26" s="447" t="s">
        <v>148</v>
      </c>
      <c r="B26" s="461">
        <v>0.0</v>
      </c>
      <c r="C26" s="492"/>
      <c r="D26" s="492"/>
      <c r="E26" s="492"/>
      <c r="F26" s="492"/>
      <c r="G26" s="492"/>
      <c r="H26" s="492"/>
      <c r="I26" s="458"/>
      <c r="J26" s="492"/>
      <c r="K26" s="458"/>
      <c r="L26" s="458"/>
      <c r="M26" s="458"/>
      <c r="N26" s="458"/>
      <c r="O26" s="462">
        <f t="shared" si="1"/>
        <v>0</v>
      </c>
      <c r="P26" s="460"/>
      <c r="Q26" s="452"/>
    </row>
    <row r="27" ht="15.75" customHeight="1">
      <c r="A27" s="447" t="s">
        <v>34</v>
      </c>
      <c r="B27" s="461">
        <v>0.0</v>
      </c>
      <c r="C27" s="492">
        <v>8737.0</v>
      </c>
      <c r="D27" s="492"/>
      <c r="E27" s="492">
        <v>5940.0</v>
      </c>
      <c r="F27" s="492">
        <v>45780.0</v>
      </c>
      <c r="G27" s="492"/>
      <c r="H27" s="492"/>
      <c r="I27" s="492"/>
      <c r="J27" s="492"/>
      <c r="K27" s="492"/>
      <c r="L27" s="492"/>
      <c r="M27" s="492"/>
      <c r="N27" s="492"/>
      <c r="O27" s="462">
        <f t="shared" si="1"/>
        <v>60457</v>
      </c>
      <c r="P27" s="460">
        <f>O27/$O$5</f>
        <v>0.02557350781</v>
      </c>
      <c r="Q27" s="452"/>
    </row>
    <row r="28" ht="15.75" customHeight="1">
      <c r="A28" s="447" t="s">
        <v>149</v>
      </c>
      <c r="B28" s="467"/>
      <c r="C28" s="467"/>
      <c r="D28" s="447"/>
      <c r="E28" s="447"/>
      <c r="F28" s="447"/>
      <c r="G28" s="447"/>
      <c r="H28" s="447"/>
      <c r="I28" s="458"/>
      <c r="J28" s="447"/>
      <c r="K28" s="458"/>
      <c r="L28" s="458">
        <v>13690.0</v>
      </c>
      <c r="M28" s="458"/>
      <c r="N28" s="458"/>
      <c r="O28" s="462">
        <f t="shared" si="1"/>
        <v>13690</v>
      </c>
      <c r="P28" s="460"/>
      <c r="Q28" s="452"/>
    </row>
    <row r="29" ht="15.75" customHeight="1">
      <c r="A29" s="447" t="s">
        <v>150</v>
      </c>
      <c r="B29" s="468"/>
      <c r="C29" s="492"/>
      <c r="D29" s="462"/>
      <c r="E29" s="462"/>
      <c r="F29" s="462"/>
      <c r="G29" s="462"/>
      <c r="H29" s="462"/>
      <c r="I29" s="458"/>
      <c r="J29" s="462"/>
      <c r="K29" s="458"/>
      <c r="L29" s="458"/>
      <c r="M29" s="458"/>
      <c r="N29" s="458"/>
      <c r="O29" s="462">
        <f t="shared" si="1"/>
        <v>0</v>
      </c>
      <c r="P29" s="460"/>
      <c r="Q29" s="452"/>
    </row>
    <row r="30" ht="15.75" customHeight="1">
      <c r="A30" s="447" t="s">
        <v>36</v>
      </c>
      <c r="B30" s="461">
        <v>0.0</v>
      </c>
      <c r="C30" s="462">
        <v>32650.0</v>
      </c>
      <c r="D30" s="462">
        <v>32300.0</v>
      </c>
      <c r="E30" s="462">
        <v>31800.0</v>
      </c>
      <c r="F30" s="462">
        <v>2100.0</v>
      </c>
      <c r="G30" s="462">
        <v>2100.0</v>
      </c>
      <c r="H30" s="462">
        <v>92709.0</v>
      </c>
      <c r="I30" s="462">
        <v>1400.0</v>
      </c>
      <c r="J30" s="462">
        <v>1400.0</v>
      </c>
      <c r="K30" s="462">
        <v>1400.0</v>
      </c>
      <c r="L30" s="462">
        <v>40950.0</v>
      </c>
      <c r="M30" s="462">
        <v>1400.0</v>
      </c>
      <c r="N30" s="462">
        <v>1750.0</v>
      </c>
      <c r="O30" s="462">
        <f t="shared" si="1"/>
        <v>241959</v>
      </c>
      <c r="P30" s="460"/>
      <c r="Q30" s="452"/>
    </row>
    <row r="31" ht="15.75" customHeight="1">
      <c r="A31" s="447" t="s">
        <v>151</v>
      </c>
      <c r="B31" s="447"/>
      <c r="C31" s="462"/>
      <c r="D31" s="462"/>
      <c r="E31" s="462"/>
      <c r="F31" s="462"/>
      <c r="G31" s="462"/>
      <c r="H31" s="462"/>
      <c r="I31" s="458"/>
      <c r="J31" s="462"/>
      <c r="K31" s="458"/>
      <c r="L31" s="458"/>
      <c r="M31" s="458"/>
      <c r="N31" s="458"/>
      <c r="O31" s="462">
        <f t="shared" si="1"/>
        <v>0</v>
      </c>
      <c r="P31" s="460"/>
      <c r="Q31" s="452"/>
    </row>
    <row r="32" ht="15.75" customHeight="1">
      <c r="A32" s="447" t="s">
        <v>152</v>
      </c>
      <c r="B32" s="461"/>
      <c r="C32" s="462"/>
      <c r="D32" s="462"/>
      <c r="E32" s="462"/>
      <c r="F32" s="462"/>
      <c r="G32" s="462"/>
      <c r="H32" s="462"/>
      <c r="I32" s="458"/>
      <c r="J32" s="462"/>
      <c r="K32" s="458"/>
      <c r="L32" s="458"/>
      <c r="M32" s="458"/>
      <c r="N32" s="458"/>
      <c r="O32" s="462">
        <f t="shared" si="1"/>
        <v>0</v>
      </c>
      <c r="P32" s="460"/>
      <c r="Q32" s="452"/>
    </row>
    <row r="33" ht="15.75" customHeight="1">
      <c r="A33" s="447" t="s">
        <v>256</v>
      </c>
      <c r="B33" s="461">
        <v>0.0</v>
      </c>
      <c r="C33" s="462"/>
      <c r="D33" s="462"/>
      <c r="E33" s="462"/>
      <c r="F33" s="462"/>
      <c r="G33" s="462"/>
      <c r="H33" s="462"/>
      <c r="I33" s="458"/>
      <c r="J33" s="462"/>
      <c r="K33" s="458"/>
      <c r="L33" s="458"/>
      <c r="M33" s="458"/>
      <c r="N33" s="458"/>
      <c r="O33" s="462">
        <f t="shared" si="1"/>
        <v>0</v>
      </c>
      <c r="P33" s="460"/>
      <c r="Q33" s="452"/>
    </row>
    <row r="34" ht="15.75" customHeight="1">
      <c r="A34" s="447" t="s">
        <v>257</v>
      </c>
      <c r="B34" s="461"/>
      <c r="C34" s="462">
        <v>30000.0</v>
      </c>
      <c r="D34" s="462">
        <v>30000.0</v>
      </c>
      <c r="E34" s="462">
        <v>130000.0</v>
      </c>
      <c r="F34" s="462">
        <v>30000.0</v>
      </c>
      <c r="G34" s="462">
        <v>30000.0</v>
      </c>
      <c r="H34" s="462">
        <v>30000.0</v>
      </c>
      <c r="I34" s="458">
        <v>30000.0</v>
      </c>
      <c r="J34" s="462">
        <v>30000.0</v>
      </c>
      <c r="K34" s="458">
        <v>30000.0</v>
      </c>
      <c r="L34" s="458">
        <v>30000.0</v>
      </c>
      <c r="M34" s="458">
        <v>30000.0</v>
      </c>
      <c r="N34" s="458">
        <v>30000.0</v>
      </c>
      <c r="O34" s="462">
        <f t="shared" si="1"/>
        <v>460000</v>
      </c>
      <c r="P34" s="460">
        <f>O34/$O$5</f>
        <v>0.1945814975</v>
      </c>
      <c r="Q34" s="452"/>
    </row>
    <row r="35" ht="15.75" customHeight="1">
      <c r="A35" s="447" t="s">
        <v>241</v>
      </c>
      <c r="B35" s="447"/>
      <c r="C35" s="462"/>
      <c r="D35" s="462"/>
      <c r="E35" s="462"/>
      <c r="F35" s="462"/>
      <c r="G35" s="462"/>
      <c r="H35" s="462"/>
      <c r="I35" s="458"/>
      <c r="J35" s="462"/>
      <c r="K35" s="458"/>
      <c r="L35" s="458"/>
      <c r="M35" s="458"/>
      <c r="N35" s="458"/>
      <c r="O35" s="462">
        <f t="shared" si="1"/>
        <v>0</v>
      </c>
      <c r="P35" s="460"/>
      <c r="Q35" s="452"/>
    </row>
    <row r="36" ht="15.75" customHeight="1">
      <c r="A36" s="447"/>
      <c r="B36" s="447"/>
      <c r="C36" s="447"/>
      <c r="D36" s="447"/>
      <c r="E36" s="447"/>
      <c r="F36" s="447"/>
      <c r="G36" s="447"/>
      <c r="H36" s="447"/>
      <c r="I36" s="458"/>
      <c r="J36" s="447"/>
      <c r="K36" s="458"/>
      <c r="L36" s="458"/>
      <c r="M36" s="458"/>
      <c r="N36" s="458"/>
      <c r="O36" s="462">
        <f t="shared" si="1"/>
        <v>0</v>
      </c>
      <c r="P36" s="460"/>
      <c r="Q36" s="452"/>
    </row>
    <row r="37" ht="15.75" customHeight="1">
      <c r="A37" s="447" t="s">
        <v>153</v>
      </c>
      <c r="B37" s="447"/>
      <c r="C37" s="462">
        <f t="shared" ref="C37:N37" si="4">SUM(C7:C36)</f>
        <v>344114</v>
      </c>
      <c r="D37" s="462">
        <f t="shared" si="4"/>
        <v>380567</v>
      </c>
      <c r="E37" s="462">
        <f t="shared" si="4"/>
        <v>485922</v>
      </c>
      <c r="F37" s="462">
        <f t="shared" si="4"/>
        <v>396062</v>
      </c>
      <c r="G37" s="462">
        <f t="shared" si="4"/>
        <v>350282</v>
      </c>
      <c r="H37" s="462">
        <f t="shared" si="4"/>
        <v>440891</v>
      </c>
      <c r="I37" s="462">
        <f t="shared" si="4"/>
        <v>31400</v>
      </c>
      <c r="J37" s="462">
        <f t="shared" si="4"/>
        <v>31400</v>
      </c>
      <c r="K37" s="462">
        <f t="shared" si="4"/>
        <v>31400</v>
      </c>
      <c r="L37" s="462">
        <f t="shared" si="4"/>
        <v>124185</v>
      </c>
      <c r="M37" s="462">
        <f t="shared" si="4"/>
        <v>69820</v>
      </c>
      <c r="N37" s="462">
        <f t="shared" si="4"/>
        <v>59460</v>
      </c>
      <c r="O37" s="462">
        <f t="shared" si="1"/>
        <v>2745503</v>
      </c>
      <c r="P37" s="460">
        <f t="shared" ref="P37:P38" si="6">O37/$O$5</f>
        <v>1.161356707</v>
      </c>
      <c r="Q37" s="452"/>
    </row>
    <row r="38" ht="15.75" customHeight="1">
      <c r="A38" s="463" t="s">
        <v>40</v>
      </c>
      <c r="B38" s="463"/>
      <c r="C38" s="465">
        <f t="shared" ref="C38:O38" si="5">C5-C37</f>
        <v>115383</v>
      </c>
      <c r="D38" s="465">
        <f t="shared" si="5"/>
        <v>-34178</v>
      </c>
      <c r="E38" s="465">
        <f t="shared" si="5"/>
        <v>-138324</v>
      </c>
      <c r="F38" s="465">
        <f t="shared" si="5"/>
        <v>-74243</v>
      </c>
      <c r="G38" s="465">
        <f t="shared" si="5"/>
        <v>-54259</v>
      </c>
      <c r="H38" s="465">
        <f t="shared" si="5"/>
        <v>-166351</v>
      </c>
      <c r="I38" s="465">
        <f t="shared" si="5"/>
        <v>-31400</v>
      </c>
      <c r="J38" s="465">
        <f t="shared" si="5"/>
        <v>-31400</v>
      </c>
      <c r="K38" s="465">
        <f t="shared" si="5"/>
        <v>-31400</v>
      </c>
      <c r="L38" s="465">
        <f t="shared" si="5"/>
        <v>193997</v>
      </c>
      <c r="M38" s="465">
        <f t="shared" si="5"/>
        <v>-69820</v>
      </c>
      <c r="N38" s="465">
        <f t="shared" si="5"/>
        <v>-59460</v>
      </c>
      <c r="O38" s="465">
        <f t="shared" si="5"/>
        <v>-381455</v>
      </c>
      <c r="P38" s="460">
        <f t="shared" si="6"/>
        <v>-0.1613567068</v>
      </c>
      <c r="Q38" s="452"/>
    </row>
    <row r="39" ht="15.75" customHeight="1">
      <c r="A39" s="447" t="s">
        <v>154</v>
      </c>
      <c r="B39" s="447"/>
      <c r="C39" s="462"/>
      <c r="D39" s="462"/>
      <c r="E39" s="462"/>
      <c r="F39" s="462"/>
      <c r="G39" s="462"/>
      <c r="H39" s="462"/>
      <c r="I39" s="458"/>
      <c r="J39" s="462"/>
      <c r="K39" s="458"/>
      <c r="L39" s="458"/>
      <c r="M39" s="458"/>
      <c r="N39" s="458"/>
      <c r="O39" s="462">
        <f t="shared" ref="O39:O41" si="7">SUM(C39:N39)</f>
        <v>0</v>
      </c>
      <c r="P39" s="460"/>
      <c r="Q39" s="452"/>
    </row>
    <row r="40" ht="15.75" customHeight="1">
      <c r="A40" s="447" t="s">
        <v>155</v>
      </c>
      <c r="B40" s="447"/>
      <c r="C40" s="447"/>
      <c r="D40" s="447"/>
      <c r="E40" s="462"/>
      <c r="F40" s="447"/>
      <c r="G40" s="447"/>
      <c r="H40" s="447"/>
      <c r="I40" s="458"/>
      <c r="J40" s="447"/>
      <c r="K40" s="458"/>
      <c r="L40" s="458"/>
      <c r="M40" s="458"/>
      <c r="N40" s="458"/>
      <c r="O40" s="471">
        <f t="shared" si="7"/>
        <v>0</v>
      </c>
      <c r="P40" s="460"/>
      <c r="Q40" s="452"/>
    </row>
    <row r="41" ht="15.75" customHeight="1">
      <c r="A41" s="447" t="s">
        <v>156</v>
      </c>
      <c r="B41" s="447"/>
      <c r="C41" s="447"/>
      <c r="D41" s="447">
        <v>31.0</v>
      </c>
      <c r="E41" s="447"/>
      <c r="F41" s="447"/>
      <c r="G41" s="447"/>
      <c r="H41" s="447"/>
      <c r="I41" s="458"/>
      <c r="J41" s="447">
        <v>23.0</v>
      </c>
      <c r="K41" s="458"/>
      <c r="L41" s="458"/>
      <c r="M41" s="458"/>
      <c r="N41" s="458"/>
      <c r="O41" s="471">
        <f t="shared" si="7"/>
        <v>54</v>
      </c>
      <c r="P41" s="460"/>
      <c r="Q41" s="452"/>
    </row>
    <row r="42" ht="15.75" customHeight="1">
      <c r="A42" s="463" t="s">
        <v>43</v>
      </c>
      <c r="B42" s="463"/>
      <c r="C42" s="470">
        <f t="shared" ref="C42:O42" si="8">C38-C39-C40+C41</f>
        <v>115383</v>
      </c>
      <c r="D42" s="470">
        <f t="shared" si="8"/>
        <v>-34147</v>
      </c>
      <c r="E42" s="470">
        <f t="shared" si="8"/>
        <v>-138324</v>
      </c>
      <c r="F42" s="470">
        <f t="shared" si="8"/>
        <v>-74243</v>
      </c>
      <c r="G42" s="470">
        <f t="shared" si="8"/>
        <v>-54259</v>
      </c>
      <c r="H42" s="470">
        <f t="shared" si="8"/>
        <v>-166351</v>
      </c>
      <c r="I42" s="470">
        <f t="shared" si="8"/>
        <v>-31400</v>
      </c>
      <c r="J42" s="470">
        <f t="shared" si="8"/>
        <v>-31377</v>
      </c>
      <c r="K42" s="470">
        <f t="shared" si="8"/>
        <v>-31400</v>
      </c>
      <c r="L42" s="470">
        <f t="shared" si="8"/>
        <v>193997</v>
      </c>
      <c r="M42" s="470">
        <f t="shared" si="8"/>
        <v>-69820</v>
      </c>
      <c r="N42" s="470">
        <f t="shared" si="8"/>
        <v>-59460</v>
      </c>
      <c r="O42" s="470">
        <f t="shared" si="8"/>
        <v>-381401</v>
      </c>
      <c r="P42" s="460">
        <f>O42/$O$5</f>
        <v>-0.1613338646</v>
      </c>
      <c r="Q42" s="452"/>
    </row>
    <row r="43" ht="15.75" customHeight="1">
      <c r="A43" s="447" t="s">
        <v>44</v>
      </c>
      <c r="B43" s="447"/>
      <c r="C43" s="447"/>
      <c r="D43" s="447"/>
      <c r="E43" s="447"/>
      <c r="F43" s="447"/>
      <c r="G43" s="447"/>
      <c r="H43" s="447"/>
      <c r="I43" s="458"/>
      <c r="J43" s="447"/>
      <c r="K43" s="458"/>
      <c r="L43" s="458"/>
      <c r="M43" s="458"/>
      <c r="N43" s="458"/>
      <c r="O43" s="471">
        <f t="shared" ref="O43:O44" si="9">SUM(C43:N43)</f>
        <v>0</v>
      </c>
      <c r="P43" s="460"/>
      <c r="Q43" s="452"/>
    </row>
    <row r="44" ht="15.75" customHeight="1">
      <c r="A44" s="472" t="s">
        <v>45</v>
      </c>
      <c r="B44" s="472"/>
      <c r="C44" s="472"/>
      <c r="D44" s="472"/>
      <c r="E44" s="472"/>
      <c r="F44" s="472"/>
      <c r="G44" s="472"/>
      <c r="H44" s="472"/>
      <c r="I44" s="458"/>
      <c r="J44" s="472"/>
      <c r="K44" s="458"/>
      <c r="L44" s="458"/>
      <c r="M44" s="458"/>
      <c r="N44" s="458"/>
      <c r="O44" s="497">
        <f t="shared" si="9"/>
        <v>0</v>
      </c>
      <c r="P44" s="460"/>
      <c r="Q44" s="452"/>
      <c r="R44" s="440"/>
      <c r="S44" s="443"/>
      <c r="T44" s="444"/>
    </row>
    <row r="45" ht="15.75" customHeight="1">
      <c r="A45" s="463" t="s">
        <v>157</v>
      </c>
      <c r="B45" s="463"/>
      <c r="C45" s="465">
        <f t="shared" ref="C45:O45" si="10">C42+C43-C44</f>
        <v>115383</v>
      </c>
      <c r="D45" s="465">
        <f t="shared" si="10"/>
        <v>-34147</v>
      </c>
      <c r="E45" s="465">
        <f t="shared" si="10"/>
        <v>-138324</v>
      </c>
      <c r="F45" s="465">
        <f t="shared" si="10"/>
        <v>-74243</v>
      </c>
      <c r="G45" s="465">
        <f t="shared" si="10"/>
        <v>-54259</v>
      </c>
      <c r="H45" s="465">
        <f t="shared" si="10"/>
        <v>-166351</v>
      </c>
      <c r="I45" s="465">
        <f t="shared" si="10"/>
        <v>-31400</v>
      </c>
      <c r="J45" s="465">
        <f t="shared" si="10"/>
        <v>-31377</v>
      </c>
      <c r="K45" s="465">
        <f t="shared" si="10"/>
        <v>-31400</v>
      </c>
      <c r="L45" s="465">
        <f t="shared" si="10"/>
        <v>193997</v>
      </c>
      <c r="M45" s="465">
        <f t="shared" si="10"/>
        <v>-69820</v>
      </c>
      <c r="N45" s="465">
        <f t="shared" si="10"/>
        <v>-59460</v>
      </c>
      <c r="O45" s="465">
        <f t="shared" si="10"/>
        <v>-381401</v>
      </c>
      <c r="P45" s="460">
        <f t="shared" ref="P45:P47" si="11">O45/$O$5</f>
        <v>-0.1613338646</v>
      </c>
      <c r="Q45" s="452"/>
      <c r="R45" s="440"/>
      <c r="S45" s="443"/>
      <c r="T45" s="444"/>
    </row>
    <row r="46" ht="15.75" customHeight="1">
      <c r="A46" s="463" t="s">
        <v>158</v>
      </c>
      <c r="B46" s="477">
        <v>0.33</v>
      </c>
      <c r="C46" s="465"/>
      <c r="D46" s="465"/>
      <c r="E46" s="465"/>
      <c r="F46" s="465"/>
      <c r="G46" s="465"/>
      <c r="H46" s="465"/>
      <c r="I46" s="465"/>
      <c r="J46" s="465"/>
      <c r="K46" s="465"/>
      <c r="L46" s="465"/>
      <c r="M46" s="465"/>
      <c r="N46" s="465"/>
      <c r="O46" s="465"/>
      <c r="P46" s="460">
        <f t="shared" si="11"/>
        <v>0</v>
      </c>
      <c r="Q46" s="452"/>
      <c r="R46" s="440"/>
      <c r="S46" s="443"/>
      <c r="T46" s="444"/>
    </row>
    <row r="47" ht="15.75" customHeight="1">
      <c r="A47" s="463" t="s">
        <v>159</v>
      </c>
      <c r="B47" s="463"/>
      <c r="C47" s="465"/>
      <c r="D47" s="465"/>
      <c r="E47" s="465"/>
      <c r="F47" s="465"/>
      <c r="G47" s="465"/>
      <c r="H47" s="465"/>
      <c r="I47" s="465"/>
      <c r="J47" s="465"/>
      <c r="K47" s="465"/>
      <c r="L47" s="465"/>
      <c r="M47" s="465"/>
      <c r="N47" s="465"/>
      <c r="O47" s="465">
        <f>O45-O46</f>
        <v>-381401</v>
      </c>
      <c r="P47" s="460">
        <f t="shared" si="11"/>
        <v>-0.1613338646</v>
      </c>
      <c r="Q47" s="452"/>
      <c r="R47" s="440"/>
      <c r="S47" s="443"/>
      <c r="T47" s="444"/>
    </row>
    <row r="48" ht="15.75" customHeight="1">
      <c r="A48" s="478"/>
      <c r="B48" s="452"/>
      <c r="C48" s="479"/>
      <c r="D48" s="479"/>
      <c r="E48" s="479"/>
      <c r="F48" s="479"/>
      <c r="G48" s="479"/>
      <c r="H48" s="479"/>
      <c r="I48" s="479"/>
      <c r="J48" s="479"/>
      <c r="K48" s="479"/>
      <c r="L48" s="479"/>
      <c r="M48" s="479"/>
      <c r="N48" s="479"/>
      <c r="O48" s="479"/>
      <c r="P48" s="452"/>
      <c r="Q48" s="452"/>
      <c r="R48" s="440"/>
      <c r="S48" s="443"/>
    </row>
    <row r="49" ht="15.75" customHeight="1">
      <c r="A49" s="478"/>
      <c r="B49" s="452"/>
      <c r="C49" s="457"/>
      <c r="D49" s="457"/>
      <c r="E49" s="457"/>
      <c r="F49" s="457"/>
      <c r="G49" s="457"/>
      <c r="H49" s="457"/>
      <c r="I49" s="457"/>
      <c r="J49" s="457"/>
      <c r="K49" s="457"/>
      <c r="L49" s="457"/>
      <c r="M49" s="457"/>
      <c r="N49" s="457"/>
      <c r="O49" s="457"/>
      <c r="P49" s="452"/>
      <c r="Q49" s="452"/>
    </row>
    <row r="50" ht="15.75" customHeight="1">
      <c r="A50" s="478" t="s">
        <v>116</v>
      </c>
      <c r="B50" s="508">
        <f>SUM(B4:B36)</f>
        <v>0</v>
      </c>
      <c r="C50" s="457"/>
      <c r="D50" s="457"/>
      <c r="E50" s="457"/>
      <c r="F50" s="457"/>
      <c r="G50" s="457"/>
      <c r="H50" s="457"/>
      <c r="I50" s="457"/>
      <c r="J50" s="457"/>
      <c r="K50" s="457"/>
      <c r="L50" s="457"/>
      <c r="M50" s="457"/>
      <c r="N50" s="457"/>
      <c r="O50" s="457"/>
      <c r="P50" s="452"/>
      <c r="Q50" s="452"/>
      <c r="R50" s="440" t="s">
        <v>76</v>
      </c>
    </row>
    <row r="51" ht="15.75" customHeight="1">
      <c r="A51" s="478" t="s">
        <v>258</v>
      </c>
      <c r="B51" s="508">
        <f>100%-B50</f>
        <v>1</v>
      </c>
      <c r="C51" s="457"/>
      <c r="D51" s="457"/>
      <c r="E51" s="457"/>
      <c r="F51" s="457"/>
      <c r="G51" s="457"/>
      <c r="H51" s="457"/>
      <c r="I51" s="457"/>
      <c r="J51" s="457"/>
      <c r="K51" s="457"/>
      <c r="L51" s="457"/>
      <c r="M51" s="457"/>
      <c r="N51" s="457"/>
      <c r="O51" s="457"/>
      <c r="P51" s="452"/>
      <c r="Q51" s="452"/>
      <c r="R51" s="440" t="s">
        <v>130</v>
      </c>
      <c r="S51" s="509">
        <f>O3</f>
        <v>2706556</v>
      </c>
    </row>
    <row r="52" ht="15.75" customHeight="1">
      <c r="A52" s="452"/>
      <c r="B52" s="452"/>
      <c r="C52" s="452"/>
      <c r="D52" s="452"/>
      <c r="E52" s="452"/>
      <c r="F52" s="452"/>
      <c r="G52" s="452"/>
      <c r="H52" s="452"/>
      <c r="I52" s="452"/>
      <c r="J52" s="452"/>
      <c r="K52" s="452"/>
      <c r="L52" s="452"/>
      <c r="M52" s="452"/>
      <c r="N52" s="452"/>
      <c r="O52" s="452"/>
      <c r="P52" s="452"/>
      <c r="Q52" s="452"/>
      <c r="R52" s="440" t="s">
        <v>259</v>
      </c>
      <c r="S52" s="509">
        <f t="shared" ref="S52:S53" si="12">S51*T52</f>
        <v>211111.368</v>
      </c>
      <c r="T52" s="510">
        <v>0.078</v>
      </c>
    </row>
    <row r="53" ht="15.75" customHeight="1">
      <c r="A53" s="452"/>
      <c r="C53" s="452"/>
      <c r="D53" s="452"/>
      <c r="E53" s="452"/>
      <c r="F53" s="452"/>
      <c r="G53" s="452"/>
      <c r="H53" s="452"/>
      <c r="I53" s="452"/>
      <c r="J53" s="452"/>
      <c r="K53" s="452"/>
      <c r="L53" s="452"/>
      <c r="M53" s="452"/>
      <c r="N53" s="452"/>
      <c r="O53" s="452"/>
      <c r="P53" s="452"/>
      <c r="Q53" s="452"/>
      <c r="R53" s="440" t="s">
        <v>260</v>
      </c>
      <c r="S53" s="509">
        <f t="shared" si="12"/>
        <v>126666.8208</v>
      </c>
      <c r="T53" s="511">
        <v>0.6</v>
      </c>
    </row>
    <row r="54" ht="15.75" customHeight="1">
      <c r="A54" s="452"/>
      <c r="C54" s="452"/>
      <c r="D54" s="452"/>
      <c r="E54" s="452"/>
      <c r="F54" s="452"/>
      <c r="G54" s="452"/>
      <c r="H54" s="452"/>
      <c r="I54" s="452"/>
      <c r="J54" s="452"/>
      <c r="K54" s="452"/>
      <c r="L54" s="452"/>
      <c r="M54" s="452"/>
      <c r="N54" s="452"/>
      <c r="O54" s="452"/>
      <c r="P54" s="452"/>
      <c r="Q54" s="452"/>
      <c r="R54" s="440" t="s">
        <v>261</v>
      </c>
      <c r="S54" s="509">
        <f>S52-S53</f>
        <v>84444.5472</v>
      </c>
    </row>
    <row r="55" ht="15.75" customHeight="1">
      <c r="A55" s="452" t="s">
        <v>262</v>
      </c>
      <c r="B55" s="452" t="s">
        <v>263</v>
      </c>
      <c r="C55" s="437"/>
      <c r="D55" s="437"/>
      <c r="E55" s="437"/>
      <c r="F55" s="447"/>
      <c r="G55" s="447"/>
      <c r="H55" s="447"/>
      <c r="I55" s="447"/>
      <c r="J55" s="447"/>
      <c r="K55" s="447"/>
      <c r="L55" s="447"/>
      <c r="M55" s="447"/>
      <c r="N55" s="447"/>
      <c r="O55" s="447"/>
      <c r="P55" s="452"/>
      <c r="Q55" s="452"/>
      <c r="R55" s="440" t="s">
        <v>264</v>
      </c>
      <c r="S55" s="443">
        <f>S54*22/78</f>
        <v>23817.6928</v>
      </c>
    </row>
    <row r="56" ht="15.75" customHeight="1">
      <c r="A56" s="452"/>
      <c r="B56" s="440"/>
      <c r="C56" s="447"/>
      <c r="D56" s="447"/>
      <c r="E56" s="447"/>
      <c r="F56" s="447"/>
      <c r="G56" s="447"/>
      <c r="H56" s="447"/>
      <c r="I56" s="447"/>
      <c r="J56" s="447"/>
      <c r="K56" s="447"/>
      <c r="L56" s="447"/>
      <c r="M56" s="447"/>
      <c r="N56" s="447"/>
      <c r="O56" s="447"/>
      <c r="P56" s="452"/>
      <c r="Q56" s="452"/>
      <c r="R56" s="440"/>
      <c r="S56" s="509"/>
    </row>
    <row r="57" ht="15.75" customHeight="1">
      <c r="A57" s="452"/>
      <c r="C57" s="452"/>
      <c r="D57" s="452"/>
      <c r="E57" s="452"/>
      <c r="F57" s="452"/>
      <c r="G57" s="452"/>
      <c r="H57" s="452"/>
      <c r="I57" s="452"/>
      <c r="J57" s="452"/>
      <c r="K57" s="452"/>
      <c r="L57" s="452"/>
      <c r="M57" s="452"/>
      <c r="N57" s="452"/>
      <c r="O57" s="452"/>
      <c r="P57" s="452"/>
      <c r="Q57" s="45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3:B53"/>
    <mergeCell ref="A54:B54"/>
    <mergeCell ref="A57:B57"/>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71"/>
    <col customWidth="1" min="2" max="20" width="14.43"/>
  </cols>
  <sheetData>
    <row r="1" ht="15.75" customHeight="1">
      <c r="A1" s="447"/>
      <c r="B1" s="448" t="s">
        <v>116</v>
      </c>
      <c r="C1" s="449" t="s">
        <v>265</v>
      </c>
      <c r="D1" s="449" t="s">
        <v>266</v>
      </c>
      <c r="E1" s="449" t="s">
        <v>267</v>
      </c>
      <c r="F1" s="447" t="s">
        <v>268</v>
      </c>
      <c r="G1" s="447" t="s">
        <v>269</v>
      </c>
      <c r="H1" s="447" t="s">
        <v>270</v>
      </c>
      <c r="I1" s="447" t="s">
        <v>271</v>
      </c>
      <c r="J1" s="447" t="s">
        <v>272</v>
      </c>
      <c r="K1" s="447" t="s">
        <v>273</v>
      </c>
      <c r="L1" s="447" t="s">
        <v>274</v>
      </c>
      <c r="M1" s="447" t="s">
        <v>180</v>
      </c>
      <c r="N1" s="447" t="s">
        <v>181</v>
      </c>
      <c r="O1" s="447" t="s">
        <v>129</v>
      </c>
      <c r="P1" s="452"/>
      <c r="Q1" s="452"/>
    </row>
    <row r="2" ht="15.75" customHeight="1">
      <c r="A2" s="453"/>
      <c r="B2" s="454"/>
      <c r="C2" s="455"/>
      <c r="D2" s="455"/>
      <c r="E2" s="455"/>
      <c r="F2" s="455"/>
      <c r="G2" s="455"/>
      <c r="H2" s="455"/>
      <c r="I2" s="455"/>
      <c r="J2" s="455"/>
      <c r="K2" s="455"/>
      <c r="L2" s="455"/>
      <c r="M2" s="455"/>
      <c r="N2" s="455"/>
      <c r="O2" s="456">
        <f t="shared" ref="O2:O4" si="1">SUM(C2:N2)</f>
        <v>0</v>
      </c>
      <c r="P2" s="457"/>
      <c r="Q2" s="452"/>
    </row>
    <row r="3" ht="15.75" customHeight="1">
      <c r="A3" s="447" t="s">
        <v>130</v>
      </c>
      <c r="B3" s="447"/>
      <c r="C3" s="458">
        <v>320000.0</v>
      </c>
      <c r="D3" s="458">
        <v>320000.0</v>
      </c>
      <c r="E3" s="458">
        <v>320000.0</v>
      </c>
      <c r="F3" s="458">
        <v>320000.0</v>
      </c>
      <c r="G3" s="458">
        <v>320000.0</v>
      </c>
      <c r="H3" s="458">
        <v>320000.0</v>
      </c>
      <c r="I3" s="458">
        <v>320000.0</v>
      </c>
      <c r="J3" s="458">
        <v>320000.0</v>
      </c>
      <c r="K3" s="458">
        <v>320000.0</v>
      </c>
      <c r="L3" s="458">
        <v>320000.0</v>
      </c>
      <c r="M3" s="458">
        <v>320000.0</v>
      </c>
      <c r="N3" s="458">
        <v>320000.0</v>
      </c>
      <c r="O3" s="506">
        <f t="shared" si="1"/>
        <v>3840000</v>
      </c>
      <c r="P3" s="460">
        <f t="shared" ref="P3:P4" si="2">O3/$O$3</f>
        <v>1</v>
      </c>
      <c r="Q3" s="452"/>
    </row>
    <row r="4" ht="15.75" customHeight="1">
      <c r="A4" s="447" t="s">
        <v>131</v>
      </c>
      <c r="B4" s="461"/>
      <c r="C4" s="492">
        <v>10000.0</v>
      </c>
      <c r="D4" s="492">
        <v>10000.0</v>
      </c>
      <c r="E4" s="492">
        <v>10000.0</v>
      </c>
      <c r="F4" s="492">
        <v>10000.0</v>
      </c>
      <c r="G4" s="492">
        <v>10000.0</v>
      </c>
      <c r="H4" s="492">
        <v>10000.0</v>
      </c>
      <c r="I4" s="492">
        <v>10000.0</v>
      </c>
      <c r="J4" s="492">
        <v>10000.0</v>
      </c>
      <c r="K4" s="492">
        <v>10000.0</v>
      </c>
      <c r="L4" s="492">
        <v>10000.0</v>
      </c>
      <c r="M4" s="492">
        <v>10000.0</v>
      </c>
      <c r="N4" s="492">
        <v>10000.0</v>
      </c>
      <c r="O4" s="462">
        <f t="shared" si="1"/>
        <v>120000</v>
      </c>
      <c r="P4" s="460">
        <f t="shared" si="2"/>
        <v>0.03125</v>
      </c>
      <c r="Q4" s="452"/>
    </row>
    <row r="5" ht="15.75" customHeight="1">
      <c r="A5" s="463" t="s">
        <v>132</v>
      </c>
      <c r="B5" s="464"/>
      <c r="C5" s="465">
        <f t="shared" ref="C5:H5" si="3">C2+C3-C4</f>
        <v>310000</v>
      </c>
      <c r="D5" s="465">
        <f t="shared" si="3"/>
        <v>310000</v>
      </c>
      <c r="E5" s="465">
        <f t="shared" si="3"/>
        <v>310000</v>
      </c>
      <c r="F5" s="465">
        <f t="shared" si="3"/>
        <v>310000</v>
      </c>
      <c r="G5" s="465">
        <f t="shared" si="3"/>
        <v>310000</v>
      </c>
      <c r="H5" s="465">
        <f t="shared" si="3"/>
        <v>310000</v>
      </c>
      <c r="I5" s="465">
        <v>352645.0</v>
      </c>
      <c r="J5" s="465">
        <f>J2+J3-J4</f>
        <v>310000</v>
      </c>
      <c r="K5" s="465">
        <v>313422.0</v>
      </c>
      <c r="L5" s="465">
        <v>167041.0</v>
      </c>
      <c r="M5" s="465">
        <v>222771.0</v>
      </c>
      <c r="N5" s="465">
        <v>307299.0</v>
      </c>
      <c r="O5" s="465">
        <f>O2+O3-O4</f>
        <v>3720000</v>
      </c>
      <c r="P5" s="460"/>
      <c r="Q5" s="452"/>
    </row>
    <row r="6" ht="15.75" customHeight="1">
      <c r="A6" s="447"/>
      <c r="B6" s="447"/>
      <c r="C6" s="447"/>
      <c r="D6" s="447"/>
      <c r="E6" s="447"/>
      <c r="F6" s="447"/>
      <c r="G6" s="447"/>
      <c r="H6" s="447"/>
      <c r="I6" s="447"/>
      <c r="J6" s="447"/>
      <c r="K6" s="447"/>
      <c r="L6" s="447"/>
      <c r="M6" s="447"/>
      <c r="N6" s="447"/>
      <c r="O6" s="465">
        <f t="shared" ref="O6:O35" si="4">SUM(C6:N6)</f>
        <v>0</v>
      </c>
      <c r="P6" s="460"/>
      <c r="Q6" s="452"/>
    </row>
    <row r="7" ht="15.75" customHeight="1">
      <c r="A7" s="447" t="s">
        <v>133</v>
      </c>
      <c r="B7" s="447"/>
      <c r="C7" s="462"/>
      <c r="D7" s="462"/>
      <c r="E7" s="462"/>
      <c r="F7" s="462"/>
      <c r="G7" s="462"/>
      <c r="H7" s="462"/>
      <c r="I7" s="458"/>
      <c r="J7" s="462"/>
      <c r="K7" s="458"/>
      <c r="L7" s="458"/>
      <c r="M7" s="458"/>
      <c r="N7" s="458"/>
      <c r="O7" s="462">
        <f t="shared" si="4"/>
        <v>0</v>
      </c>
      <c r="P7" s="460">
        <f>O7/$O$5</f>
        <v>0</v>
      </c>
      <c r="Q7" s="452"/>
    </row>
    <row r="8" ht="15.75" customHeight="1">
      <c r="A8" s="447" t="s">
        <v>134</v>
      </c>
      <c r="B8" s="447"/>
      <c r="C8" s="462"/>
      <c r="D8" s="462"/>
      <c r="E8" s="462"/>
      <c r="F8" s="462"/>
      <c r="G8" s="462"/>
      <c r="H8" s="507"/>
      <c r="I8" s="458"/>
      <c r="J8" s="462"/>
      <c r="K8" s="458"/>
      <c r="L8" s="458"/>
      <c r="M8" s="458"/>
      <c r="N8" s="458"/>
      <c r="O8" s="462">
        <f t="shared" si="4"/>
        <v>0</v>
      </c>
      <c r="P8" s="460"/>
      <c r="Q8" s="452"/>
    </row>
    <row r="9" ht="15.75" customHeight="1">
      <c r="A9" s="447" t="s">
        <v>135</v>
      </c>
      <c r="B9" s="461"/>
      <c r="C9" s="459"/>
      <c r="D9" s="459"/>
      <c r="E9" s="459"/>
      <c r="F9" s="459"/>
      <c r="G9" s="459"/>
      <c r="H9" s="507"/>
      <c r="I9" s="458"/>
      <c r="J9" s="459"/>
      <c r="K9" s="458"/>
      <c r="L9" s="458"/>
      <c r="M9" s="458"/>
      <c r="N9" s="458"/>
      <c r="O9" s="459">
        <f t="shared" si="4"/>
        <v>0</v>
      </c>
      <c r="P9" s="460">
        <f>O9/$O$5</f>
        <v>0</v>
      </c>
      <c r="Q9" s="452"/>
    </row>
    <row r="10" ht="15.75" customHeight="1">
      <c r="A10" s="447" t="s">
        <v>29</v>
      </c>
      <c r="B10" s="461">
        <v>0.0</v>
      </c>
      <c r="C10" s="462"/>
      <c r="D10" s="462"/>
      <c r="E10" s="462"/>
      <c r="F10" s="462"/>
      <c r="G10" s="462"/>
      <c r="H10" s="507"/>
      <c r="I10" s="458"/>
      <c r="J10" s="462"/>
      <c r="K10" s="458"/>
      <c r="L10" s="458"/>
      <c r="M10" s="458"/>
      <c r="N10" s="458"/>
      <c r="O10" s="462">
        <f t="shared" si="4"/>
        <v>0</v>
      </c>
      <c r="P10" s="460"/>
      <c r="Q10" s="452"/>
    </row>
    <row r="11" ht="15.75" customHeight="1">
      <c r="A11" s="447" t="s">
        <v>30</v>
      </c>
      <c r="B11" s="447"/>
      <c r="C11" s="447"/>
      <c r="D11" s="447"/>
      <c r="E11" s="447"/>
      <c r="F11" s="447"/>
      <c r="G11" s="447"/>
      <c r="I11" s="458"/>
      <c r="J11" s="447"/>
      <c r="K11" s="458"/>
      <c r="L11" s="458"/>
      <c r="M11" s="458"/>
      <c r="N11" s="458"/>
      <c r="O11" s="471">
        <f t="shared" si="4"/>
        <v>0</v>
      </c>
      <c r="P11" s="460"/>
      <c r="Q11" s="452"/>
    </row>
    <row r="12" ht="15.75" customHeight="1">
      <c r="A12" s="447" t="s">
        <v>136</v>
      </c>
      <c r="B12" s="447"/>
      <c r="C12" s="462">
        <v>227273.0</v>
      </c>
      <c r="D12" s="462">
        <v>227273.0</v>
      </c>
      <c r="E12" s="462">
        <v>227273.0</v>
      </c>
      <c r="F12" s="462">
        <v>227273.0</v>
      </c>
      <c r="G12" s="462">
        <v>227273.0</v>
      </c>
      <c r="H12" s="462">
        <v>227273.0</v>
      </c>
      <c r="I12" s="458">
        <v>272727.0</v>
      </c>
      <c r="J12" s="462">
        <v>272727.0</v>
      </c>
      <c r="K12" s="458">
        <v>272727.0</v>
      </c>
      <c r="L12" s="458">
        <v>272727.0</v>
      </c>
      <c r="M12" s="458">
        <v>272727.0</v>
      </c>
      <c r="N12" s="458">
        <v>272727.0</v>
      </c>
      <c r="O12" s="462">
        <f t="shared" si="4"/>
        <v>3000000</v>
      </c>
      <c r="P12" s="460"/>
      <c r="Q12" s="452"/>
    </row>
    <row r="13" ht="15.75" customHeight="1">
      <c r="A13" s="447" t="s">
        <v>137</v>
      </c>
      <c r="B13" s="461"/>
      <c r="C13" s="462"/>
      <c r="D13" s="462"/>
      <c r="E13" s="462"/>
      <c r="F13" s="462"/>
      <c r="G13" s="462"/>
      <c r="H13" s="462"/>
      <c r="I13" s="458"/>
      <c r="J13" s="462"/>
      <c r="K13" s="458"/>
      <c r="L13" s="458"/>
      <c r="M13" s="458"/>
      <c r="N13" s="458"/>
      <c r="O13" s="462">
        <f t="shared" si="4"/>
        <v>0</v>
      </c>
      <c r="P13" s="460"/>
      <c r="Q13" s="452"/>
    </row>
    <row r="14" ht="15.75" customHeight="1">
      <c r="A14" s="447" t="s">
        <v>138</v>
      </c>
      <c r="B14" s="447"/>
      <c r="C14" s="462"/>
      <c r="D14" s="462"/>
      <c r="E14" s="462"/>
      <c r="F14" s="462"/>
      <c r="G14" s="462"/>
      <c r="H14" s="507"/>
      <c r="I14" s="458"/>
      <c r="J14" s="462"/>
      <c r="K14" s="458"/>
      <c r="L14" s="458"/>
      <c r="M14" s="458"/>
      <c r="N14" s="458"/>
      <c r="O14" s="462">
        <f t="shared" si="4"/>
        <v>0</v>
      </c>
      <c r="P14" s="460"/>
      <c r="Q14" s="452"/>
    </row>
    <row r="15" ht="15.75" customHeight="1">
      <c r="A15" s="447" t="s">
        <v>139</v>
      </c>
      <c r="B15" s="447"/>
      <c r="C15" s="462"/>
      <c r="D15" s="462"/>
      <c r="E15" s="462"/>
      <c r="F15" s="462"/>
      <c r="G15" s="462"/>
      <c r="H15" s="462"/>
      <c r="I15" s="458"/>
      <c r="J15" s="462"/>
      <c r="K15" s="458"/>
      <c r="L15" s="458"/>
      <c r="M15" s="458"/>
      <c r="N15" s="458"/>
      <c r="O15" s="462">
        <f t="shared" si="4"/>
        <v>0</v>
      </c>
      <c r="P15" s="460">
        <f>O15/$O$5</f>
        <v>0</v>
      </c>
      <c r="Q15" s="452"/>
    </row>
    <row r="16" ht="15.75" customHeight="1">
      <c r="A16" s="447" t="s">
        <v>255</v>
      </c>
      <c r="B16" s="447"/>
      <c r="C16" s="462"/>
      <c r="D16" s="462"/>
      <c r="E16" s="462"/>
      <c r="F16" s="462"/>
      <c r="G16" s="462"/>
      <c r="H16" s="462"/>
      <c r="I16" s="458"/>
      <c r="J16" s="462"/>
      <c r="K16" s="458"/>
      <c r="L16" s="458"/>
      <c r="M16" s="458"/>
      <c r="N16" s="458"/>
      <c r="O16" s="462">
        <f t="shared" si="4"/>
        <v>0</v>
      </c>
      <c r="P16" s="460"/>
      <c r="Q16" s="452"/>
    </row>
    <row r="17" ht="15.75" customHeight="1">
      <c r="A17" s="447" t="s">
        <v>141</v>
      </c>
      <c r="B17" s="447"/>
      <c r="C17" s="462"/>
      <c r="D17" s="462"/>
      <c r="E17" s="462"/>
      <c r="F17" s="462"/>
      <c r="G17" s="462"/>
      <c r="H17" s="462"/>
      <c r="I17" s="458"/>
      <c r="J17" s="462"/>
      <c r="K17" s="458"/>
      <c r="L17" s="458"/>
      <c r="M17" s="458"/>
      <c r="N17" s="458"/>
      <c r="O17" s="462">
        <f t="shared" si="4"/>
        <v>0</v>
      </c>
      <c r="P17" s="460">
        <f>O17/$O$5</f>
        <v>0</v>
      </c>
      <c r="Q17" s="452"/>
    </row>
    <row r="18" ht="15.75" customHeight="1">
      <c r="A18" s="447" t="s">
        <v>142</v>
      </c>
      <c r="B18" s="447"/>
      <c r="C18" s="462"/>
      <c r="D18" s="462"/>
      <c r="E18" s="462"/>
      <c r="F18" s="462"/>
      <c r="G18" s="462"/>
      <c r="H18" s="462"/>
      <c r="I18" s="458"/>
      <c r="J18" s="462"/>
      <c r="K18" s="458"/>
      <c r="L18" s="458"/>
      <c r="M18" s="458"/>
      <c r="N18" s="458"/>
      <c r="O18" s="462">
        <f t="shared" si="4"/>
        <v>0</v>
      </c>
      <c r="P18" s="460"/>
      <c r="Q18" s="452"/>
    </row>
    <row r="19" ht="15.75" customHeight="1">
      <c r="A19" s="447" t="s">
        <v>143</v>
      </c>
      <c r="B19" s="447"/>
      <c r="C19" s="462"/>
      <c r="D19" s="462"/>
      <c r="E19" s="462"/>
      <c r="F19" s="462"/>
      <c r="G19" s="462"/>
      <c r="H19" s="462"/>
      <c r="I19" s="458"/>
      <c r="J19" s="462"/>
      <c r="K19" s="458"/>
      <c r="L19" s="458"/>
      <c r="M19" s="458"/>
      <c r="N19" s="458"/>
      <c r="O19" s="462">
        <f t="shared" si="4"/>
        <v>0</v>
      </c>
      <c r="P19" s="460">
        <f>O19/$O$5</f>
        <v>0</v>
      </c>
      <c r="Q19" s="452"/>
    </row>
    <row r="20" ht="15.75" customHeight="1">
      <c r="A20" s="447" t="s">
        <v>144</v>
      </c>
      <c r="B20" s="447"/>
      <c r="C20" s="462"/>
      <c r="D20" s="462"/>
      <c r="E20" s="462"/>
      <c r="F20" s="462"/>
      <c r="G20" s="462"/>
      <c r="H20" s="462"/>
      <c r="I20" s="458"/>
      <c r="J20" s="462"/>
      <c r="K20" s="458"/>
      <c r="L20" s="458"/>
      <c r="M20" s="458"/>
      <c r="N20" s="458"/>
      <c r="O20" s="462">
        <f t="shared" si="4"/>
        <v>0</v>
      </c>
      <c r="P20" s="460"/>
      <c r="Q20" s="452"/>
    </row>
    <row r="21" ht="15.75" customHeight="1">
      <c r="A21" s="447" t="s">
        <v>145</v>
      </c>
      <c r="B21" s="447"/>
      <c r="C21" s="462"/>
      <c r="D21" s="462"/>
      <c r="E21" s="462"/>
      <c r="F21" s="462"/>
      <c r="G21" s="462"/>
      <c r="H21" s="462"/>
      <c r="I21" s="458"/>
      <c r="J21" s="462"/>
      <c r="K21" s="458"/>
      <c r="L21" s="458"/>
      <c r="M21" s="458"/>
      <c r="N21" s="458"/>
      <c r="O21" s="462">
        <f t="shared" si="4"/>
        <v>0</v>
      </c>
      <c r="P21" s="460"/>
      <c r="Q21" s="452"/>
    </row>
    <row r="22" ht="15.75" customHeight="1">
      <c r="A22" s="447" t="s">
        <v>33</v>
      </c>
      <c r="B22" s="447"/>
      <c r="C22" s="462"/>
      <c r="D22" s="462"/>
      <c r="E22" s="462"/>
      <c r="F22" s="462"/>
      <c r="G22" s="462"/>
      <c r="H22" s="462"/>
      <c r="I22" s="458"/>
      <c r="J22" s="462"/>
      <c r="K22" s="458"/>
      <c r="L22" s="458"/>
      <c r="M22" s="458"/>
      <c r="N22" s="458"/>
      <c r="O22" s="462">
        <f t="shared" si="4"/>
        <v>0</v>
      </c>
      <c r="P22" s="460"/>
      <c r="Q22" s="452"/>
    </row>
    <row r="23" ht="15.75" customHeight="1">
      <c r="A23" s="447" t="s">
        <v>146</v>
      </c>
      <c r="B23" s="447"/>
      <c r="C23" s="462"/>
      <c r="D23" s="462"/>
      <c r="E23" s="462"/>
      <c r="F23" s="462"/>
      <c r="G23" s="462"/>
      <c r="H23" s="462"/>
      <c r="I23" s="458"/>
      <c r="J23" s="462"/>
      <c r="K23" s="458"/>
      <c r="L23" s="458"/>
      <c r="M23" s="458"/>
      <c r="N23" s="458"/>
      <c r="O23" s="462">
        <f t="shared" si="4"/>
        <v>0</v>
      </c>
      <c r="P23" s="460"/>
      <c r="Q23" s="452"/>
    </row>
    <row r="24" ht="15.75" customHeight="1">
      <c r="A24" s="447" t="s">
        <v>147</v>
      </c>
      <c r="B24" s="447"/>
      <c r="C24" s="462"/>
      <c r="D24" s="462"/>
      <c r="E24" s="462"/>
      <c r="F24" s="462"/>
      <c r="G24" s="462"/>
      <c r="H24" s="462"/>
      <c r="I24" s="458"/>
      <c r="J24" s="462"/>
      <c r="K24" s="458"/>
      <c r="L24" s="458"/>
      <c r="M24" s="458"/>
      <c r="N24" s="458"/>
      <c r="O24" s="462">
        <f t="shared" si="4"/>
        <v>0</v>
      </c>
      <c r="P24" s="460"/>
      <c r="Q24" s="452"/>
    </row>
    <row r="25" ht="15.75" customHeight="1">
      <c r="A25" s="447" t="s">
        <v>35</v>
      </c>
      <c r="B25" s="467"/>
      <c r="C25" s="467"/>
      <c r="D25" s="447"/>
      <c r="E25" s="447"/>
      <c r="F25" s="447"/>
      <c r="G25" s="447"/>
      <c r="H25" s="447"/>
      <c r="I25" s="458"/>
      <c r="J25" s="447"/>
      <c r="K25" s="458"/>
      <c r="L25" s="458"/>
      <c r="M25" s="458"/>
      <c r="N25" s="458"/>
      <c r="O25" s="471">
        <f t="shared" si="4"/>
        <v>0</v>
      </c>
      <c r="P25" s="460"/>
      <c r="Q25" s="452"/>
    </row>
    <row r="26" ht="15.75" customHeight="1">
      <c r="A26" s="447" t="s">
        <v>148</v>
      </c>
      <c r="B26" s="461">
        <v>0.0</v>
      </c>
      <c r="C26" s="492"/>
      <c r="D26" s="492"/>
      <c r="E26" s="492"/>
      <c r="F26" s="492"/>
      <c r="G26" s="492"/>
      <c r="H26" s="492"/>
      <c r="I26" s="458"/>
      <c r="J26" s="492"/>
      <c r="K26" s="458"/>
      <c r="L26" s="458"/>
      <c r="M26" s="458"/>
      <c r="N26" s="458"/>
      <c r="O26" s="462">
        <f t="shared" si="4"/>
        <v>0</v>
      </c>
      <c r="P26" s="460"/>
      <c r="Q26" s="452"/>
    </row>
    <row r="27" ht="15.75" customHeight="1">
      <c r="A27" s="447" t="s">
        <v>34</v>
      </c>
      <c r="B27" s="461">
        <v>0.0</v>
      </c>
      <c r="C27" s="492"/>
      <c r="D27" s="492"/>
      <c r="E27" s="492"/>
      <c r="F27" s="492"/>
      <c r="G27" s="492"/>
      <c r="H27" s="492"/>
      <c r="I27" s="458"/>
      <c r="J27" s="492"/>
      <c r="K27" s="458"/>
      <c r="L27" s="458">
        <v>64507.0</v>
      </c>
      <c r="M27" s="458">
        <v>10207.0</v>
      </c>
      <c r="N27" s="458">
        <v>9232.0</v>
      </c>
      <c r="O27" s="462">
        <f t="shared" si="4"/>
        <v>83946</v>
      </c>
      <c r="P27" s="460">
        <f>O27/$O$5</f>
        <v>0.02256612903</v>
      </c>
      <c r="Q27" s="452"/>
    </row>
    <row r="28" ht="15.75" customHeight="1">
      <c r="A28" s="447" t="s">
        <v>149</v>
      </c>
      <c r="B28" s="467"/>
      <c r="C28" s="467"/>
      <c r="D28" s="447">
        <v>4000.0</v>
      </c>
      <c r="E28" s="447"/>
      <c r="F28" s="447">
        <v>1000.0</v>
      </c>
      <c r="G28" s="447"/>
      <c r="H28" s="447"/>
      <c r="I28" s="458"/>
      <c r="J28" s="447"/>
      <c r="K28" s="458">
        <v>600.0</v>
      </c>
      <c r="L28" s="458"/>
      <c r="M28" s="458"/>
      <c r="N28" s="458"/>
      <c r="O28" s="471">
        <f t="shared" si="4"/>
        <v>5600</v>
      </c>
      <c r="P28" s="460"/>
      <c r="Q28" s="452"/>
    </row>
    <row r="29" ht="15.75" customHeight="1">
      <c r="A29" s="447" t="s">
        <v>150</v>
      </c>
      <c r="B29" s="468"/>
      <c r="C29" s="492"/>
      <c r="D29" s="462"/>
      <c r="E29" s="462"/>
      <c r="F29" s="462"/>
      <c r="G29" s="462"/>
      <c r="H29" s="462"/>
      <c r="I29" s="458"/>
      <c r="J29" s="462"/>
      <c r="K29" s="458"/>
      <c r="L29" s="458"/>
      <c r="M29" s="458"/>
      <c r="N29" s="458"/>
      <c r="O29" s="462">
        <f t="shared" si="4"/>
        <v>0</v>
      </c>
      <c r="P29" s="460"/>
      <c r="Q29" s="452"/>
    </row>
    <row r="30" ht="15.75" customHeight="1">
      <c r="A30" s="447" t="s">
        <v>36</v>
      </c>
      <c r="B30" s="461">
        <v>0.0</v>
      </c>
      <c r="C30" s="462">
        <v>5800.0</v>
      </c>
      <c r="D30" s="462">
        <v>5600.0</v>
      </c>
      <c r="E30" s="462">
        <v>5900.0</v>
      </c>
      <c r="F30" s="462">
        <v>3350.0</v>
      </c>
      <c r="G30" s="462">
        <v>2600.0</v>
      </c>
      <c r="H30" s="507">
        <v>2300.0</v>
      </c>
      <c r="I30" s="458">
        <v>2150.0</v>
      </c>
      <c r="J30" s="462">
        <v>2150.0</v>
      </c>
      <c r="K30" s="458">
        <v>1800.0</v>
      </c>
      <c r="L30" s="458">
        <v>2200.0</v>
      </c>
      <c r="M30" s="458">
        <v>2850.0</v>
      </c>
      <c r="N30" s="458">
        <v>2400.0</v>
      </c>
      <c r="O30" s="462">
        <f t="shared" si="4"/>
        <v>39100</v>
      </c>
      <c r="P30" s="460"/>
      <c r="Q30" s="452"/>
    </row>
    <row r="31" ht="15.75" customHeight="1">
      <c r="A31" s="447" t="s">
        <v>151</v>
      </c>
      <c r="B31" s="447"/>
      <c r="C31" s="462"/>
      <c r="D31" s="462"/>
      <c r="E31" s="462"/>
      <c r="F31" s="462"/>
      <c r="G31" s="462"/>
      <c r="H31" s="462"/>
      <c r="I31" s="458"/>
      <c r="J31" s="462"/>
      <c r="K31" s="458"/>
      <c r="L31" s="458"/>
      <c r="M31" s="458"/>
      <c r="N31" s="458"/>
      <c r="O31" s="462">
        <f t="shared" si="4"/>
        <v>0</v>
      </c>
      <c r="P31" s="460"/>
      <c r="Q31" s="452"/>
    </row>
    <row r="32" ht="15.75" customHeight="1">
      <c r="A32" s="447" t="s">
        <v>152</v>
      </c>
      <c r="B32" s="461"/>
      <c r="C32" s="462"/>
      <c r="D32" s="462"/>
      <c r="E32" s="462"/>
      <c r="F32" s="462"/>
      <c r="G32" s="462"/>
      <c r="H32" s="462"/>
      <c r="I32" s="458"/>
      <c r="J32" s="462"/>
      <c r="K32" s="458"/>
      <c r="L32" s="458"/>
      <c r="M32" s="458"/>
      <c r="N32" s="458"/>
      <c r="O32" s="462">
        <f t="shared" si="4"/>
        <v>0</v>
      </c>
      <c r="P32" s="460"/>
      <c r="Q32" s="452"/>
    </row>
    <row r="33" ht="15.75" customHeight="1">
      <c r="A33" s="447" t="s">
        <v>256</v>
      </c>
      <c r="B33" s="461">
        <v>0.0</v>
      </c>
      <c r="C33" s="462"/>
      <c r="D33" s="462"/>
      <c r="E33" s="462"/>
      <c r="F33" s="462"/>
      <c r="G33" s="462"/>
      <c r="H33" s="462"/>
      <c r="I33" s="458"/>
      <c r="J33" s="462"/>
      <c r="K33" s="458"/>
      <c r="L33" s="458"/>
      <c r="M33" s="458"/>
      <c r="N33" s="458"/>
      <c r="O33" s="462">
        <f t="shared" si="4"/>
        <v>0</v>
      </c>
      <c r="P33" s="460"/>
      <c r="Q33" s="452"/>
    </row>
    <row r="34" ht="15.75" customHeight="1">
      <c r="A34" s="447" t="s">
        <v>257</v>
      </c>
      <c r="B34" s="461"/>
      <c r="C34" s="462">
        <v>30000.0</v>
      </c>
      <c r="D34" s="462">
        <v>30000.0</v>
      </c>
      <c r="E34" s="462">
        <v>130000.0</v>
      </c>
      <c r="F34" s="462">
        <v>30000.0</v>
      </c>
      <c r="G34" s="462">
        <v>30000.0</v>
      </c>
      <c r="H34" s="462">
        <v>30000.0</v>
      </c>
      <c r="I34" s="458">
        <v>30000.0</v>
      </c>
      <c r="J34" s="462">
        <v>30000.0</v>
      </c>
      <c r="K34" s="458">
        <v>30000.0</v>
      </c>
      <c r="L34" s="458">
        <v>30000.0</v>
      </c>
      <c r="M34" s="458">
        <v>30000.0</v>
      </c>
      <c r="N34" s="458">
        <v>30000.0</v>
      </c>
      <c r="O34" s="462">
        <f t="shared" si="4"/>
        <v>460000</v>
      </c>
      <c r="P34" s="460">
        <f>O34/$O$5</f>
        <v>0.123655914</v>
      </c>
      <c r="Q34" s="452"/>
    </row>
    <row r="35" ht="15.75" customHeight="1">
      <c r="A35" s="447" t="s">
        <v>241</v>
      </c>
      <c r="B35" s="447"/>
      <c r="C35" s="462"/>
      <c r="D35" s="462"/>
      <c r="E35" s="462"/>
      <c r="F35" s="462"/>
      <c r="G35" s="462"/>
      <c r="H35" s="462"/>
      <c r="I35" s="458"/>
      <c r="J35" s="462"/>
      <c r="K35" s="458"/>
      <c r="L35" s="458">
        <v>17428.0</v>
      </c>
      <c r="M35" s="458"/>
      <c r="N35" s="458"/>
      <c r="O35" s="462">
        <f t="shared" si="4"/>
        <v>17428</v>
      </c>
      <c r="P35" s="460"/>
      <c r="Q35" s="452"/>
    </row>
    <row r="36" ht="15.75" customHeight="1">
      <c r="A36" s="447"/>
      <c r="B36" s="447"/>
      <c r="C36" s="447"/>
      <c r="D36" s="447"/>
      <c r="E36" s="447"/>
      <c r="F36" s="447"/>
      <c r="G36" s="447"/>
      <c r="H36" s="447"/>
      <c r="I36" s="458"/>
      <c r="J36" s="447"/>
      <c r="K36" s="458"/>
      <c r="L36" s="458"/>
      <c r="M36" s="458"/>
      <c r="N36" s="458"/>
      <c r="O36" s="471"/>
      <c r="P36" s="460"/>
      <c r="Q36" s="452"/>
    </row>
    <row r="37" ht="15.75" customHeight="1">
      <c r="A37" s="447" t="s">
        <v>153</v>
      </c>
      <c r="B37" s="447"/>
      <c r="C37" s="462">
        <f t="shared" ref="C37:O37" si="5">SUM(C7:C36)</f>
        <v>263073</v>
      </c>
      <c r="D37" s="462">
        <f t="shared" si="5"/>
        <v>266873</v>
      </c>
      <c r="E37" s="462">
        <f t="shared" si="5"/>
        <v>363173</v>
      </c>
      <c r="F37" s="462">
        <f t="shared" si="5"/>
        <v>261623</v>
      </c>
      <c r="G37" s="462">
        <f t="shared" si="5"/>
        <v>259873</v>
      </c>
      <c r="H37" s="462">
        <f t="shared" si="5"/>
        <v>259573</v>
      </c>
      <c r="I37" s="462">
        <f t="shared" si="5"/>
        <v>304877</v>
      </c>
      <c r="J37" s="462">
        <f t="shared" si="5"/>
        <v>304877</v>
      </c>
      <c r="K37" s="462">
        <f t="shared" si="5"/>
        <v>305127</v>
      </c>
      <c r="L37" s="462">
        <f t="shared" si="5"/>
        <v>386862</v>
      </c>
      <c r="M37" s="462">
        <f t="shared" si="5"/>
        <v>315784</v>
      </c>
      <c r="N37" s="462">
        <f t="shared" si="5"/>
        <v>314359</v>
      </c>
      <c r="O37" s="462">
        <f t="shared" si="5"/>
        <v>3606074</v>
      </c>
      <c r="P37" s="460">
        <f t="shared" ref="P37:P38" si="7">O37/$O$5</f>
        <v>0.9693747312</v>
      </c>
      <c r="Q37" s="452"/>
    </row>
    <row r="38" ht="15.75" customHeight="1">
      <c r="A38" s="463" t="s">
        <v>40</v>
      </c>
      <c r="B38" s="463"/>
      <c r="C38" s="465">
        <f t="shared" ref="C38:H38" si="6">C5-C37</f>
        <v>46927</v>
      </c>
      <c r="D38" s="465">
        <f t="shared" si="6"/>
        <v>43127</v>
      </c>
      <c r="E38" s="465">
        <f t="shared" si="6"/>
        <v>-53173</v>
      </c>
      <c r="F38" s="465">
        <f t="shared" si="6"/>
        <v>48377</v>
      </c>
      <c r="G38" s="465">
        <f t="shared" si="6"/>
        <v>50127</v>
      </c>
      <c r="H38" s="465">
        <f t="shared" si="6"/>
        <v>50427</v>
      </c>
      <c r="I38" s="465">
        <v>47768.0</v>
      </c>
      <c r="J38" s="465">
        <f>J5-J37</f>
        <v>5123</v>
      </c>
      <c r="K38" s="465">
        <v>8295.0</v>
      </c>
      <c r="L38" s="465">
        <v>-219821.0</v>
      </c>
      <c r="M38" s="465">
        <v>-93013.0</v>
      </c>
      <c r="N38" s="465">
        <v>-7060.0</v>
      </c>
      <c r="O38" s="465">
        <f>O5-O37</f>
        <v>113926</v>
      </c>
      <c r="P38" s="460">
        <f t="shared" si="7"/>
        <v>0.03062526882</v>
      </c>
      <c r="Q38" s="452"/>
    </row>
    <row r="39" ht="15.75" customHeight="1">
      <c r="A39" s="447" t="s">
        <v>154</v>
      </c>
      <c r="B39" s="447"/>
      <c r="C39" s="462"/>
      <c r="D39" s="462"/>
      <c r="E39" s="462"/>
      <c r="F39" s="462"/>
      <c r="G39" s="462"/>
      <c r="H39" s="462"/>
      <c r="I39" s="458"/>
      <c r="J39" s="462"/>
      <c r="K39" s="458"/>
      <c r="L39" s="458"/>
      <c r="M39" s="458"/>
      <c r="N39" s="458"/>
      <c r="O39" s="462">
        <f t="shared" ref="O39:O41" si="8">SUM(C39:N39)</f>
        <v>0</v>
      </c>
      <c r="P39" s="460"/>
      <c r="Q39" s="452"/>
    </row>
    <row r="40" ht="15.75" customHeight="1">
      <c r="A40" s="447" t="s">
        <v>155</v>
      </c>
      <c r="B40" s="447"/>
      <c r="C40" s="447"/>
      <c r="D40" s="447"/>
      <c r="E40" s="462"/>
      <c r="F40" s="447"/>
      <c r="G40" s="447"/>
      <c r="H40" s="447"/>
      <c r="I40" s="458"/>
      <c r="J40" s="447"/>
      <c r="K40" s="458"/>
      <c r="L40" s="458"/>
      <c r="M40" s="458"/>
      <c r="N40" s="458"/>
      <c r="O40" s="471">
        <f t="shared" si="8"/>
        <v>0</v>
      </c>
      <c r="P40" s="460"/>
      <c r="Q40" s="452"/>
    </row>
    <row r="41" ht="15.75" customHeight="1">
      <c r="A41" s="447" t="s">
        <v>156</v>
      </c>
      <c r="B41" s="447"/>
      <c r="C41" s="447"/>
      <c r="D41" s="447"/>
      <c r="E41" s="447"/>
      <c r="F41" s="447"/>
      <c r="G41" s="447"/>
      <c r="H41" s="447"/>
      <c r="I41" s="458"/>
      <c r="J41" s="447">
        <v>30.0</v>
      </c>
      <c r="K41" s="458"/>
      <c r="L41" s="458"/>
      <c r="M41" s="458"/>
      <c r="N41" s="458"/>
      <c r="O41" s="471">
        <f t="shared" si="8"/>
        <v>30</v>
      </c>
      <c r="P41" s="460"/>
      <c r="Q41" s="452"/>
    </row>
    <row r="42" ht="15.75" customHeight="1">
      <c r="A42" s="463" t="s">
        <v>43</v>
      </c>
      <c r="B42" s="463"/>
      <c r="C42" s="465">
        <f t="shared" ref="C42:H42" si="9">C38-C39-C40+C41</f>
        <v>46927</v>
      </c>
      <c r="D42" s="465">
        <f t="shared" si="9"/>
        <v>43127</v>
      </c>
      <c r="E42" s="465">
        <f t="shared" si="9"/>
        <v>-53173</v>
      </c>
      <c r="F42" s="465">
        <f t="shared" si="9"/>
        <v>48377</v>
      </c>
      <c r="G42" s="465">
        <f t="shared" si="9"/>
        <v>50127</v>
      </c>
      <c r="H42" s="465">
        <f t="shared" si="9"/>
        <v>50427</v>
      </c>
      <c r="I42" s="465">
        <v>47768.0</v>
      </c>
      <c r="J42" s="465">
        <f>J38-J39-J40+J41</f>
        <v>5153</v>
      </c>
      <c r="K42" s="465">
        <v>8295.0</v>
      </c>
      <c r="L42" s="465">
        <v>-219821.0</v>
      </c>
      <c r="M42" s="465">
        <v>906987.0</v>
      </c>
      <c r="N42" s="465">
        <v>-7060.0</v>
      </c>
      <c r="O42" s="470">
        <f>O38-O39-O40+O41</f>
        <v>113956</v>
      </c>
      <c r="P42" s="460">
        <f>O42/$O$5</f>
        <v>0.03063333333</v>
      </c>
      <c r="Q42" s="452"/>
    </row>
    <row r="43" ht="15.75" customHeight="1">
      <c r="A43" s="447" t="s">
        <v>44</v>
      </c>
      <c r="B43" s="447"/>
      <c r="C43" s="447"/>
      <c r="D43" s="447"/>
      <c r="E43" s="447"/>
      <c r="F43" s="447"/>
      <c r="G43" s="447"/>
      <c r="H43" s="447"/>
      <c r="I43" s="458"/>
      <c r="J43" s="447"/>
      <c r="K43" s="458"/>
      <c r="L43" s="458"/>
      <c r="M43" s="458"/>
      <c r="N43" s="458"/>
      <c r="O43" s="471">
        <f t="shared" ref="O43:O44" si="10">SUM(C43:N43)</f>
        <v>0</v>
      </c>
      <c r="P43" s="460"/>
      <c r="Q43" s="452"/>
    </row>
    <row r="44" ht="15.75" customHeight="1">
      <c r="A44" s="472" t="s">
        <v>45</v>
      </c>
      <c r="B44" s="472"/>
      <c r="C44" s="472"/>
      <c r="D44" s="472"/>
      <c r="E44" s="472"/>
      <c r="F44" s="472"/>
      <c r="G44" s="472"/>
      <c r="H44" s="472"/>
      <c r="I44" s="458"/>
      <c r="J44" s="472"/>
      <c r="K44" s="458"/>
      <c r="L44" s="458"/>
      <c r="M44" s="458"/>
      <c r="N44" s="458"/>
      <c r="O44" s="497">
        <f t="shared" si="10"/>
        <v>0</v>
      </c>
      <c r="P44" s="460"/>
      <c r="Q44" s="452"/>
      <c r="R44" s="440"/>
      <c r="S44" s="443"/>
      <c r="T44" s="444"/>
    </row>
    <row r="45" ht="15.75" customHeight="1">
      <c r="A45" s="463" t="s">
        <v>157</v>
      </c>
      <c r="B45" s="463"/>
      <c r="C45" s="465">
        <f t="shared" ref="C45:H45" si="11">C42+C43-C44</f>
        <v>46927</v>
      </c>
      <c r="D45" s="465">
        <f t="shared" si="11"/>
        <v>43127</v>
      </c>
      <c r="E45" s="465">
        <f t="shared" si="11"/>
        <v>-53173</v>
      </c>
      <c r="F45" s="465">
        <f t="shared" si="11"/>
        <v>48377</v>
      </c>
      <c r="G45" s="465">
        <f t="shared" si="11"/>
        <v>50127</v>
      </c>
      <c r="H45" s="465">
        <f t="shared" si="11"/>
        <v>50427</v>
      </c>
      <c r="I45" s="465">
        <v>47768.0</v>
      </c>
      <c r="J45" s="465">
        <f>J42+J43-J44</f>
        <v>5153</v>
      </c>
      <c r="K45" s="465">
        <v>8295.0</v>
      </c>
      <c r="L45" s="465">
        <v>-219821.0</v>
      </c>
      <c r="M45" s="465">
        <v>906987.0</v>
      </c>
      <c r="N45" s="465">
        <v>-7060.0</v>
      </c>
      <c r="O45" s="465">
        <f>O42+O43-O44</f>
        <v>113956</v>
      </c>
      <c r="P45" s="460">
        <f t="shared" ref="P45:P47" si="12">O45/$O$5</f>
        <v>0.03063333333</v>
      </c>
      <c r="Q45" s="452"/>
      <c r="R45" s="440"/>
      <c r="S45" s="443"/>
      <c r="T45" s="444"/>
    </row>
    <row r="46" ht="15.75" customHeight="1">
      <c r="A46" s="463" t="s">
        <v>158</v>
      </c>
      <c r="B46" s="477">
        <v>0.33</v>
      </c>
      <c r="C46" s="465"/>
      <c r="D46" s="465"/>
      <c r="E46" s="465"/>
      <c r="F46" s="465"/>
      <c r="G46" s="465"/>
      <c r="H46" s="465"/>
      <c r="I46" s="465"/>
      <c r="J46" s="465"/>
      <c r="K46" s="465"/>
      <c r="L46" s="465"/>
      <c r="M46" s="465"/>
      <c r="N46" s="465"/>
      <c r="O46" s="465"/>
      <c r="P46" s="460">
        <f t="shared" si="12"/>
        <v>0</v>
      </c>
      <c r="Q46" s="452"/>
      <c r="R46" s="440"/>
      <c r="S46" s="443"/>
      <c r="T46" s="444"/>
    </row>
    <row r="47" ht="15.75" customHeight="1">
      <c r="A47" s="463" t="s">
        <v>159</v>
      </c>
      <c r="B47" s="463"/>
      <c r="C47" s="465"/>
      <c r="D47" s="465"/>
      <c r="E47" s="465"/>
      <c r="F47" s="465"/>
      <c r="G47" s="465"/>
      <c r="H47" s="465"/>
      <c r="I47" s="465"/>
      <c r="J47" s="465"/>
      <c r="K47" s="465"/>
      <c r="L47" s="465"/>
      <c r="M47" s="465"/>
      <c r="N47" s="465"/>
      <c r="O47" s="465">
        <f>O45-O46</f>
        <v>113956</v>
      </c>
      <c r="P47" s="460">
        <f t="shared" si="12"/>
        <v>0.03063333333</v>
      </c>
      <c r="Q47" s="452"/>
      <c r="R47" s="440"/>
      <c r="S47" s="443"/>
      <c r="T47" s="444"/>
    </row>
    <row r="48" ht="15.75" customHeight="1">
      <c r="A48" s="478"/>
      <c r="B48" s="452"/>
      <c r="C48" s="479"/>
      <c r="D48" s="479"/>
      <c r="E48" s="479"/>
      <c r="F48" s="479"/>
      <c r="G48" s="479"/>
      <c r="H48" s="479"/>
      <c r="I48" s="479"/>
      <c r="J48" s="479"/>
      <c r="K48" s="479"/>
      <c r="L48" s="479"/>
      <c r="M48" s="479"/>
      <c r="N48" s="479"/>
      <c r="O48" s="479"/>
      <c r="P48" s="452"/>
      <c r="Q48" s="452"/>
      <c r="R48" s="440"/>
      <c r="S48" s="443"/>
    </row>
    <row r="49" ht="15.75" customHeight="1">
      <c r="A49" s="478"/>
      <c r="B49" s="452"/>
      <c r="C49" s="457"/>
      <c r="D49" s="457"/>
      <c r="E49" s="457"/>
      <c r="F49" s="457"/>
      <c r="G49" s="457"/>
      <c r="H49" s="457"/>
      <c r="I49" s="457"/>
      <c r="J49" s="457"/>
      <c r="K49" s="457"/>
      <c r="L49" s="457"/>
      <c r="M49" s="457"/>
      <c r="N49" s="457"/>
      <c r="O49" s="457"/>
      <c r="P49" s="452"/>
      <c r="Q49" s="452"/>
    </row>
    <row r="50" ht="15.75" customHeight="1">
      <c r="A50" s="478" t="s">
        <v>116</v>
      </c>
      <c r="B50" s="508">
        <f>SUM(B4:B36)</f>
        <v>0</v>
      </c>
      <c r="C50" s="457"/>
      <c r="D50" s="457"/>
      <c r="E50" s="457"/>
      <c r="F50" s="457"/>
      <c r="G50" s="457"/>
      <c r="H50" s="457"/>
      <c r="I50" s="457"/>
      <c r="J50" s="457"/>
      <c r="K50" s="457"/>
      <c r="L50" s="457"/>
      <c r="M50" s="457"/>
      <c r="N50" s="457"/>
      <c r="O50" s="457"/>
      <c r="P50" s="452"/>
      <c r="Q50" s="452"/>
      <c r="R50" s="440" t="s">
        <v>76</v>
      </c>
    </row>
    <row r="51" ht="15.75" customHeight="1">
      <c r="A51" s="478" t="s">
        <v>258</v>
      </c>
      <c r="B51" s="508">
        <f>100%-B50</f>
        <v>1</v>
      </c>
      <c r="C51" s="457"/>
      <c r="D51" s="457"/>
      <c r="E51" s="457"/>
      <c r="F51" s="457"/>
      <c r="G51" s="457"/>
      <c r="H51" s="457"/>
      <c r="I51" s="457"/>
      <c r="J51" s="457"/>
      <c r="K51" s="457"/>
      <c r="L51" s="457"/>
      <c r="M51" s="457"/>
      <c r="N51" s="457"/>
      <c r="O51" s="457"/>
      <c r="P51" s="452"/>
      <c r="Q51" s="452"/>
      <c r="R51" s="440" t="s">
        <v>130</v>
      </c>
      <c r="S51" s="509">
        <f>O3</f>
        <v>3840000</v>
      </c>
    </row>
    <row r="52" ht="15.75" customHeight="1">
      <c r="A52" s="452"/>
      <c r="B52" s="452"/>
      <c r="C52" s="452"/>
      <c r="D52" s="452"/>
      <c r="E52" s="452"/>
      <c r="F52" s="452"/>
      <c r="G52" s="452"/>
      <c r="H52" s="452"/>
      <c r="I52" s="452"/>
      <c r="J52" s="452"/>
      <c r="K52" s="452"/>
      <c r="L52" s="452"/>
      <c r="M52" s="452"/>
      <c r="N52" s="452"/>
      <c r="O52" s="452"/>
      <c r="P52" s="452"/>
      <c r="Q52" s="452"/>
      <c r="R52" s="440" t="s">
        <v>259</v>
      </c>
      <c r="S52" s="509">
        <f t="shared" ref="S52:S53" si="13">S51*T52</f>
        <v>299520</v>
      </c>
      <c r="T52" s="510">
        <v>0.078</v>
      </c>
    </row>
    <row r="53" ht="15.75" customHeight="1">
      <c r="A53" s="452"/>
      <c r="C53" s="452"/>
      <c r="D53" s="452"/>
      <c r="E53" s="452"/>
      <c r="F53" s="452"/>
      <c r="G53" s="452"/>
      <c r="H53" s="452"/>
      <c r="I53" s="452"/>
      <c r="J53" s="452"/>
      <c r="K53" s="452"/>
      <c r="L53" s="452"/>
      <c r="M53" s="452"/>
      <c r="N53" s="452"/>
      <c r="O53" s="452"/>
      <c r="P53" s="452"/>
      <c r="Q53" s="452"/>
      <c r="R53" s="440" t="s">
        <v>260</v>
      </c>
      <c r="S53" s="509">
        <f t="shared" si="13"/>
        <v>179712</v>
      </c>
      <c r="T53" s="511">
        <v>0.6</v>
      </c>
    </row>
    <row r="54" ht="15.75" customHeight="1">
      <c r="A54" s="452"/>
      <c r="C54" s="452"/>
      <c r="D54" s="452"/>
      <c r="E54" s="452"/>
      <c r="F54" s="452"/>
      <c r="G54" s="452"/>
      <c r="H54" s="452"/>
      <c r="I54" s="452"/>
      <c r="J54" s="452"/>
      <c r="K54" s="452"/>
      <c r="L54" s="452"/>
      <c r="M54" s="452"/>
      <c r="N54" s="452"/>
      <c r="O54" s="452"/>
      <c r="P54" s="452"/>
      <c r="Q54" s="452"/>
      <c r="R54" s="440" t="s">
        <v>261</v>
      </c>
      <c r="S54" s="509">
        <f>S52-S53</f>
        <v>119808</v>
      </c>
    </row>
    <row r="55" ht="15.75" customHeight="1">
      <c r="A55" s="452" t="s">
        <v>262</v>
      </c>
      <c r="B55" s="452" t="s">
        <v>263</v>
      </c>
      <c r="C55" s="437">
        <v>2604212.0</v>
      </c>
      <c r="D55" s="437">
        <v>2946348.0</v>
      </c>
      <c r="E55" s="437">
        <v>2777697.0</v>
      </c>
      <c r="F55" s="447"/>
      <c r="G55" s="447"/>
      <c r="H55" s="447"/>
      <c r="I55" s="447"/>
      <c r="J55" s="447"/>
      <c r="K55" s="447"/>
      <c r="L55" s="447"/>
      <c r="M55" s="447"/>
      <c r="N55" s="447"/>
      <c r="O55" s="447"/>
      <c r="P55" s="452"/>
      <c r="Q55" s="452"/>
      <c r="R55" s="440" t="s">
        <v>264</v>
      </c>
      <c r="S55" s="443">
        <f>S54*22/78</f>
        <v>33792</v>
      </c>
    </row>
    <row r="56" ht="15.75" customHeight="1">
      <c r="A56" s="452"/>
      <c r="B56" s="440"/>
      <c r="C56" s="447"/>
      <c r="D56" s="447"/>
      <c r="E56" s="447"/>
      <c r="F56" s="447"/>
      <c r="G56" s="447"/>
      <c r="H56" s="447"/>
      <c r="I56" s="447"/>
      <c r="J56" s="447"/>
      <c r="K56" s="447"/>
      <c r="L56" s="447"/>
      <c r="M56" s="447"/>
      <c r="N56" s="447"/>
      <c r="O56" s="447"/>
      <c r="P56" s="452"/>
      <c r="Q56" s="452"/>
      <c r="R56" s="440"/>
      <c r="S56" s="509"/>
    </row>
    <row r="57" ht="15.75" customHeight="1">
      <c r="A57" s="452"/>
      <c r="C57" s="452"/>
      <c r="D57" s="452"/>
      <c r="E57" s="452"/>
      <c r="F57" s="452"/>
      <c r="G57" s="452"/>
      <c r="H57" s="452"/>
      <c r="I57" s="452"/>
      <c r="J57" s="452"/>
      <c r="K57" s="452"/>
      <c r="L57" s="452"/>
      <c r="M57" s="452"/>
      <c r="N57" s="452"/>
      <c r="O57" s="452"/>
      <c r="P57" s="452"/>
      <c r="Q57" s="45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3:B53"/>
    <mergeCell ref="A54:B54"/>
    <mergeCell ref="A57:B57"/>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71"/>
    <col customWidth="1" min="2" max="20" width="14.43"/>
  </cols>
  <sheetData>
    <row r="1" ht="15.75" customHeight="1">
      <c r="A1" s="447"/>
      <c r="B1" s="448" t="s">
        <v>116</v>
      </c>
      <c r="C1" s="449" t="s">
        <v>275</v>
      </c>
      <c r="D1" s="449" t="s">
        <v>276</v>
      </c>
      <c r="E1" s="449" t="s">
        <v>277</v>
      </c>
      <c r="F1" s="447" t="s">
        <v>278</v>
      </c>
      <c r="G1" s="447" t="s">
        <v>279</v>
      </c>
      <c r="H1" s="447" t="s">
        <v>280</v>
      </c>
      <c r="I1" s="447" t="s">
        <v>281</v>
      </c>
      <c r="J1" s="447" t="s">
        <v>282</v>
      </c>
      <c r="K1" s="447" t="s">
        <v>283</v>
      </c>
      <c r="L1" s="447" t="s">
        <v>284</v>
      </c>
      <c r="M1" s="447" t="s">
        <v>180</v>
      </c>
      <c r="N1" s="447" t="s">
        <v>181</v>
      </c>
      <c r="O1" s="447" t="s">
        <v>129</v>
      </c>
      <c r="P1" s="452"/>
      <c r="Q1" s="452"/>
    </row>
    <row r="2" ht="15.75" customHeight="1">
      <c r="A2" s="453"/>
      <c r="B2" s="454"/>
      <c r="C2" s="455"/>
      <c r="D2" s="455"/>
      <c r="E2" s="455"/>
      <c r="F2" s="455"/>
      <c r="G2" s="455"/>
      <c r="H2" s="455"/>
      <c r="I2" s="455"/>
      <c r="J2" s="455"/>
      <c r="K2" s="455"/>
      <c r="L2" s="455"/>
      <c r="M2" s="455"/>
      <c r="N2" s="455"/>
      <c r="O2" s="456">
        <f t="shared" ref="O2:O4" si="1">SUM(C2:N2)</f>
        <v>0</v>
      </c>
      <c r="P2" s="457"/>
      <c r="Q2" s="452"/>
    </row>
    <row r="3" ht="15.75" customHeight="1">
      <c r="A3" s="447" t="s">
        <v>130</v>
      </c>
      <c r="B3" s="447"/>
      <c r="C3" s="458"/>
      <c r="D3" s="458">
        <v>82000.0</v>
      </c>
      <c r="E3" s="458">
        <v>119363.0</v>
      </c>
      <c r="F3" s="458">
        <v>388107.0</v>
      </c>
      <c r="G3" s="458">
        <v>297878.0</v>
      </c>
      <c r="H3" s="512">
        <v>321334.0</v>
      </c>
      <c r="I3" s="458">
        <v>326856.0</v>
      </c>
      <c r="J3" s="458">
        <v>310213.0</v>
      </c>
      <c r="K3" s="458">
        <v>323164.0</v>
      </c>
      <c r="L3" s="458">
        <v>320194.0</v>
      </c>
      <c r="M3" s="458">
        <v>302222.0</v>
      </c>
      <c r="N3" s="458">
        <v>316667.0</v>
      </c>
      <c r="O3" s="506">
        <f t="shared" si="1"/>
        <v>3107998</v>
      </c>
      <c r="P3" s="460">
        <f t="shared" ref="P3:P4" si="2">O3/$O$3</f>
        <v>1</v>
      </c>
      <c r="Q3" s="452"/>
    </row>
    <row r="4" ht="15.75" customHeight="1">
      <c r="A4" s="447" t="s">
        <v>131</v>
      </c>
      <c r="B4" s="461"/>
      <c r="C4" s="492"/>
      <c r="D4" s="492">
        <v>47991.0</v>
      </c>
      <c r="E4" s="492">
        <v>100227.0</v>
      </c>
      <c r="F4" s="492">
        <v>68268.0</v>
      </c>
      <c r="G4" s="492">
        <v>44669.0</v>
      </c>
      <c r="H4" s="492">
        <v>53656.0</v>
      </c>
      <c r="I4" s="458">
        <v>-25789.0</v>
      </c>
      <c r="J4" s="492">
        <v>68015.0</v>
      </c>
      <c r="K4" s="458">
        <v>9742.0</v>
      </c>
      <c r="L4" s="458">
        <v>153153.0</v>
      </c>
      <c r="M4" s="458">
        <v>79451.0</v>
      </c>
      <c r="N4" s="458">
        <v>9368.0</v>
      </c>
      <c r="O4" s="462">
        <f t="shared" si="1"/>
        <v>608751</v>
      </c>
      <c r="P4" s="460">
        <f t="shared" si="2"/>
        <v>0.1958659562</v>
      </c>
      <c r="Q4" s="452"/>
    </row>
    <row r="5" ht="15.75" customHeight="1">
      <c r="A5" s="463" t="s">
        <v>132</v>
      </c>
      <c r="B5" s="464"/>
      <c r="C5" s="465">
        <f t="shared" ref="C5:H5" si="3">C2+C3-C4</f>
        <v>0</v>
      </c>
      <c r="D5" s="465">
        <f t="shared" si="3"/>
        <v>34009</v>
      </c>
      <c r="E5" s="465">
        <f t="shared" si="3"/>
        <v>19136</v>
      </c>
      <c r="F5" s="465">
        <f t="shared" si="3"/>
        <v>319839</v>
      </c>
      <c r="G5" s="465">
        <f t="shared" si="3"/>
        <v>253209</v>
      </c>
      <c r="H5" s="465">
        <f t="shared" si="3"/>
        <v>267678</v>
      </c>
      <c r="I5" s="465">
        <v>352645.0</v>
      </c>
      <c r="J5" s="465">
        <f>J2+J3-J4</f>
        <v>242198</v>
      </c>
      <c r="K5" s="465">
        <v>313422.0</v>
      </c>
      <c r="L5" s="465">
        <v>167041.0</v>
      </c>
      <c r="M5" s="465">
        <v>222771.0</v>
      </c>
      <c r="N5" s="465">
        <v>307299.0</v>
      </c>
      <c r="O5" s="465">
        <f>O2+O3-O4</f>
        <v>2499247</v>
      </c>
      <c r="P5" s="460"/>
      <c r="Q5" s="452"/>
    </row>
    <row r="6" ht="15.75" customHeight="1">
      <c r="A6" s="447"/>
      <c r="B6" s="447"/>
      <c r="C6" s="447"/>
      <c r="D6" s="447"/>
      <c r="E6" s="447"/>
      <c r="F6" s="447"/>
      <c r="G6" s="447"/>
      <c r="H6" s="447"/>
      <c r="I6" s="447"/>
      <c r="J6" s="447"/>
      <c r="K6" s="447"/>
      <c r="L6" s="447"/>
      <c r="M6" s="447"/>
      <c r="N6" s="447"/>
      <c r="O6" s="465">
        <f t="shared" ref="O6:O35" si="4">SUM(C6:N6)</f>
        <v>0</v>
      </c>
      <c r="P6" s="460"/>
      <c r="Q6" s="452"/>
    </row>
    <row r="7" ht="15.75" customHeight="1">
      <c r="A7" s="447" t="s">
        <v>133</v>
      </c>
      <c r="B7" s="447"/>
      <c r="C7" s="462"/>
      <c r="D7" s="462"/>
      <c r="E7" s="462"/>
      <c r="F7" s="462"/>
      <c r="G7" s="462"/>
      <c r="H7" s="462"/>
      <c r="I7" s="458"/>
      <c r="J7" s="462"/>
      <c r="K7" s="458"/>
      <c r="L7" s="458"/>
      <c r="M7" s="458"/>
      <c r="N7" s="458"/>
      <c r="O7" s="462">
        <f t="shared" si="4"/>
        <v>0</v>
      </c>
      <c r="P7" s="460">
        <f>O7/$O$5</f>
        <v>0</v>
      </c>
      <c r="Q7" s="452"/>
    </row>
    <row r="8" ht="15.75" customHeight="1">
      <c r="A8" s="447" t="s">
        <v>134</v>
      </c>
      <c r="B8" s="447"/>
      <c r="C8" s="462"/>
      <c r="D8" s="462"/>
      <c r="E8" s="462"/>
      <c r="F8" s="462"/>
      <c r="G8" s="462"/>
      <c r="H8" s="507"/>
      <c r="I8" s="458"/>
      <c r="J8" s="462"/>
      <c r="K8" s="458"/>
      <c r="L8" s="458"/>
      <c r="M8" s="458"/>
      <c r="N8" s="458"/>
      <c r="O8" s="462">
        <f t="shared" si="4"/>
        <v>0</v>
      </c>
      <c r="P8" s="460"/>
      <c r="Q8" s="452"/>
    </row>
    <row r="9" ht="15.75" customHeight="1">
      <c r="A9" s="447" t="s">
        <v>135</v>
      </c>
      <c r="B9" s="461"/>
      <c r="C9" s="459"/>
      <c r="D9" s="459"/>
      <c r="E9" s="459"/>
      <c r="F9" s="459"/>
      <c r="G9" s="459"/>
      <c r="H9" s="507"/>
      <c r="I9" s="458"/>
      <c r="J9" s="459"/>
      <c r="K9" s="458"/>
      <c r="L9" s="458"/>
      <c r="M9" s="458"/>
      <c r="N9" s="458"/>
      <c r="O9" s="459">
        <f t="shared" si="4"/>
        <v>0</v>
      </c>
      <c r="P9" s="460">
        <f>O9/$O$5</f>
        <v>0</v>
      </c>
      <c r="Q9" s="452"/>
    </row>
    <row r="10" ht="15.75" customHeight="1">
      <c r="A10" s="447" t="s">
        <v>29</v>
      </c>
      <c r="B10" s="461">
        <v>0.0</v>
      </c>
      <c r="C10" s="462">
        <v>54574.0</v>
      </c>
      <c r="D10" s="462"/>
      <c r="E10" s="462"/>
      <c r="F10" s="462"/>
      <c r="G10" s="462"/>
      <c r="H10" s="507"/>
      <c r="I10" s="458"/>
      <c r="J10" s="462"/>
      <c r="K10" s="458"/>
      <c r="L10" s="458"/>
      <c r="M10" s="458"/>
      <c r="N10" s="458"/>
      <c r="O10" s="462">
        <f t="shared" si="4"/>
        <v>54574</v>
      </c>
      <c r="P10" s="460"/>
      <c r="Q10" s="452"/>
    </row>
    <row r="11" ht="15.75" customHeight="1">
      <c r="A11" s="447" t="s">
        <v>30</v>
      </c>
      <c r="B11" s="447"/>
      <c r="C11" s="447"/>
      <c r="D11" s="447"/>
      <c r="E11" s="447"/>
      <c r="F11" s="447"/>
      <c r="G11" s="447"/>
      <c r="I11" s="458"/>
      <c r="J11" s="447"/>
      <c r="K11" s="458"/>
      <c r="L11" s="458"/>
      <c r="M11" s="458"/>
      <c r="N11" s="458"/>
      <c r="O11" s="471">
        <f t="shared" si="4"/>
        <v>0</v>
      </c>
      <c r="P11" s="460"/>
      <c r="Q11" s="452"/>
    </row>
    <row r="12" ht="15.75" customHeight="1">
      <c r="A12" s="447" t="s">
        <v>136</v>
      </c>
      <c r="B12" s="447"/>
      <c r="C12" s="462">
        <v>181818.0</v>
      </c>
      <c r="D12" s="462">
        <v>181818.0</v>
      </c>
      <c r="E12" s="462">
        <v>181818.0</v>
      </c>
      <c r="F12" s="462">
        <v>227273.0</v>
      </c>
      <c r="G12" s="462">
        <v>227273.0</v>
      </c>
      <c r="H12" s="462">
        <v>227273.0</v>
      </c>
      <c r="I12" s="458">
        <v>272727.0</v>
      </c>
      <c r="J12" s="462">
        <v>272727.0</v>
      </c>
      <c r="K12" s="458">
        <v>272727.0</v>
      </c>
      <c r="L12" s="458">
        <v>272727.0</v>
      </c>
      <c r="M12" s="458">
        <v>272727.0</v>
      </c>
      <c r="N12" s="458">
        <v>272727.0</v>
      </c>
      <c r="O12" s="462">
        <f t="shared" si="4"/>
        <v>2863635</v>
      </c>
      <c r="P12" s="460"/>
      <c r="Q12" s="452"/>
    </row>
    <row r="13" ht="15.75" customHeight="1">
      <c r="A13" s="447" t="s">
        <v>137</v>
      </c>
      <c r="B13" s="461"/>
      <c r="C13" s="462"/>
      <c r="D13" s="462"/>
      <c r="E13" s="462"/>
      <c r="F13" s="462"/>
      <c r="G13" s="462"/>
      <c r="H13" s="462"/>
      <c r="I13" s="458"/>
      <c r="J13" s="462"/>
      <c r="K13" s="458"/>
      <c r="L13" s="458"/>
      <c r="M13" s="458"/>
      <c r="N13" s="458"/>
      <c r="O13" s="462">
        <f t="shared" si="4"/>
        <v>0</v>
      </c>
      <c r="P13" s="460"/>
      <c r="Q13" s="452"/>
    </row>
    <row r="14" ht="15.75" customHeight="1">
      <c r="A14" s="447" t="s">
        <v>138</v>
      </c>
      <c r="B14" s="447"/>
      <c r="C14" s="462"/>
      <c r="D14" s="462"/>
      <c r="E14" s="462"/>
      <c r="F14" s="462"/>
      <c r="G14" s="462"/>
      <c r="H14" s="507"/>
      <c r="I14" s="458"/>
      <c r="J14" s="462"/>
      <c r="K14" s="458"/>
      <c r="L14" s="458"/>
      <c r="M14" s="458"/>
      <c r="N14" s="458"/>
      <c r="O14" s="462">
        <f t="shared" si="4"/>
        <v>0</v>
      </c>
      <c r="P14" s="460"/>
      <c r="Q14" s="452"/>
    </row>
    <row r="15" ht="15.75" customHeight="1">
      <c r="A15" s="447" t="s">
        <v>139</v>
      </c>
      <c r="B15" s="447"/>
      <c r="C15" s="462"/>
      <c r="D15" s="462"/>
      <c r="E15" s="462"/>
      <c r="F15" s="462"/>
      <c r="G15" s="462"/>
      <c r="H15" s="462"/>
      <c r="I15" s="458"/>
      <c r="J15" s="462"/>
      <c r="K15" s="458"/>
      <c r="L15" s="458"/>
      <c r="M15" s="458"/>
      <c r="N15" s="458"/>
      <c r="O15" s="462">
        <f t="shared" si="4"/>
        <v>0</v>
      </c>
      <c r="P15" s="460">
        <f>O15/$O$5</f>
        <v>0</v>
      </c>
      <c r="Q15" s="452"/>
    </row>
    <row r="16" ht="15.75" customHeight="1">
      <c r="A16" s="447" t="s">
        <v>255</v>
      </c>
      <c r="B16" s="447"/>
      <c r="C16" s="462"/>
      <c r="D16" s="462"/>
      <c r="E16" s="462"/>
      <c r="F16" s="462"/>
      <c r="G16" s="462"/>
      <c r="H16" s="462"/>
      <c r="I16" s="458"/>
      <c r="J16" s="462"/>
      <c r="K16" s="458"/>
      <c r="L16" s="458"/>
      <c r="M16" s="458"/>
      <c r="N16" s="458"/>
      <c r="O16" s="462">
        <f t="shared" si="4"/>
        <v>0</v>
      </c>
      <c r="P16" s="460"/>
      <c r="Q16" s="452"/>
    </row>
    <row r="17" ht="15.75" customHeight="1">
      <c r="A17" s="447" t="s">
        <v>141</v>
      </c>
      <c r="B17" s="447"/>
      <c r="C17" s="462"/>
      <c r="D17" s="462"/>
      <c r="E17" s="462"/>
      <c r="F17" s="462"/>
      <c r="G17" s="462"/>
      <c r="H17" s="462"/>
      <c r="I17" s="458"/>
      <c r="J17" s="462"/>
      <c r="K17" s="458"/>
      <c r="L17" s="458"/>
      <c r="M17" s="458"/>
      <c r="N17" s="458"/>
      <c r="O17" s="462">
        <f t="shared" si="4"/>
        <v>0</v>
      </c>
      <c r="P17" s="460">
        <f>O17/$O$5</f>
        <v>0</v>
      </c>
      <c r="Q17" s="452"/>
    </row>
    <row r="18" ht="15.75" customHeight="1">
      <c r="A18" s="447" t="s">
        <v>142</v>
      </c>
      <c r="B18" s="447"/>
      <c r="C18" s="462"/>
      <c r="D18" s="462"/>
      <c r="E18" s="462"/>
      <c r="F18" s="462"/>
      <c r="G18" s="462"/>
      <c r="H18" s="462"/>
      <c r="I18" s="458"/>
      <c r="J18" s="462"/>
      <c r="K18" s="458"/>
      <c r="L18" s="458"/>
      <c r="M18" s="458"/>
      <c r="N18" s="458"/>
      <c r="O18" s="462">
        <f t="shared" si="4"/>
        <v>0</v>
      </c>
      <c r="P18" s="460"/>
      <c r="Q18" s="452"/>
    </row>
    <row r="19" ht="15.75" customHeight="1">
      <c r="A19" s="447" t="s">
        <v>143</v>
      </c>
      <c r="B19" s="447"/>
      <c r="C19" s="462"/>
      <c r="D19" s="462"/>
      <c r="E19" s="462"/>
      <c r="F19" s="462"/>
      <c r="G19" s="462"/>
      <c r="H19" s="462"/>
      <c r="I19" s="458"/>
      <c r="J19" s="462"/>
      <c r="K19" s="458"/>
      <c r="L19" s="458"/>
      <c r="M19" s="458"/>
      <c r="N19" s="458"/>
      <c r="O19" s="462">
        <f t="shared" si="4"/>
        <v>0</v>
      </c>
      <c r="P19" s="460">
        <f>O19/$O$5</f>
        <v>0</v>
      </c>
      <c r="Q19" s="452"/>
    </row>
    <row r="20" ht="15.75" customHeight="1">
      <c r="A20" s="447" t="s">
        <v>144</v>
      </c>
      <c r="B20" s="447"/>
      <c r="C20" s="462"/>
      <c r="D20" s="462"/>
      <c r="E20" s="462"/>
      <c r="F20" s="462"/>
      <c r="G20" s="462"/>
      <c r="H20" s="462"/>
      <c r="I20" s="458"/>
      <c r="J20" s="462"/>
      <c r="K20" s="458"/>
      <c r="L20" s="458"/>
      <c r="M20" s="458"/>
      <c r="N20" s="458"/>
      <c r="O20" s="462">
        <f t="shared" si="4"/>
        <v>0</v>
      </c>
      <c r="P20" s="460"/>
      <c r="Q20" s="452"/>
    </row>
    <row r="21" ht="15.75" customHeight="1">
      <c r="A21" s="447" t="s">
        <v>145</v>
      </c>
      <c r="B21" s="447"/>
      <c r="C21" s="462"/>
      <c r="D21" s="462"/>
      <c r="E21" s="462"/>
      <c r="F21" s="462"/>
      <c r="G21" s="462"/>
      <c r="H21" s="462"/>
      <c r="I21" s="458"/>
      <c r="J21" s="462"/>
      <c r="K21" s="458"/>
      <c r="L21" s="458"/>
      <c r="M21" s="458"/>
      <c r="N21" s="458"/>
      <c r="O21" s="462">
        <f t="shared" si="4"/>
        <v>0</v>
      </c>
      <c r="P21" s="460"/>
      <c r="Q21" s="452"/>
    </row>
    <row r="22" ht="15.75" customHeight="1">
      <c r="A22" s="447" t="s">
        <v>33</v>
      </c>
      <c r="B22" s="447"/>
      <c r="C22" s="462"/>
      <c r="D22" s="462"/>
      <c r="E22" s="462"/>
      <c r="F22" s="462"/>
      <c r="G22" s="462"/>
      <c r="H22" s="462"/>
      <c r="I22" s="458"/>
      <c r="J22" s="462"/>
      <c r="K22" s="458"/>
      <c r="L22" s="458"/>
      <c r="M22" s="458"/>
      <c r="N22" s="458"/>
      <c r="O22" s="462">
        <f t="shared" si="4"/>
        <v>0</v>
      </c>
      <c r="P22" s="460"/>
      <c r="Q22" s="452"/>
    </row>
    <row r="23" ht="15.75" customHeight="1">
      <c r="A23" s="447" t="s">
        <v>146</v>
      </c>
      <c r="B23" s="447"/>
      <c r="C23" s="462"/>
      <c r="D23" s="462"/>
      <c r="E23" s="462"/>
      <c r="F23" s="462"/>
      <c r="G23" s="462"/>
      <c r="H23" s="462"/>
      <c r="I23" s="458"/>
      <c r="J23" s="462"/>
      <c r="K23" s="458"/>
      <c r="L23" s="458"/>
      <c r="M23" s="458"/>
      <c r="N23" s="458"/>
      <c r="O23" s="462">
        <f t="shared" si="4"/>
        <v>0</v>
      </c>
      <c r="P23" s="460"/>
      <c r="Q23" s="452"/>
    </row>
    <row r="24" ht="15.75" customHeight="1">
      <c r="A24" s="447" t="s">
        <v>147</v>
      </c>
      <c r="B24" s="447"/>
      <c r="C24" s="462"/>
      <c r="D24" s="462"/>
      <c r="E24" s="462"/>
      <c r="F24" s="462"/>
      <c r="G24" s="462"/>
      <c r="H24" s="462"/>
      <c r="I24" s="458"/>
      <c r="J24" s="462"/>
      <c r="K24" s="458"/>
      <c r="L24" s="458"/>
      <c r="M24" s="458"/>
      <c r="N24" s="458"/>
      <c r="O24" s="462">
        <f t="shared" si="4"/>
        <v>0</v>
      </c>
      <c r="P24" s="460"/>
      <c r="Q24" s="452"/>
    </row>
    <row r="25" ht="15.75" customHeight="1">
      <c r="A25" s="447" t="s">
        <v>35</v>
      </c>
      <c r="B25" s="467"/>
      <c r="C25" s="467"/>
      <c r="D25" s="447"/>
      <c r="E25" s="447"/>
      <c r="F25" s="447"/>
      <c r="G25" s="447"/>
      <c r="H25" s="447"/>
      <c r="I25" s="458"/>
      <c r="J25" s="447"/>
      <c r="K25" s="458"/>
      <c r="L25" s="458"/>
      <c r="M25" s="458"/>
      <c r="N25" s="458"/>
      <c r="O25" s="471">
        <f t="shared" si="4"/>
        <v>0</v>
      </c>
      <c r="P25" s="460"/>
      <c r="Q25" s="452"/>
    </row>
    <row r="26" ht="15.75" customHeight="1">
      <c r="A26" s="447" t="s">
        <v>148</v>
      </c>
      <c r="B26" s="461">
        <v>0.0</v>
      </c>
      <c r="C26" s="492"/>
      <c r="D26" s="492"/>
      <c r="E26" s="492"/>
      <c r="F26" s="492"/>
      <c r="G26" s="492"/>
      <c r="H26" s="492"/>
      <c r="I26" s="458"/>
      <c r="J26" s="492"/>
      <c r="K26" s="458"/>
      <c r="L26" s="458"/>
      <c r="M26" s="458"/>
      <c r="N26" s="458"/>
      <c r="O26" s="462">
        <f t="shared" si="4"/>
        <v>0</v>
      </c>
      <c r="P26" s="460"/>
      <c r="Q26" s="452"/>
    </row>
    <row r="27" ht="15.75" customHeight="1">
      <c r="A27" s="447" t="s">
        <v>34</v>
      </c>
      <c r="B27" s="461">
        <v>0.0</v>
      </c>
      <c r="C27" s="492"/>
      <c r="D27" s="492"/>
      <c r="E27" s="492"/>
      <c r="F27" s="492"/>
      <c r="G27" s="492"/>
      <c r="H27" s="492"/>
      <c r="I27" s="458"/>
      <c r="J27" s="492"/>
      <c r="K27" s="458"/>
      <c r="L27" s="458">
        <v>64507.0</v>
      </c>
      <c r="M27" s="458">
        <v>10207.0</v>
      </c>
      <c r="N27" s="458">
        <v>9232.0</v>
      </c>
      <c r="O27" s="462">
        <f t="shared" si="4"/>
        <v>83946</v>
      </c>
      <c r="P27" s="460">
        <f>O27/$O$5</f>
        <v>0.03358851686</v>
      </c>
      <c r="Q27" s="452"/>
    </row>
    <row r="28" ht="15.75" customHeight="1">
      <c r="A28" s="447" t="s">
        <v>149</v>
      </c>
      <c r="B28" s="467"/>
      <c r="C28" s="467"/>
      <c r="D28" s="447">
        <v>4000.0</v>
      </c>
      <c r="E28" s="447"/>
      <c r="F28" s="447">
        <v>1000.0</v>
      </c>
      <c r="G28" s="447"/>
      <c r="H28" s="447"/>
      <c r="I28" s="458"/>
      <c r="J28" s="447"/>
      <c r="K28" s="458">
        <v>600.0</v>
      </c>
      <c r="L28" s="458"/>
      <c r="M28" s="458"/>
      <c r="N28" s="458"/>
      <c r="O28" s="471">
        <f t="shared" si="4"/>
        <v>5600</v>
      </c>
      <c r="P28" s="460"/>
      <c r="Q28" s="452"/>
    </row>
    <row r="29" ht="15.75" customHeight="1">
      <c r="A29" s="447" t="s">
        <v>150</v>
      </c>
      <c r="B29" s="468"/>
      <c r="C29" s="492"/>
      <c r="D29" s="462"/>
      <c r="E29" s="462"/>
      <c r="F29" s="462"/>
      <c r="G29" s="462"/>
      <c r="H29" s="462"/>
      <c r="I29" s="458"/>
      <c r="J29" s="462"/>
      <c r="K29" s="458"/>
      <c r="L29" s="458"/>
      <c r="M29" s="458"/>
      <c r="N29" s="458"/>
      <c r="O29" s="462">
        <f t="shared" si="4"/>
        <v>0</v>
      </c>
      <c r="P29" s="460"/>
      <c r="Q29" s="452"/>
    </row>
    <row r="30" ht="15.75" customHeight="1">
      <c r="A30" s="447" t="s">
        <v>36</v>
      </c>
      <c r="B30" s="461">
        <v>0.0</v>
      </c>
      <c r="C30" s="462">
        <v>5800.0</v>
      </c>
      <c r="D30" s="462">
        <v>5600.0</v>
      </c>
      <c r="E30" s="462">
        <v>5900.0</v>
      </c>
      <c r="F30" s="462">
        <v>3350.0</v>
      </c>
      <c r="G30" s="462">
        <v>2600.0</v>
      </c>
      <c r="H30" s="507">
        <v>2300.0</v>
      </c>
      <c r="I30" s="458">
        <v>2150.0</v>
      </c>
      <c r="J30" s="462">
        <v>2150.0</v>
      </c>
      <c r="K30" s="458">
        <v>1800.0</v>
      </c>
      <c r="L30" s="458">
        <v>2200.0</v>
      </c>
      <c r="M30" s="458">
        <v>2850.0</v>
      </c>
      <c r="N30" s="458">
        <v>2400.0</v>
      </c>
      <c r="O30" s="462">
        <f t="shared" si="4"/>
        <v>39100</v>
      </c>
      <c r="P30" s="460"/>
      <c r="Q30" s="452"/>
    </row>
    <row r="31" ht="15.75" customHeight="1">
      <c r="A31" s="447" t="s">
        <v>151</v>
      </c>
      <c r="B31" s="447"/>
      <c r="C31" s="462"/>
      <c r="D31" s="462"/>
      <c r="E31" s="462"/>
      <c r="F31" s="462"/>
      <c r="G31" s="462"/>
      <c r="H31" s="462"/>
      <c r="I31" s="458"/>
      <c r="J31" s="462"/>
      <c r="K31" s="458"/>
      <c r="L31" s="458"/>
      <c r="M31" s="458"/>
      <c r="N31" s="458"/>
      <c r="O31" s="462">
        <f t="shared" si="4"/>
        <v>0</v>
      </c>
      <c r="P31" s="460"/>
      <c r="Q31" s="452"/>
    </row>
    <row r="32" ht="15.75" customHeight="1">
      <c r="A32" s="447" t="s">
        <v>152</v>
      </c>
      <c r="B32" s="461"/>
      <c r="C32" s="462"/>
      <c r="D32" s="462"/>
      <c r="E32" s="462"/>
      <c r="F32" s="462"/>
      <c r="G32" s="462"/>
      <c r="H32" s="462"/>
      <c r="I32" s="458"/>
      <c r="J32" s="462"/>
      <c r="K32" s="458"/>
      <c r="L32" s="458"/>
      <c r="M32" s="458"/>
      <c r="N32" s="458"/>
      <c r="O32" s="462">
        <f t="shared" si="4"/>
        <v>0</v>
      </c>
      <c r="P32" s="460"/>
      <c r="Q32" s="452"/>
    </row>
    <row r="33" ht="15.75" customHeight="1">
      <c r="A33" s="447" t="s">
        <v>256</v>
      </c>
      <c r="B33" s="461">
        <v>0.0</v>
      </c>
      <c r="C33" s="462"/>
      <c r="D33" s="462"/>
      <c r="E33" s="462"/>
      <c r="F33" s="462"/>
      <c r="G33" s="462"/>
      <c r="H33" s="462"/>
      <c r="I33" s="458"/>
      <c r="J33" s="462"/>
      <c r="K33" s="458"/>
      <c r="L33" s="458"/>
      <c r="M33" s="458"/>
      <c r="N33" s="458"/>
      <c r="O33" s="462">
        <f t="shared" si="4"/>
        <v>0</v>
      </c>
      <c r="P33" s="460"/>
      <c r="Q33" s="452"/>
    </row>
    <row r="34" ht="15.75" customHeight="1">
      <c r="A34" s="447" t="s">
        <v>257</v>
      </c>
      <c r="B34" s="461"/>
      <c r="C34" s="462">
        <v>50000.0</v>
      </c>
      <c r="D34" s="462">
        <v>30000.0</v>
      </c>
      <c r="E34" s="462">
        <v>130000.0</v>
      </c>
      <c r="F34" s="462">
        <v>30000.0</v>
      </c>
      <c r="G34" s="462">
        <v>30000.0</v>
      </c>
      <c r="H34" s="462">
        <v>30000.0</v>
      </c>
      <c r="I34" s="458">
        <v>30000.0</v>
      </c>
      <c r="J34" s="462">
        <v>30000.0</v>
      </c>
      <c r="K34" s="458">
        <v>30000.0</v>
      </c>
      <c r="L34" s="458">
        <v>30000.0</v>
      </c>
      <c r="M34" s="458">
        <v>30000.0</v>
      </c>
      <c r="N34" s="458">
        <v>30000.0</v>
      </c>
      <c r="O34" s="462">
        <f t="shared" si="4"/>
        <v>480000</v>
      </c>
      <c r="P34" s="460">
        <f>O34/$O$5</f>
        <v>0.1920578478</v>
      </c>
      <c r="Q34" s="452"/>
    </row>
    <row r="35" ht="15.75" customHeight="1">
      <c r="A35" s="447" t="s">
        <v>241</v>
      </c>
      <c r="B35" s="447"/>
      <c r="C35" s="462"/>
      <c r="D35" s="462"/>
      <c r="E35" s="462"/>
      <c r="F35" s="462"/>
      <c r="G35" s="462"/>
      <c r="H35" s="462"/>
      <c r="I35" s="458"/>
      <c r="J35" s="462"/>
      <c r="K35" s="458"/>
      <c r="L35" s="458">
        <v>17428.0</v>
      </c>
      <c r="M35" s="458"/>
      <c r="N35" s="458"/>
      <c r="O35" s="462">
        <f t="shared" si="4"/>
        <v>17428</v>
      </c>
      <c r="P35" s="460"/>
      <c r="Q35" s="452"/>
    </row>
    <row r="36" ht="15.75" customHeight="1">
      <c r="A36" s="447"/>
      <c r="B36" s="447"/>
      <c r="C36" s="447"/>
      <c r="D36" s="447"/>
      <c r="E36" s="447"/>
      <c r="F36" s="447"/>
      <c r="G36" s="447"/>
      <c r="H36" s="447"/>
      <c r="I36" s="458"/>
      <c r="J36" s="447"/>
      <c r="K36" s="458"/>
      <c r="L36" s="458"/>
      <c r="M36" s="458"/>
      <c r="N36" s="458"/>
      <c r="O36" s="471"/>
      <c r="P36" s="460"/>
      <c r="Q36" s="452"/>
    </row>
    <row r="37" ht="15.75" customHeight="1">
      <c r="A37" s="447" t="s">
        <v>153</v>
      </c>
      <c r="B37" s="447"/>
      <c r="C37" s="462">
        <f t="shared" ref="C37:O37" si="5">SUM(C7:C36)</f>
        <v>292192</v>
      </c>
      <c r="D37" s="462">
        <f t="shared" si="5"/>
        <v>221418</v>
      </c>
      <c r="E37" s="462">
        <f t="shared" si="5"/>
        <v>317718</v>
      </c>
      <c r="F37" s="462">
        <f t="shared" si="5"/>
        <v>261623</v>
      </c>
      <c r="G37" s="462">
        <f t="shared" si="5"/>
        <v>259873</v>
      </c>
      <c r="H37" s="462">
        <f t="shared" si="5"/>
        <v>259573</v>
      </c>
      <c r="I37" s="462">
        <f t="shared" si="5"/>
        <v>304877</v>
      </c>
      <c r="J37" s="462">
        <f t="shared" si="5"/>
        <v>304877</v>
      </c>
      <c r="K37" s="462">
        <f t="shared" si="5"/>
        <v>305127</v>
      </c>
      <c r="L37" s="462">
        <f t="shared" si="5"/>
        <v>386862</v>
      </c>
      <c r="M37" s="462">
        <f t="shared" si="5"/>
        <v>315784</v>
      </c>
      <c r="N37" s="462">
        <f t="shared" si="5"/>
        <v>314359</v>
      </c>
      <c r="O37" s="462">
        <f t="shared" si="5"/>
        <v>3544283</v>
      </c>
      <c r="P37" s="460">
        <f t="shared" ref="P37:P38" si="7">O37/$O$5</f>
        <v>1.418140344</v>
      </c>
      <c r="Q37" s="452"/>
    </row>
    <row r="38" ht="15.75" customHeight="1">
      <c r="A38" s="463" t="s">
        <v>40</v>
      </c>
      <c r="B38" s="463"/>
      <c r="C38" s="465">
        <f t="shared" ref="C38:H38" si="6">C5-C37</f>
        <v>-292192</v>
      </c>
      <c r="D38" s="465">
        <f t="shared" si="6"/>
        <v>-187409</v>
      </c>
      <c r="E38" s="465">
        <f t="shared" si="6"/>
        <v>-298582</v>
      </c>
      <c r="F38" s="465">
        <f t="shared" si="6"/>
        <v>58216</v>
      </c>
      <c r="G38" s="465">
        <f t="shared" si="6"/>
        <v>-6664</v>
      </c>
      <c r="H38" s="465">
        <f t="shared" si="6"/>
        <v>8105</v>
      </c>
      <c r="I38" s="465">
        <v>47768.0</v>
      </c>
      <c r="J38" s="465">
        <f>J5-J37</f>
        <v>-62679</v>
      </c>
      <c r="K38" s="465">
        <v>8295.0</v>
      </c>
      <c r="L38" s="465">
        <v>-219821.0</v>
      </c>
      <c r="M38" s="465">
        <v>-93013.0</v>
      </c>
      <c r="N38" s="465">
        <v>-7060.0</v>
      </c>
      <c r="O38" s="465">
        <f>O5-O37</f>
        <v>-1045036</v>
      </c>
      <c r="P38" s="460">
        <f t="shared" si="7"/>
        <v>-0.4181403439</v>
      </c>
      <c r="Q38" s="452"/>
    </row>
    <row r="39" ht="15.75" customHeight="1">
      <c r="A39" s="447" t="s">
        <v>154</v>
      </c>
      <c r="B39" s="447"/>
      <c r="C39" s="462"/>
      <c r="D39" s="462"/>
      <c r="E39" s="462"/>
      <c r="F39" s="462"/>
      <c r="G39" s="462"/>
      <c r="H39" s="462"/>
      <c r="I39" s="458"/>
      <c r="J39" s="462"/>
      <c r="K39" s="458"/>
      <c r="L39" s="458"/>
      <c r="M39" s="458"/>
      <c r="N39" s="458"/>
      <c r="O39" s="462">
        <f t="shared" ref="O39:O41" si="8">SUM(C39:N39)</f>
        <v>0</v>
      </c>
      <c r="P39" s="460"/>
      <c r="Q39" s="452"/>
    </row>
    <row r="40" ht="15.75" customHeight="1">
      <c r="A40" s="447" t="s">
        <v>155</v>
      </c>
      <c r="B40" s="447"/>
      <c r="C40" s="447"/>
      <c r="D40" s="447"/>
      <c r="E40" s="462"/>
      <c r="F40" s="447"/>
      <c r="G40" s="447"/>
      <c r="H40" s="447"/>
      <c r="I40" s="458"/>
      <c r="J40" s="447"/>
      <c r="K40" s="458"/>
      <c r="L40" s="458"/>
      <c r="M40" s="458"/>
      <c r="N40" s="458"/>
      <c r="O40" s="471">
        <f t="shared" si="8"/>
        <v>0</v>
      </c>
      <c r="P40" s="460"/>
      <c r="Q40" s="452"/>
    </row>
    <row r="41" ht="15.75" customHeight="1">
      <c r="A41" s="447" t="s">
        <v>156</v>
      </c>
      <c r="B41" s="447"/>
      <c r="C41" s="447">
        <v>200000.0</v>
      </c>
      <c r="D41" s="447">
        <v>200034.0</v>
      </c>
      <c r="E41" s="447">
        <v>200000.0</v>
      </c>
      <c r="F41" s="447">
        <v>400000.0</v>
      </c>
      <c r="G41" s="447"/>
      <c r="H41" s="447"/>
      <c r="I41" s="458"/>
      <c r="J41" s="447">
        <v>30.0</v>
      </c>
      <c r="K41" s="458"/>
      <c r="L41" s="458"/>
      <c r="M41" s="458">
        <v>1000000.0</v>
      </c>
      <c r="N41" s="458"/>
      <c r="O41" s="471">
        <f t="shared" si="8"/>
        <v>2000064</v>
      </c>
      <c r="P41" s="460"/>
      <c r="Q41" s="452"/>
    </row>
    <row r="42" ht="15.75" customHeight="1">
      <c r="A42" s="463" t="s">
        <v>43</v>
      </c>
      <c r="B42" s="463"/>
      <c r="C42" s="465">
        <f t="shared" ref="C42:H42" si="9">C38-C39-C40+C41</f>
        <v>-92192</v>
      </c>
      <c r="D42" s="465">
        <f t="shared" si="9"/>
        <v>12625</v>
      </c>
      <c r="E42" s="465">
        <f t="shared" si="9"/>
        <v>-98582</v>
      </c>
      <c r="F42" s="465">
        <f t="shared" si="9"/>
        <v>458216</v>
      </c>
      <c r="G42" s="465">
        <f t="shared" si="9"/>
        <v>-6664</v>
      </c>
      <c r="H42" s="465">
        <f t="shared" si="9"/>
        <v>8105</v>
      </c>
      <c r="I42" s="465">
        <v>47768.0</v>
      </c>
      <c r="J42" s="465">
        <f>J38-J39-J40+J41</f>
        <v>-62649</v>
      </c>
      <c r="K42" s="465">
        <v>8295.0</v>
      </c>
      <c r="L42" s="465">
        <v>-219821.0</v>
      </c>
      <c r="M42" s="465">
        <v>906987.0</v>
      </c>
      <c r="N42" s="465">
        <v>-7060.0</v>
      </c>
      <c r="O42" s="470">
        <f>O38-O39-O40+O41</f>
        <v>955028</v>
      </c>
      <c r="P42" s="460">
        <f>O42/$O$5</f>
        <v>0.3821262964</v>
      </c>
      <c r="Q42" s="452"/>
    </row>
    <row r="43" ht="15.75" customHeight="1">
      <c r="A43" s="447" t="s">
        <v>44</v>
      </c>
      <c r="B43" s="447"/>
      <c r="C43" s="447"/>
      <c r="D43" s="447"/>
      <c r="E43" s="447"/>
      <c r="F43" s="447"/>
      <c r="G43" s="447"/>
      <c r="H43" s="447"/>
      <c r="I43" s="458"/>
      <c r="J43" s="447"/>
      <c r="K43" s="458"/>
      <c r="L43" s="458"/>
      <c r="M43" s="458"/>
      <c r="N43" s="458"/>
      <c r="O43" s="471">
        <f t="shared" ref="O43:O44" si="10">SUM(C43:N43)</f>
        <v>0</v>
      </c>
      <c r="P43" s="460"/>
      <c r="Q43" s="452"/>
    </row>
    <row r="44" ht="15.75" customHeight="1">
      <c r="A44" s="472" t="s">
        <v>45</v>
      </c>
      <c r="B44" s="472"/>
      <c r="C44" s="472"/>
      <c r="D44" s="472"/>
      <c r="E44" s="472"/>
      <c r="F44" s="472"/>
      <c r="G44" s="472"/>
      <c r="H44" s="472"/>
      <c r="I44" s="458"/>
      <c r="J44" s="472"/>
      <c r="K44" s="458"/>
      <c r="L44" s="458"/>
      <c r="M44" s="458"/>
      <c r="N44" s="458"/>
      <c r="O44" s="497">
        <f t="shared" si="10"/>
        <v>0</v>
      </c>
      <c r="P44" s="460"/>
      <c r="Q44" s="452"/>
      <c r="R44" s="440"/>
      <c r="S44" s="443"/>
      <c r="T44" s="444"/>
    </row>
    <row r="45" ht="15.75" customHeight="1">
      <c r="A45" s="463" t="s">
        <v>157</v>
      </c>
      <c r="B45" s="463"/>
      <c r="C45" s="465">
        <f t="shared" ref="C45:H45" si="11">C42+C43-C44</f>
        <v>-92192</v>
      </c>
      <c r="D45" s="465">
        <f t="shared" si="11"/>
        <v>12625</v>
      </c>
      <c r="E45" s="465">
        <f t="shared" si="11"/>
        <v>-98582</v>
      </c>
      <c r="F45" s="465">
        <f t="shared" si="11"/>
        <v>458216</v>
      </c>
      <c r="G45" s="465">
        <f t="shared" si="11"/>
        <v>-6664</v>
      </c>
      <c r="H45" s="465">
        <f t="shared" si="11"/>
        <v>8105</v>
      </c>
      <c r="I45" s="465">
        <v>47768.0</v>
      </c>
      <c r="J45" s="465">
        <f>J42+J43-J44</f>
        <v>-62649</v>
      </c>
      <c r="K45" s="465">
        <v>8295.0</v>
      </c>
      <c r="L45" s="465">
        <v>-219821.0</v>
      </c>
      <c r="M45" s="465">
        <v>906987.0</v>
      </c>
      <c r="N45" s="465">
        <v>-7060.0</v>
      </c>
      <c r="O45" s="465">
        <f>O42+O43-O44</f>
        <v>955028</v>
      </c>
      <c r="P45" s="460">
        <f t="shared" ref="P45:P47" si="12">O45/$O$5</f>
        <v>0.3821262964</v>
      </c>
      <c r="Q45" s="452"/>
      <c r="R45" s="440"/>
      <c r="S45" s="443"/>
      <c r="T45" s="444"/>
    </row>
    <row r="46" ht="15.75" customHeight="1">
      <c r="A46" s="463" t="s">
        <v>158</v>
      </c>
      <c r="B46" s="477">
        <v>0.33</v>
      </c>
      <c r="C46" s="465"/>
      <c r="D46" s="465"/>
      <c r="E46" s="465"/>
      <c r="F46" s="465"/>
      <c r="G46" s="465"/>
      <c r="H46" s="465"/>
      <c r="I46" s="465"/>
      <c r="J46" s="465"/>
      <c r="K46" s="465"/>
      <c r="L46" s="465"/>
      <c r="M46" s="465"/>
      <c r="N46" s="465"/>
      <c r="O46" s="465"/>
      <c r="P46" s="460">
        <f t="shared" si="12"/>
        <v>0</v>
      </c>
      <c r="Q46" s="452"/>
      <c r="R46" s="440"/>
      <c r="S46" s="443"/>
      <c r="T46" s="444"/>
    </row>
    <row r="47" ht="15.75" customHeight="1">
      <c r="A47" s="463" t="s">
        <v>159</v>
      </c>
      <c r="B47" s="463"/>
      <c r="C47" s="465"/>
      <c r="D47" s="465"/>
      <c r="E47" s="465"/>
      <c r="F47" s="465"/>
      <c r="G47" s="465"/>
      <c r="H47" s="465"/>
      <c r="I47" s="465"/>
      <c r="J47" s="465"/>
      <c r="K47" s="465"/>
      <c r="L47" s="465"/>
      <c r="M47" s="465"/>
      <c r="N47" s="465"/>
      <c r="O47" s="465">
        <f>O45-O46</f>
        <v>955028</v>
      </c>
      <c r="P47" s="460">
        <f t="shared" si="12"/>
        <v>0.3821262964</v>
      </c>
      <c r="Q47" s="452"/>
      <c r="R47" s="440"/>
      <c r="S47" s="443"/>
      <c r="T47" s="444"/>
    </row>
    <row r="48" ht="15.75" customHeight="1">
      <c r="A48" s="478"/>
      <c r="B48" s="452"/>
      <c r="C48" s="479"/>
      <c r="D48" s="479"/>
      <c r="E48" s="479"/>
      <c r="F48" s="479"/>
      <c r="G48" s="479"/>
      <c r="H48" s="479"/>
      <c r="I48" s="479"/>
      <c r="J48" s="479"/>
      <c r="K48" s="479"/>
      <c r="L48" s="479"/>
      <c r="M48" s="479"/>
      <c r="N48" s="479"/>
      <c r="O48" s="479"/>
      <c r="P48" s="452"/>
      <c r="Q48" s="452"/>
      <c r="R48" s="440"/>
      <c r="S48" s="443"/>
    </row>
    <row r="49" ht="15.75" customHeight="1">
      <c r="A49" s="478"/>
      <c r="B49" s="452"/>
      <c r="C49" s="457"/>
      <c r="D49" s="457"/>
      <c r="E49" s="457"/>
      <c r="F49" s="457"/>
      <c r="G49" s="457"/>
      <c r="H49" s="457"/>
      <c r="I49" s="457"/>
      <c r="J49" s="457"/>
      <c r="K49" s="457"/>
      <c r="L49" s="457"/>
      <c r="M49" s="457"/>
      <c r="N49" s="457"/>
      <c r="O49" s="457"/>
      <c r="P49" s="452"/>
      <c r="Q49" s="452"/>
    </row>
    <row r="50" ht="15.75" customHeight="1">
      <c r="A50" s="478" t="s">
        <v>116</v>
      </c>
      <c r="B50" s="508">
        <f>SUM(B4:B36)</f>
        <v>0</v>
      </c>
      <c r="C50" s="457"/>
      <c r="D50" s="457"/>
      <c r="E50" s="457"/>
      <c r="F50" s="457"/>
      <c r="G50" s="457"/>
      <c r="H50" s="457"/>
      <c r="I50" s="457"/>
      <c r="J50" s="457"/>
      <c r="K50" s="457"/>
      <c r="L50" s="457"/>
      <c r="M50" s="457"/>
      <c r="N50" s="457"/>
      <c r="O50" s="457"/>
      <c r="P50" s="452"/>
      <c r="Q50" s="452"/>
      <c r="R50" s="440" t="s">
        <v>76</v>
      </c>
    </row>
    <row r="51" ht="15.75" customHeight="1">
      <c r="A51" s="478" t="s">
        <v>258</v>
      </c>
      <c r="B51" s="508">
        <f>100%-B50</f>
        <v>1</v>
      </c>
      <c r="C51" s="457"/>
      <c r="D51" s="457"/>
      <c r="E51" s="457"/>
      <c r="F51" s="457"/>
      <c r="G51" s="457"/>
      <c r="H51" s="457"/>
      <c r="I51" s="457"/>
      <c r="J51" s="457"/>
      <c r="K51" s="457"/>
      <c r="L51" s="457"/>
      <c r="M51" s="457"/>
      <c r="N51" s="457"/>
      <c r="O51" s="457"/>
      <c r="P51" s="452"/>
      <c r="Q51" s="452"/>
      <c r="R51" s="440" t="s">
        <v>130</v>
      </c>
      <c r="S51" s="509">
        <f>O3</f>
        <v>3107998</v>
      </c>
    </row>
    <row r="52" ht="15.75" customHeight="1">
      <c r="A52" s="452"/>
      <c r="B52" s="452"/>
      <c r="C52" s="452"/>
      <c r="D52" s="452"/>
      <c r="E52" s="452"/>
      <c r="F52" s="452"/>
      <c r="G52" s="452"/>
      <c r="H52" s="452"/>
      <c r="I52" s="452"/>
      <c r="J52" s="452"/>
      <c r="K52" s="452"/>
      <c r="L52" s="452"/>
      <c r="M52" s="452"/>
      <c r="N52" s="452"/>
      <c r="O52" s="452"/>
      <c r="P52" s="452"/>
      <c r="Q52" s="452"/>
      <c r="R52" s="440" t="s">
        <v>259</v>
      </c>
      <c r="S52" s="509">
        <f t="shared" ref="S52:S53" si="13">S51*T52</f>
        <v>242423.844</v>
      </c>
      <c r="T52" s="510">
        <v>0.078</v>
      </c>
    </row>
    <row r="53" ht="15.75" customHeight="1">
      <c r="A53" s="452"/>
      <c r="C53" s="452"/>
      <c r="D53" s="452"/>
      <c r="E53" s="452"/>
      <c r="F53" s="452"/>
      <c r="G53" s="452"/>
      <c r="H53" s="452"/>
      <c r="I53" s="452"/>
      <c r="J53" s="452"/>
      <c r="K53" s="452"/>
      <c r="L53" s="452"/>
      <c r="M53" s="452"/>
      <c r="N53" s="452"/>
      <c r="O53" s="452"/>
      <c r="P53" s="452"/>
      <c r="Q53" s="452"/>
      <c r="R53" s="440" t="s">
        <v>260</v>
      </c>
      <c r="S53" s="509">
        <f t="shared" si="13"/>
        <v>145454.3064</v>
      </c>
      <c r="T53" s="511">
        <v>0.6</v>
      </c>
    </row>
    <row r="54" ht="15.75" customHeight="1">
      <c r="A54" s="452"/>
      <c r="C54" s="452"/>
      <c r="D54" s="452"/>
      <c r="E54" s="452"/>
      <c r="F54" s="452"/>
      <c r="G54" s="452"/>
      <c r="H54" s="452"/>
      <c r="I54" s="452"/>
      <c r="J54" s="452"/>
      <c r="K54" s="452"/>
      <c r="L54" s="452"/>
      <c r="M54" s="452"/>
      <c r="N54" s="452"/>
      <c r="O54" s="452"/>
      <c r="P54" s="452"/>
      <c r="Q54" s="452"/>
      <c r="R54" s="440" t="s">
        <v>261</v>
      </c>
      <c r="S54" s="509">
        <f>S52-S53</f>
        <v>96969.5376</v>
      </c>
    </row>
    <row r="55" ht="15.75" customHeight="1">
      <c r="A55" s="452" t="s">
        <v>262</v>
      </c>
      <c r="B55" s="452" t="s">
        <v>263</v>
      </c>
      <c r="C55" s="437">
        <v>2604212.0</v>
      </c>
      <c r="D55" s="437">
        <v>2946348.0</v>
      </c>
      <c r="E55" s="437">
        <v>2777697.0</v>
      </c>
      <c r="F55" s="447"/>
      <c r="G55" s="447"/>
      <c r="H55" s="447"/>
      <c r="I55" s="447"/>
      <c r="J55" s="447"/>
      <c r="K55" s="447"/>
      <c r="L55" s="447"/>
      <c r="M55" s="447"/>
      <c r="N55" s="447"/>
      <c r="O55" s="447"/>
      <c r="P55" s="452"/>
      <c r="Q55" s="452"/>
      <c r="R55" s="440" t="s">
        <v>264</v>
      </c>
      <c r="S55" s="443">
        <f>S54*22/78</f>
        <v>27350.3824</v>
      </c>
    </row>
    <row r="56" ht="15.75" customHeight="1">
      <c r="A56" s="452"/>
      <c r="B56" s="440"/>
      <c r="C56" s="447"/>
      <c r="D56" s="447"/>
      <c r="E56" s="447"/>
      <c r="F56" s="447"/>
      <c r="G56" s="447"/>
      <c r="H56" s="447"/>
      <c r="I56" s="447"/>
      <c r="J56" s="447"/>
      <c r="K56" s="447"/>
      <c r="L56" s="447"/>
      <c r="M56" s="447"/>
      <c r="N56" s="447"/>
      <c r="O56" s="447"/>
      <c r="P56" s="452"/>
      <c r="Q56" s="452"/>
      <c r="R56" s="440"/>
      <c r="S56" s="509"/>
    </row>
    <row r="57" ht="15.75" customHeight="1">
      <c r="A57" s="452"/>
      <c r="C57" s="452"/>
      <c r="D57" s="452"/>
      <c r="E57" s="452"/>
      <c r="F57" s="452"/>
      <c r="G57" s="452"/>
      <c r="H57" s="452"/>
      <c r="I57" s="452"/>
      <c r="J57" s="452"/>
      <c r="K57" s="452"/>
      <c r="L57" s="452"/>
      <c r="M57" s="452"/>
      <c r="N57" s="452"/>
      <c r="O57" s="452"/>
      <c r="P57" s="452"/>
      <c r="Q57" s="45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3:B53"/>
    <mergeCell ref="A54:B54"/>
    <mergeCell ref="A57:B57"/>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71"/>
    <col customWidth="1" min="2" max="17" width="14.43"/>
  </cols>
  <sheetData>
    <row r="1" ht="15.75" customHeight="1">
      <c r="A1" s="43" t="s">
        <v>285</v>
      </c>
      <c r="B1" s="448" t="s">
        <v>116</v>
      </c>
      <c r="C1" s="449" t="s">
        <v>182</v>
      </c>
      <c r="D1" s="449" t="s">
        <v>183</v>
      </c>
      <c r="E1" s="449" t="s">
        <v>184</v>
      </c>
      <c r="F1" s="447" t="s">
        <v>185</v>
      </c>
      <c r="G1" s="447" t="s">
        <v>186</v>
      </c>
      <c r="H1" s="447" t="s">
        <v>187</v>
      </c>
      <c r="I1" s="447" t="s">
        <v>188</v>
      </c>
      <c r="J1" s="447" t="s">
        <v>189</v>
      </c>
      <c r="K1" s="447" t="s">
        <v>190</v>
      </c>
      <c r="L1" s="447" t="s">
        <v>179</v>
      </c>
      <c r="M1" s="447" t="s">
        <v>180</v>
      </c>
      <c r="N1" s="447" t="s">
        <v>181</v>
      </c>
      <c r="O1" s="447" t="s">
        <v>129</v>
      </c>
      <c r="P1" s="452"/>
      <c r="Q1" s="452"/>
    </row>
    <row r="2" ht="15.75" customHeight="1">
      <c r="A2" s="447"/>
      <c r="B2" s="513"/>
      <c r="C2" s="437"/>
      <c r="D2" s="437"/>
      <c r="E2" s="437"/>
      <c r="F2" s="437"/>
      <c r="G2" s="437"/>
      <c r="H2" s="437"/>
      <c r="I2" s="437"/>
      <c r="J2" s="437"/>
      <c r="K2" s="437"/>
      <c r="L2" s="437"/>
      <c r="M2" s="437"/>
      <c r="N2" s="437"/>
      <c r="O2" s="506"/>
      <c r="P2" s="457"/>
      <c r="Q2" s="452"/>
    </row>
    <row r="3" ht="15.75" customHeight="1">
      <c r="A3" s="447" t="s">
        <v>130</v>
      </c>
      <c r="B3" s="447"/>
      <c r="C3" s="458"/>
      <c r="D3" s="458"/>
      <c r="E3" s="458"/>
      <c r="F3" s="458"/>
      <c r="G3" s="458"/>
      <c r="H3" s="458">
        <v>400000.0</v>
      </c>
      <c r="I3" s="458">
        <v>400000.0</v>
      </c>
      <c r="J3" s="458">
        <v>300000.0</v>
      </c>
      <c r="K3" s="458">
        <v>300000.0</v>
      </c>
      <c r="L3" s="458"/>
      <c r="M3" s="458"/>
      <c r="N3" s="458"/>
      <c r="O3" s="506">
        <f t="shared" ref="O3:O4" si="2">SUM(C3:N3)</f>
        <v>1400000</v>
      </c>
      <c r="P3" s="460">
        <f t="shared" ref="P3:P4" si="3">O3/$O$3</f>
        <v>1</v>
      </c>
      <c r="Q3" s="452"/>
    </row>
    <row r="4" ht="15.75" customHeight="1">
      <c r="A4" s="447" t="s">
        <v>131</v>
      </c>
      <c r="B4" s="461">
        <v>0.2</v>
      </c>
      <c r="C4" s="492">
        <f t="shared" ref="C4:I4" si="1">C3*$B$4</f>
        <v>0</v>
      </c>
      <c r="D4" s="492">
        <f t="shared" si="1"/>
        <v>0</v>
      </c>
      <c r="E4" s="492">
        <f t="shared" si="1"/>
        <v>0</v>
      </c>
      <c r="F4" s="492">
        <f t="shared" si="1"/>
        <v>0</v>
      </c>
      <c r="G4" s="492">
        <f t="shared" si="1"/>
        <v>0</v>
      </c>
      <c r="H4" s="492">
        <f t="shared" si="1"/>
        <v>80000</v>
      </c>
      <c r="I4" s="492">
        <f t="shared" si="1"/>
        <v>80000</v>
      </c>
      <c r="J4" s="492"/>
      <c r="K4" s="492"/>
      <c r="L4" s="492"/>
      <c r="M4" s="492"/>
      <c r="N4" s="492"/>
      <c r="O4" s="462">
        <f t="shared" si="2"/>
        <v>160000</v>
      </c>
      <c r="P4" s="460">
        <f t="shared" si="3"/>
        <v>0.1142857143</v>
      </c>
      <c r="Q4" s="452"/>
    </row>
    <row r="5" ht="15.75" customHeight="1">
      <c r="A5" s="463" t="s">
        <v>132</v>
      </c>
      <c r="B5" s="464"/>
      <c r="C5" s="465">
        <f t="shared" ref="C5:O5" si="4">C2+C3-C4</f>
        <v>0</v>
      </c>
      <c r="D5" s="465">
        <f t="shared" si="4"/>
        <v>0</v>
      </c>
      <c r="E5" s="465">
        <f t="shared" si="4"/>
        <v>0</v>
      </c>
      <c r="F5" s="465">
        <f t="shared" si="4"/>
        <v>0</v>
      </c>
      <c r="G5" s="465">
        <f t="shared" si="4"/>
        <v>0</v>
      </c>
      <c r="H5" s="465">
        <f t="shared" si="4"/>
        <v>320000</v>
      </c>
      <c r="I5" s="465">
        <f t="shared" si="4"/>
        <v>320000</v>
      </c>
      <c r="J5" s="465">
        <f t="shared" si="4"/>
        <v>300000</v>
      </c>
      <c r="K5" s="465">
        <f t="shared" si="4"/>
        <v>300000</v>
      </c>
      <c r="L5" s="465">
        <f t="shared" si="4"/>
        <v>0</v>
      </c>
      <c r="M5" s="465">
        <f t="shared" si="4"/>
        <v>0</v>
      </c>
      <c r="N5" s="465">
        <f t="shared" si="4"/>
        <v>0</v>
      </c>
      <c r="O5" s="465">
        <f t="shared" si="4"/>
        <v>1240000</v>
      </c>
      <c r="P5" s="460"/>
      <c r="Q5" s="452"/>
    </row>
    <row r="6" ht="15.75" customHeight="1">
      <c r="A6" s="447"/>
      <c r="B6" s="447"/>
      <c r="C6" s="447"/>
      <c r="D6" s="447"/>
      <c r="E6" s="447"/>
      <c r="F6" s="447"/>
      <c r="G6" s="447"/>
      <c r="H6" s="447"/>
      <c r="I6" s="447"/>
      <c r="J6" s="447"/>
      <c r="K6" s="447"/>
      <c r="L6" s="447"/>
      <c r="M6" s="447"/>
      <c r="N6" s="447"/>
      <c r="O6" s="465">
        <f t="shared" ref="O6:O35" si="5">SUM(C6:N6)</f>
        <v>0</v>
      </c>
      <c r="P6" s="460"/>
      <c r="Q6" s="452"/>
    </row>
    <row r="7" ht="15.75" customHeight="1">
      <c r="A7" s="447" t="s">
        <v>133</v>
      </c>
      <c r="B7" s="447"/>
      <c r="C7" s="462"/>
      <c r="D7" s="462"/>
      <c r="E7" s="462"/>
      <c r="F7" s="462"/>
      <c r="G7" s="462"/>
      <c r="H7" s="462"/>
      <c r="I7" s="462"/>
      <c r="J7" s="462"/>
      <c r="K7" s="462"/>
      <c r="L7" s="462"/>
      <c r="M7" s="462"/>
      <c r="N7" s="462"/>
      <c r="O7" s="462">
        <f t="shared" si="5"/>
        <v>0</v>
      </c>
      <c r="P7" s="460">
        <f>O7/$O$5</f>
        <v>0</v>
      </c>
      <c r="Q7" s="452"/>
    </row>
    <row r="8" ht="15.75" customHeight="1">
      <c r="A8" s="447" t="s">
        <v>134</v>
      </c>
      <c r="B8" s="447"/>
      <c r="C8" s="462"/>
      <c r="D8" s="462"/>
      <c r="E8" s="462"/>
      <c r="F8" s="462"/>
      <c r="G8" s="462"/>
      <c r="H8" s="462"/>
      <c r="I8" s="462"/>
      <c r="J8" s="462"/>
      <c r="K8" s="462"/>
      <c r="L8" s="462"/>
      <c r="M8" s="462"/>
      <c r="N8" s="462"/>
      <c r="O8" s="462">
        <f t="shared" si="5"/>
        <v>0</v>
      </c>
      <c r="P8" s="460"/>
      <c r="Q8" s="452"/>
    </row>
    <row r="9" ht="15.75" customHeight="1">
      <c r="A9" s="447" t="s">
        <v>135</v>
      </c>
      <c r="B9" s="461"/>
      <c r="C9" s="459"/>
      <c r="D9" s="459"/>
      <c r="E9" s="459"/>
      <c r="F9" s="459"/>
      <c r="G9" s="459"/>
      <c r="H9" s="459"/>
      <c r="I9" s="459"/>
      <c r="J9" s="459"/>
      <c r="K9" s="459"/>
      <c r="L9" s="459"/>
      <c r="M9" s="459"/>
      <c r="N9" s="459"/>
      <c r="O9" s="459">
        <f t="shared" si="5"/>
        <v>0</v>
      </c>
      <c r="P9" s="460">
        <f>O9/$O$5</f>
        <v>0</v>
      </c>
      <c r="Q9" s="452"/>
    </row>
    <row r="10" ht="15.75" customHeight="1">
      <c r="A10" s="447" t="s">
        <v>29</v>
      </c>
      <c r="B10" s="461">
        <v>0.0</v>
      </c>
      <c r="C10" s="462"/>
      <c r="D10" s="462"/>
      <c r="E10" s="462"/>
      <c r="F10" s="462"/>
      <c r="G10" s="462"/>
      <c r="H10" s="462"/>
      <c r="I10" s="462"/>
      <c r="J10" s="462"/>
      <c r="K10" s="462"/>
      <c r="L10" s="462"/>
      <c r="M10" s="462"/>
      <c r="N10" s="462"/>
      <c r="O10" s="462">
        <f t="shared" si="5"/>
        <v>0</v>
      </c>
      <c r="P10" s="460"/>
      <c r="Q10" s="452"/>
    </row>
    <row r="11" ht="15.75" customHeight="1">
      <c r="A11" s="447" t="s">
        <v>30</v>
      </c>
      <c r="B11" s="447"/>
      <c r="C11" s="447"/>
      <c r="D11" s="447"/>
      <c r="E11" s="447"/>
      <c r="F11" s="447"/>
      <c r="G11" s="447"/>
      <c r="H11" s="447"/>
      <c r="I11" s="447"/>
      <c r="J11" s="447"/>
      <c r="K11" s="447"/>
      <c r="L11" s="447"/>
      <c r="M11" s="447"/>
      <c r="N11" s="447"/>
      <c r="O11" s="471">
        <f t="shared" si="5"/>
        <v>0</v>
      </c>
      <c r="P11" s="460"/>
      <c r="Q11" s="452"/>
    </row>
    <row r="12" ht="15.75" customHeight="1">
      <c r="A12" s="447" t="s">
        <v>136</v>
      </c>
      <c r="B12" s="447"/>
      <c r="C12" s="462">
        <v>181818.0</v>
      </c>
      <c r="D12" s="462">
        <v>181818.0</v>
      </c>
      <c r="E12" s="462">
        <v>181818.0</v>
      </c>
      <c r="F12" s="462">
        <v>181818.0</v>
      </c>
      <c r="G12" s="462">
        <v>181818.0</v>
      </c>
      <c r="H12" s="462">
        <v>227272.0</v>
      </c>
      <c r="I12" s="462">
        <v>227272.0</v>
      </c>
      <c r="J12" s="462">
        <v>227272.0</v>
      </c>
      <c r="K12" s="462">
        <v>227272.0</v>
      </c>
      <c r="L12" s="462"/>
      <c r="M12" s="462"/>
      <c r="N12" s="462"/>
      <c r="O12" s="462">
        <f t="shared" si="5"/>
        <v>1818178</v>
      </c>
      <c r="P12" s="460"/>
      <c r="Q12" s="452"/>
    </row>
    <row r="13" ht="15.75" customHeight="1">
      <c r="A13" s="447" t="s">
        <v>137</v>
      </c>
      <c r="B13" s="461"/>
      <c r="C13" s="462"/>
      <c r="D13" s="462"/>
      <c r="E13" s="462"/>
      <c r="F13" s="462"/>
      <c r="G13" s="462"/>
      <c r="H13" s="462"/>
      <c r="I13" s="462"/>
      <c r="J13" s="462"/>
      <c r="K13" s="462"/>
      <c r="L13" s="462"/>
      <c r="M13" s="462"/>
      <c r="N13" s="462"/>
      <c r="O13" s="462">
        <f t="shared" si="5"/>
        <v>0</v>
      </c>
      <c r="P13" s="460"/>
      <c r="Q13" s="452"/>
    </row>
    <row r="14" ht="15.75" customHeight="1">
      <c r="A14" s="447" t="s">
        <v>138</v>
      </c>
      <c r="B14" s="447"/>
      <c r="C14" s="462"/>
      <c r="D14" s="462"/>
      <c r="E14" s="462"/>
      <c r="F14" s="462"/>
      <c r="G14" s="462"/>
      <c r="H14" s="462"/>
      <c r="I14" s="462"/>
      <c r="J14" s="462"/>
      <c r="K14" s="462"/>
      <c r="L14" s="462"/>
      <c r="M14" s="462"/>
      <c r="N14" s="462"/>
      <c r="O14" s="462">
        <f t="shared" si="5"/>
        <v>0</v>
      </c>
      <c r="P14" s="460"/>
      <c r="Q14" s="452"/>
    </row>
    <row r="15" ht="15.75" customHeight="1">
      <c r="A15" s="447" t="s">
        <v>139</v>
      </c>
      <c r="B15" s="447"/>
      <c r="C15" s="462"/>
      <c r="D15" s="462"/>
      <c r="E15" s="462"/>
      <c r="F15" s="462"/>
      <c r="G15" s="462"/>
      <c r="H15" s="462"/>
      <c r="I15" s="462"/>
      <c r="J15" s="462"/>
      <c r="K15" s="462"/>
      <c r="L15" s="462"/>
      <c r="M15" s="462"/>
      <c r="N15" s="462"/>
      <c r="O15" s="462">
        <f t="shared" si="5"/>
        <v>0</v>
      </c>
      <c r="P15" s="460">
        <f>O15/$O$5</f>
        <v>0</v>
      </c>
      <c r="Q15" s="452"/>
    </row>
    <row r="16" ht="15.75" customHeight="1">
      <c r="A16" s="447" t="s">
        <v>255</v>
      </c>
      <c r="B16" s="447"/>
      <c r="C16" s="462"/>
      <c r="D16" s="462"/>
      <c r="E16" s="462"/>
      <c r="F16" s="462"/>
      <c r="G16" s="462"/>
      <c r="H16" s="462"/>
      <c r="I16" s="462"/>
      <c r="J16" s="462"/>
      <c r="K16" s="462"/>
      <c r="L16" s="462"/>
      <c r="M16" s="462"/>
      <c r="N16" s="462"/>
      <c r="O16" s="462">
        <f t="shared" si="5"/>
        <v>0</v>
      </c>
      <c r="P16" s="460"/>
      <c r="Q16" s="452"/>
    </row>
    <row r="17" ht="15.75" customHeight="1">
      <c r="A17" s="447" t="s">
        <v>141</v>
      </c>
      <c r="B17" s="447"/>
      <c r="C17" s="462"/>
      <c r="D17" s="462"/>
      <c r="E17" s="462"/>
      <c r="F17" s="462"/>
      <c r="G17" s="462"/>
      <c r="H17" s="462"/>
      <c r="I17" s="462"/>
      <c r="J17" s="462"/>
      <c r="K17" s="462"/>
      <c r="L17" s="462"/>
      <c r="M17" s="462"/>
      <c r="N17" s="462"/>
      <c r="O17" s="462">
        <f t="shared" si="5"/>
        <v>0</v>
      </c>
      <c r="P17" s="460">
        <f>O17/$O$5</f>
        <v>0</v>
      </c>
      <c r="Q17" s="452"/>
    </row>
    <row r="18" ht="15.75" customHeight="1">
      <c r="A18" s="447" t="s">
        <v>142</v>
      </c>
      <c r="B18" s="447"/>
      <c r="C18" s="462"/>
      <c r="D18" s="462"/>
      <c r="E18" s="462"/>
      <c r="F18" s="462"/>
      <c r="G18" s="462"/>
      <c r="H18" s="462"/>
      <c r="I18" s="462"/>
      <c r="J18" s="462"/>
      <c r="K18" s="462"/>
      <c r="L18" s="462"/>
      <c r="M18" s="462"/>
      <c r="N18" s="462"/>
      <c r="O18" s="462">
        <f t="shared" si="5"/>
        <v>0</v>
      </c>
      <c r="P18" s="460"/>
      <c r="Q18" s="452"/>
    </row>
    <row r="19" ht="15.75" customHeight="1">
      <c r="A19" s="447" t="s">
        <v>143</v>
      </c>
      <c r="B19" s="447"/>
      <c r="C19" s="462"/>
      <c r="D19" s="462"/>
      <c r="E19" s="462"/>
      <c r="F19" s="462"/>
      <c r="G19" s="462"/>
      <c r="H19" s="462"/>
      <c r="I19" s="462"/>
      <c r="J19" s="462"/>
      <c r="K19" s="462"/>
      <c r="L19" s="462"/>
      <c r="M19" s="462"/>
      <c r="N19" s="462"/>
      <c r="O19" s="462">
        <f t="shared" si="5"/>
        <v>0</v>
      </c>
      <c r="P19" s="460">
        <f>O19/$O$5</f>
        <v>0</v>
      </c>
      <c r="Q19" s="452"/>
    </row>
    <row r="20" ht="15.75" customHeight="1">
      <c r="A20" s="447" t="s">
        <v>144</v>
      </c>
      <c r="B20" s="447"/>
      <c r="C20" s="462"/>
      <c r="D20" s="462"/>
      <c r="E20" s="462"/>
      <c r="F20" s="462"/>
      <c r="G20" s="462"/>
      <c r="H20" s="462"/>
      <c r="I20" s="462"/>
      <c r="J20" s="462"/>
      <c r="K20" s="462"/>
      <c r="L20" s="462"/>
      <c r="M20" s="462"/>
      <c r="N20" s="462"/>
      <c r="O20" s="462">
        <f t="shared" si="5"/>
        <v>0</v>
      </c>
      <c r="P20" s="460"/>
      <c r="Q20" s="452"/>
    </row>
    <row r="21" ht="15.75" customHeight="1">
      <c r="A21" s="447" t="s">
        <v>145</v>
      </c>
      <c r="B21" s="447"/>
      <c r="C21" s="462"/>
      <c r="D21" s="462"/>
      <c r="E21" s="462"/>
      <c r="F21" s="462"/>
      <c r="G21" s="462"/>
      <c r="H21" s="462"/>
      <c r="I21" s="462"/>
      <c r="J21" s="462"/>
      <c r="K21" s="462"/>
      <c r="L21" s="462"/>
      <c r="M21" s="462"/>
      <c r="N21" s="462"/>
      <c r="O21" s="462">
        <f t="shared" si="5"/>
        <v>0</v>
      </c>
      <c r="P21" s="460"/>
      <c r="Q21" s="452"/>
    </row>
    <row r="22" ht="15.75" customHeight="1">
      <c r="A22" s="447" t="s">
        <v>33</v>
      </c>
      <c r="B22" s="447"/>
      <c r="C22" s="462"/>
      <c r="D22" s="462"/>
      <c r="E22" s="462"/>
      <c r="F22" s="462"/>
      <c r="G22" s="462"/>
      <c r="H22" s="462"/>
      <c r="I22" s="462"/>
      <c r="J22" s="462"/>
      <c r="K22" s="462"/>
      <c r="L22" s="462"/>
      <c r="M22" s="462"/>
      <c r="N22" s="462"/>
      <c r="O22" s="462">
        <f t="shared" si="5"/>
        <v>0</v>
      </c>
      <c r="P22" s="460"/>
      <c r="Q22" s="452"/>
    </row>
    <row r="23" ht="15.75" customHeight="1">
      <c r="A23" s="447" t="s">
        <v>146</v>
      </c>
      <c r="B23" s="447"/>
      <c r="C23" s="462"/>
      <c r="D23" s="462"/>
      <c r="E23" s="462"/>
      <c r="F23" s="462"/>
      <c r="G23" s="462"/>
      <c r="H23" s="462"/>
      <c r="I23" s="462"/>
      <c r="J23" s="462"/>
      <c r="K23" s="462"/>
      <c r="L23" s="462"/>
      <c r="M23" s="462"/>
      <c r="N23" s="462"/>
      <c r="O23" s="462">
        <f t="shared" si="5"/>
        <v>0</v>
      </c>
      <c r="P23" s="460"/>
      <c r="Q23" s="452"/>
    </row>
    <row r="24" ht="15.75" customHeight="1">
      <c r="A24" s="447" t="s">
        <v>147</v>
      </c>
      <c r="B24" s="447"/>
      <c r="C24" s="462"/>
      <c r="D24" s="462"/>
      <c r="E24" s="462"/>
      <c r="F24" s="462"/>
      <c r="G24" s="462"/>
      <c r="H24" s="462"/>
      <c r="I24" s="462"/>
      <c r="J24" s="462"/>
      <c r="K24" s="462"/>
      <c r="L24" s="462"/>
      <c r="M24" s="462"/>
      <c r="N24" s="462"/>
      <c r="O24" s="462">
        <f t="shared" si="5"/>
        <v>0</v>
      </c>
      <c r="P24" s="460"/>
      <c r="Q24" s="452"/>
    </row>
    <row r="25" ht="15.75" customHeight="1">
      <c r="A25" s="447" t="s">
        <v>35</v>
      </c>
      <c r="B25" s="467"/>
      <c r="C25" s="467"/>
      <c r="D25" s="447"/>
      <c r="E25" s="447"/>
      <c r="F25" s="447"/>
      <c r="G25" s="447"/>
      <c r="H25" s="447"/>
      <c r="I25" s="447"/>
      <c r="J25" s="447"/>
      <c r="K25" s="447"/>
      <c r="L25" s="447"/>
      <c r="M25" s="447"/>
      <c r="N25" s="447"/>
      <c r="O25" s="471">
        <f t="shared" si="5"/>
        <v>0</v>
      </c>
      <c r="P25" s="460"/>
      <c r="Q25" s="452"/>
    </row>
    <row r="26" ht="15.75" customHeight="1">
      <c r="A26" s="447" t="s">
        <v>148</v>
      </c>
      <c r="B26" s="461">
        <v>0.0</v>
      </c>
      <c r="C26" s="492"/>
      <c r="D26" s="492"/>
      <c r="E26" s="492"/>
      <c r="F26" s="492"/>
      <c r="G26" s="492"/>
      <c r="H26" s="492"/>
      <c r="I26" s="492"/>
      <c r="J26" s="492"/>
      <c r="K26" s="492"/>
      <c r="L26" s="492"/>
      <c r="M26" s="492"/>
      <c r="N26" s="492"/>
      <c r="O26" s="462">
        <f t="shared" si="5"/>
        <v>0</v>
      </c>
      <c r="P26" s="460"/>
      <c r="Q26" s="452"/>
    </row>
    <row r="27" ht="15.75" customHeight="1">
      <c r="A27" s="447" t="s">
        <v>34</v>
      </c>
      <c r="B27" s="461">
        <v>0.0</v>
      </c>
      <c r="C27" s="492"/>
      <c r="D27" s="492"/>
      <c r="E27" s="492"/>
      <c r="F27" s="492"/>
      <c r="G27" s="492"/>
      <c r="H27" s="492"/>
      <c r="I27" s="492"/>
      <c r="J27" s="492"/>
      <c r="K27" s="492"/>
      <c r="L27" s="492"/>
      <c r="M27" s="492"/>
      <c r="N27" s="492"/>
      <c r="O27" s="462">
        <f t="shared" si="5"/>
        <v>0</v>
      </c>
      <c r="P27" s="460">
        <f>O27/$O$5</f>
        <v>0</v>
      </c>
      <c r="Q27" s="452"/>
    </row>
    <row r="28" ht="15.75" customHeight="1">
      <c r="A28" s="447" t="s">
        <v>149</v>
      </c>
      <c r="B28" s="467"/>
      <c r="C28" s="467"/>
      <c r="D28" s="447"/>
      <c r="E28" s="447"/>
      <c r="F28" s="447"/>
      <c r="G28" s="447"/>
      <c r="H28" s="447"/>
      <c r="I28" s="447"/>
      <c r="J28" s="447"/>
      <c r="K28" s="447"/>
      <c r="L28" s="447"/>
      <c r="M28" s="447"/>
      <c r="N28" s="447"/>
      <c r="O28" s="471">
        <f t="shared" si="5"/>
        <v>0</v>
      </c>
      <c r="P28" s="460"/>
      <c r="Q28" s="452"/>
    </row>
    <row r="29" ht="15.75" customHeight="1">
      <c r="A29" s="447" t="s">
        <v>150</v>
      </c>
      <c r="B29" s="468"/>
      <c r="C29" s="492"/>
      <c r="D29" s="462"/>
      <c r="E29" s="462"/>
      <c r="F29" s="462"/>
      <c r="G29" s="462"/>
      <c r="H29" s="462"/>
      <c r="I29" s="462"/>
      <c r="J29" s="462"/>
      <c r="K29" s="462"/>
      <c r="L29" s="462"/>
      <c r="M29" s="462"/>
      <c r="N29" s="462"/>
      <c r="O29" s="462">
        <f t="shared" si="5"/>
        <v>0</v>
      </c>
      <c r="P29" s="460"/>
      <c r="Q29" s="452"/>
    </row>
    <row r="30" ht="15.75" customHeight="1">
      <c r="A30" s="447" t="s">
        <v>36</v>
      </c>
      <c r="B30" s="461"/>
      <c r="C30" s="462">
        <v>5000.0</v>
      </c>
      <c r="D30" s="462">
        <v>5000.0</v>
      </c>
      <c r="E30" s="462">
        <v>5000.0</v>
      </c>
      <c r="F30" s="462">
        <v>5000.0</v>
      </c>
      <c r="G30" s="462">
        <v>5000.0</v>
      </c>
      <c r="H30" s="462">
        <v>5000.0</v>
      </c>
      <c r="I30" s="462">
        <v>5000.0</v>
      </c>
      <c r="J30" s="462">
        <v>5000.0</v>
      </c>
      <c r="K30" s="462">
        <v>5000.0</v>
      </c>
      <c r="L30" s="462">
        <v>5000.0</v>
      </c>
      <c r="M30" s="462">
        <v>5000.0</v>
      </c>
      <c r="N30" s="462">
        <v>5000.0</v>
      </c>
      <c r="O30" s="462">
        <f t="shared" si="5"/>
        <v>60000</v>
      </c>
      <c r="P30" s="460"/>
      <c r="Q30" s="452"/>
    </row>
    <row r="31" ht="15.75" customHeight="1">
      <c r="A31" s="447" t="s">
        <v>151</v>
      </c>
      <c r="B31" s="447"/>
      <c r="C31" s="462"/>
      <c r="D31" s="462"/>
      <c r="E31" s="462"/>
      <c r="F31" s="462"/>
      <c r="G31" s="462"/>
      <c r="H31" s="462"/>
      <c r="I31" s="462"/>
      <c r="J31" s="462"/>
      <c r="K31" s="462"/>
      <c r="L31" s="462"/>
      <c r="M31" s="462"/>
      <c r="N31" s="462"/>
      <c r="O31" s="462">
        <f t="shared" si="5"/>
        <v>0</v>
      </c>
      <c r="P31" s="460"/>
      <c r="Q31" s="452"/>
    </row>
    <row r="32" ht="15.75" customHeight="1">
      <c r="A32" s="447" t="s">
        <v>152</v>
      </c>
      <c r="B32" s="461"/>
      <c r="C32" s="462"/>
      <c r="D32" s="462"/>
      <c r="E32" s="462"/>
      <c r="F32" s="462"/>
      <c r="G32" s="462"/>
      <c r="H32" s="462"/>
      <c r="I32" s="462"/>
      <c r="J32" s="462"/>
      <c r="K32" s="462"/>
      <c r="L32" s="462"/>
      <c r="M32" s="462"/>
      <c r="N32" s="462"/>
      <c r="O32" s="462">
        <f t="shared" si="5"/>
        <v>0</v>
      </c>
      <c r="P32" s="460"/>
      <c r="Q32" s="452"/>
    </row>
    <row r="33" ht="15.75" customHeight="1">
      <c r="A33" s="447" t="s">
        <v>256</v>
      </c>
      <c r="B33" s="461">
        <v>0.0</v>
      </c>
      <c r="C33" s="462"/>
      <c r="D33" s="462"/>
      <c r="E33" s="462"/>
      <c r="F33" s="462"/>
      <c r="G33" s="462"/>
      <c r="H33" s="462"/>
      <c r="I33" s="462"/>
      <c r="J33" s="462"/>
      <c r="K33" s="462"/>
      <c r="L33" s="462"/>
      <c r="M33" s="462"/>
      <c r="N33" s="462"/>
      <c r="O33" s="462">
        <f t="shared" si="5"/>
        <v>0</v>
      </c>
      <c r="P33" s="460"/>
      <c r="Q33" s="452"/>
    </row>
    <row r="34" ht="15.75" customHeight="1">
      <c r="A34" s="447" t="s">
        <v>257</v>
      </c>
      <c r="B34" s="461"/>
      <c r="C34" s="462">
        <v>50000.0</v>
      </c>
      <c r="D34" s="462">
        <v>50000.0</v>
      </c>
      <c r="E34" s="462">
        <v>50000.0</v>
      </c>
      <c r="F34" s="462">
        <v>50000.0</v>
      </c>
      <c r="G34" s="462">
        <v>50000.0</v>
      </c>
      <c r="H34" s="462">
        <v>30000.0</v>
      </c>
      <c r="I34" s="462">
        <v>30000.0</v>
      </c>
      <c r="J34" s="462">
        <v>30000.0</v>
      </c>
      <c r="K34" s="462">
        <v>30000.0</v>
      </c>
      <c r="L34" s="462">
        <v>30000.0</v>
      </c>
      <c r="M34" s="462">
        <v>30000.0</v>
      </c>
      <c r="N34" s="462">
        <v>30000.0</v>
      </c>
      <c r="O34" s="462">
        <f t="shared" si="5"/>
        <v>460000</v>
      </c>
      <c r="P34" s="460">
        <f>O34/$O$5</f>
        <v>0.3709677419</v>
      </c>
      <c r="Q34" s="452"/>
    </row>
    <row r="35" ht="15.75" customHeight="1">
      <c r="A35" s="447" t="s">
        <v>241</v>
      </c>
      <c r="B35" s="447"/>
      <c r="C35" s="462"/>
      <c r="D35" s="462"/>
      <c r="E35" s="462"/>
      <c r="F35" s="462"/>
      <c r="G35" s="462"/>
      <c r="H35" s="462"/>
      <c r="I35" s="462"/>
      <c r="J35" s="462"/>
      <c r="K35" s="462"/>
      <c r="L35" s="462"/>
      <c r="M35" s="462"/>
      <c r="N35" s="462"/>
      <c r="O35" s="462">
        <f t="shared" si="5"/>
        <v>0</v>
      </c>
      <c r="P35" s="460"/>
      <c r="Q35" s="452"/>
    </row>
    <row r="36" ht="15.75" customHeight="1">
      <c r="A36" s="447"/>
      <c r="B36" s="447"/>
      <c r="C36" s="447"/>
      <c r="D36" s="447"/>
      <c r="E36" s="447"/>
      <c r="F36" s="447"/>
      <c r="G36" s="447"/>
      <c r="H36" s="447"/>
      <c r="I36" s="447"/>
      <c r="J36" s="447"/>
      <c r="K36" s="447"/>
      <c r="L36" s="447"/>
      <c r="M36" s="447"/>
      <c r="N36" s="447"/>
      <c r="O36" s="471"/>
      <c r="P36" s="460"/>
      <c r="Q36" s="452"/>
    </row>
    <row r="37" ht="15.75" customHeight="1">
      <c r="A37" s="447" t="s">
        <v>153</v>
      </c>
      <c r="B37" s="447"/>
      <c r="C37" s="462">
        <f t="shared" ref="C37:O37" si="6">SUM(C7:C36)</f>
        <v>236818</v>
      </c>
      <c r="D37" s="462">
        <f t="shared" si="6"/>
        <v>236818</v>
      </c>
      <c r="E37" s="462">
        <f t="shared" si="6"/>
        <v>236818</v>
      </c>
      <c r="F37" s="462">
        <f t="shared" si="6"/>
        <v>236818</v>
      </c>
      <c r="G37" s="462">
        <f t="shared" si="6"/>
        <v>236818</v>
      </c>
      <c r="H37" s="462">
        <f t="shared" si="6"/>
        <v>262272</v>
      </c>
      <c r="I37" s="462">
        <f t="shared" si="6"/>
        <v>262272</v>
      </c>
      <c r="J37" s="462">
        <f t="shared" si="6"/>
        <v>262272</v>
      </c>
      <c r="K37" s="462">
        <f t="shared" si="6"/>
        <v>262272</v>
      </c>
      <c r="L37" s="462">
        <f t="shared" si="6"/>
        <v>35000</v>
      </c>
      <c r="M37" s="462">
        <f t="shared" si="6"/>
        <v>35000</v>
      </c>
      <c r="N37" s="462">
        <f t="shared" si="6"/>
        <v>35000</v>
      </c>
      <c r="O37" s="462">
        <f t="shared" si="6"/>
        <v>2338178</v>
      </c>
      <c r="P37" s="460">
        <f t="shared" ref="P37:P38" si="8">O37/$O$5</f>
        <v>1.885627419</v>
      </c>
      <c r="Q37" s="452"/>
    </row>
    <row r="38" ht="15.75" customHeight="1">
      <c r="A38" s="463" t="s">
        <v>40</v>
      </c>
      <c r="B38" s="463"/>
      <c r="C38" s="465">
        <f t="shared" ref="C38:O38" si="7">C5-C37</f>
        <v>-236818</v>
      </c>
      <c r="D38" s="465">
        <f t="shared" si="7"/>
        <v>-236818</v>
      </c>
      <c r="E38" s="465">
        <f t="shared" si="7"/>
        <v>-236818</v>
      </c>
      <c r="F38" s="465">
        <f t="shared" si="7"/>
        <v>-236818</v>
      </c>
      <c r="G38" s="465">
        <f t="shared" si="7"/>
        <v>-236818</v>
      </c>
      <c r="H38" s="465">
        <f t="shared" si="7"/>
        <v>57728</v>
      </c>
      <c r="I38" s="465">
        <f t="shared" si="7"/>
        <v>57728</v>
      </c>
      <c r="J38" s="465">
        <f t="shared" si="7"/>
        <v>37728</v>
      </c>
      <c r="K38" s="465">
        <f t="shared" si="7"/>
        <v>37728</v>
      </c>
      <c r="L38" s="465">
        <f t="shared" si="7"/>
        <v>-35000</v>
      </c>
      <c r="M38" s="465">
        <f t="shared" si="7"/>
        <v>-35000</v>
      </c>
      <c r="N38" s="465">
        <f t="shared" si="7"/>
        <v>-35000</v>
      </c>
      <c r="O38" s="465">
        <f t="shared" si="7"/>
        <v>-1098178</v>
      </c>
      <c r="P38" s="460">
        <f t="shared" si="8"/>
        <v>-0.8856274194</v>
      </c>
      <c r="Q38" s="452"/>
    </row>
    <row r="39" ht="15.75" customHeight="1">
      <c r="A39" s="447" t="s">
        <v>154</v>
      </c>
      <c r="B39" s="447"/>
      <c r="C39" s="462"/>
      <c r="D39" s="462"/>
      <c r="E39" s="462"/>
      <c r="F39" s="462"/>
      <c r="G39" s="462"/>
      <c r="H39" s="462"/>
      <c r="I39" s="462"/>
      <c r="J39" s="462"/>
      <c r="K39" s="462"/>
      <c r="L39" s="462"/>
      <c r="M39" s="462"/>
      <c r="N39" s="462"/>
      <c r="O39" s="462">
        <f t="shared" ref="O39:O41" si="9">SUM(C39:N39)</f>
        <v>0</v>
      </c>
      <c r="P39" s="460"/>
      <c r="Q39" s="452"/>
    </row>
    <row r="40" ht="15.75" customHeight="1">
      <c r="A40" s="447" t="s">
        <v>155</v>
      </c>
      <c r="B40" s="447"/>
      <c r="C40" s="447"/>
      <c r="D40" s="447"/>
      <c r="E40" s="462"/>
      <c r="F40" s="447"/>
      <c r="G40" s="447"/>
      <c r="H40" s="447"/>
      <c r="I40" s="447"/>
      <c r="J40" s="447"/>
      <c r="K40" s="447"/>
      <c r="L40" s="447"/>
      <c r="M40" s="447"/>
      <c r="N40" s="447"/>
      <c r="O40" s="471">
        <f t="shared" si="9"/>
        <v>0</v>
      </c>
      <c r="P40" s="460"/>
      <c r="Q40" s="452"/>
    </row>
    <row r="41" ht="15.75" customHeight="1">
      <c r="A41" s="447" t="s">
        <v>156</v>
      </c>
      <c r="B41" s="447"/>
      <c r="C41" s="458"/>
      <c r="D41" s="447"/>
      <c r="E41" s="447"/>
      <c r="F41" s="447"/>
      <c r="G41" s="447"/>
      <c r="H41" s="447"/>
      <c r="I41" s="447"/>
      <c r="J41" s="458"/>
      <c r="K41" s="447"/>
      <c r="L41" s="447"/>
      <c r="M41" s="447">
        <v>1000000.0</v>
      </c>
      <c r="N41" s="447"/>
      <c r="O41" s="459">
        <f t="shared" si="9"/>
        <v>1000000</v>
      </c>
      <c r="P41" s="460"/>
      <c r="Q41" s="452"/>
    </row>
    <row r="42" ht="15.75" customHeight="1">
      <c r="A42" s="463" t="s">
        <v>43</v>
      </c>
      <c r="B42" s="463"/>
      <c r="C42" s="465">
        <f t="shared" ref="C42:O42" si="10">C38-C39-C40+C41</f>
        <v>-236818</v>
      </c>
      <c r="D42" s="465">
        <f t="shared" si="10"/>
        <v>-236818</v>
      </c>
      <c r="E42" s="465">
        <f t="shared" si="10"/>
        <v>-236818</v>
      </c>
      <c r="F42" s="465">
        <f t="shared" si="10"/>
        <v>-236818</v>
      </c>
      <c r="G42" s="465">
        <f t="shared" si="10"/>
        <v>-236818</v>
      </c>
      <c r="H42" s="465">
        <f t="shared" si="10"/>
        <v>57728</v>
      </c>
      <c r="I42" s="465">
        <f t="shared" si="10"/>
        <v>57728</v>
      </c>
      <c r="J42" s="465">
        <f t="shared" si="10"/>
        <v>37728</v>
      </c>
      <c r="K42" s="465">
        <f t="shared" si="10"/>
        <v>37728</v>
      </c>
      <c r="L42" s="465">
        <f t="shared" si="10"/>
        <v>-35000</v>
      </c>
      <c r="M42" s="465">
        <f t="shared" si="10"/>
        <v>965000</v>
      </c>
      <c r="N42" s="465">
        <f t="shared" si="10"/>
        <v>-35000</v>
      </c>
      <c r="O42" s="470">
        <f t="shared" si="10"/>
        <v>-98178</v>
      </c>
      <c r="P42" s="460">
        <f>O42/$O$5</f>
        <v>-0.07917580645</v>
      </c>
      <c r="Q42" s="452"/>
    </row>
    <row r="43" ht="15.75" customHeight="1">
      <c r="A43" s="447" t="s">
        <v>44</v>
      </c>
      <c r="B43" s="447"/>
      <c r="C43" s="447"/>
      <c r="D43" s="447"/>
      <c r="E43" s="447"/>
      <c r="F43" s="447"/>
      <c r="G43" s="447"/>
      <c r="H43" s="447"/>
      <c r="I43" s="447"/>
      <c r="J43" s="447"/>
      <c r="K43" s="447"/>
      <c r="L43" s="447"/>
      <c r="M43" s="447"/>
      <c r="N43" s="447"/>
      <c r="O43" s="471">
        <f t="shared" ref="O43:O44" si="11">SUM(C43:N43)</f>
        <v>0</v>
      </c>
      <c r="P43" s="460"/>
      <c r="Q43" s="452"/>
    </row>
    <row r="44" ht="15.75" customHeight="1">
      <c r="A44" s="472" t="s">
        <v>45</v>
      </c>
      <c r="B44" s="472"/>
      <c r="C44" s="472"/>
      <c r="D44" s="472"/>
      <c r="E44" s="472"/>
      <c r="F44" s="472"/>
      <c r="G44" s="472"/>
      <c r="H44" s="472"/>
      <c r="I44" s="472"/>
      <c r="J44" s="472"/>
      <c r="K44" s="472"/>
      <c r="L44" s="472"/>
      <c r="M44" s="472"/>
      <c r="N44" s="472"/>
      <c r="O44" s="497">
        <f t="shared" si="11"/>
        <v>0</v>
      </c>
      <c r="P44" s="460"/>
      <c r="Q44" s="452"/>
    </row>
    <row r="45" ht="15.75" customHeight="1">
      <c r="A45" s="463" t="s">
        <v>157</v>
      </c>
      <c r="B45" s="463"/>
      <c r="C45" s="465">
        <f t="shared" ref="C45:O45" si="12">C42+C43-C44</f>
        <v>-236818</v>
      </c>
      <c r="D45" s="465">
        <f t="shared" si="12"/>
        <v>-236818</v>
      </c>
      <c r="E45" s="465">
        <f t="shared" si="12"/>
        <v>-236818</v>
      </c>
      <c r="F45" s="465">
        <f t="shared" si="12"/>
        <v>-236818</v>
      </c>
      <c r="G45" s="465">
        <f t="shared" si="12"/>
        <v>-236818</v>
      </c>
      <c r="H45" s="465">
        <f t="shared" si="12"/>
        <v>57728</v>
      </c>
      <c r="I45" s="465">
        <f t="shared" si="12"/>
        <v>57728</v>
      </c>
      <c r="J45" s="465">
        <f t="shared" si="12"/>
        <v>37728</v>
      </c>
      <c r="K45" s="465">
        <f t="shared" si="12"/>
        <v>37728</v>
      </c>
      <c r="L45" s="465">
        <f t="shared" si="12"/>
        <v>-35000</v>
      </c>
      <c r="M45" s="465">
        <f t="shared" si="12"/>
        <v>965000</v>
      </c>
      <c r="N45" s="465">
        <f t="shared" si="12"/>
        <v>-35000</v>
      </c>
      <c r="O45" s="465">
        <f t="shared" si="12"/>
        <v>-98178</v>
      </c>
      <c r="P45" s="460">
        <f t="shared" ref="P45:P47" si="13">O45/$O$5</f>
        <v>-0.07917580645</v>
      </c>
      <c r="Q45" s="452"/>
    </row>
    <row r="46" ht="15.75" customHeight="1">
      <c r="A46" s="463" t="s">
        <v>158</v>
      </c>
      <c r="B46" s="477">
        <v>0.33</v>
      </c>
      <c r="C46" s="465"/>
      <c r="D46" s="465"/>
      <c r="E46" s="465"/>
      <c r="F46" s="465"/>
      <c r="G46" s="465"/>
      <c r="H46" s="465"/>
      <c r="I46" s="465"/>
      <c r="J46" s="465"/>
      <c r="K46" s="465"/>
      <c r="L46" s="465"/>
      <c r="M46" s="465"/>
      <c r="N46" s="465"/>
      <c r="O46" s="465"/>
      <c r="P46" s="460">
        <f t="shared" si="13"/>
        <v>0</v>
      </c>
      <c r="Q46" s="452"/>
    </row>
    <row r="47" ht="15.75" customHeight="1">
      <c r="A47" s="463" t="s">
        <v>159</v>
      </c>
      <c r="B47" s="463"/>
      <c r="C47" s="465"/>
      <c r="D47" s="465"/>
      <c r="E47" s="465"/>
      <c r="F47" s="465"/>
      <c r="G47" s="465"/>
      <c r="H47" s="465"/>
      <c r="I47" s="465"/>
      <c r="J47" s="465"/>
      <c r="K47" s="465"/>
      <c r="L47" s="465"/>
      <c r="M47" s="465"/>
      <c r="N47" s="465"/>
      <c r="O47" s="465">
        <f>O45-O46</f>
        <v>-98178</v>
      </c>
      <c r="P47" s="460">
        <f t="shared" si="13"/>
        <v>-0.07917580645</v>
      </c>
      <c r="Q47" s="452"/>
    </row>
    <row r="48" ht="15.75" customHeight="1">
      <c r="A48" s="478"/>
      <c r="B48" s="452"/>
      <c r="C48" s="479"/>
      <c r="D48" s="479"/>
      <c r="E48" s="479"/>
      <c r="F48" s="479"/>
      <c r="G48" s="479"/>
      <c r="H48" s="479"/>
      <c r="I48" s="479"/>
      <c r="J48" s="479"/>
      <c r="K48" s="479"/>
      <c r="L48" s="479"/>
      <c r="M48" s="479"/>
      <c r="N48" s="479"/>
      <c r="O48" s="479"/>
      <c r="P48" s="452"/>
      <c r="Q48" s="452"/>
    </row>
    <row r="49" ht="15.75" customHeight="1">
      <c r="A49" s="478"/>
      <c r="B49" s="452"/>
      <c r="C49" s="457"/>
      <c r="D49" s="457"/>
      <c r="E49" s="457"/>
      <c r="F49" s="457"/>
      <c r="G49" s="457"/>
      <c r="H49" s="457"/>
      <c r="I49" s="457"/>
      <c r="J49" s="457"/>
      <c r="K49" s="457"/>
      <c r="L49" s="457"/>
      <c r="M49" s="457"/>
      <c r="N49" s="457"/>
      <c r="O49" s="457"/>
      <c r="P49" s="452"/>
      <c r="Q49" s="452"/>
    </row>
    <row r="50" ht="15.75" customHeight="1">
      <c r="A50" s="478" t="s">
        <v>116</v>
      </c>
      <c r="B50" s="508">
        <f>SUM(B4:B36)</f>
        <v>0.2</v>
      </c>
      <c r="C50" s="457"/>
      <c r="D50" s="457"/>
      <c r="E50" s="457"/>
      <c r="F50" s="457"/>
      <c r="G50" s="457"/>
      <c r="H50" s="457"/>
      <c r="I50" s="514" t="s">
        <v>286</v>
      </c>
      <c r="J50" s="457">
        <v>1.2266344E7</v>
      </c>
      <c r="K50" s="457"/>
      <c r="L50" s="457"/>
      <c r="M50" s="457"/>
      <c r="N50" s="457"/>
      <c r="O50" s="457"/>
      <c r="P50" s="452"/>
      <c r="Q50" s="452"/>
    </row>
    <row r="51" ht="15.75" customHeight="1">
      <c r="A51" s="478" t="s">
        <v>258</v>
      </c>
      <c r="B51" s="508">
        <f>100%-B50</f>
        <v>0.8</v>
      </c>
      <c r="C51" s="457"/>
      <c r="D51" s="457"/>
      <c r="E51" s="457"/>
      <c r="F51" s="457"/>
      <c r="G51" s="457"/>
      <c r="H51" s="457"/>
      <c r="I51" s="514" t="s">
        <v>287</v>
      </c>
      <c r="J51" s="457">
        <v>321334.0</v>
      </c>
      <c r="K51" s="457"/>
      <c r="L51" s="457"/>
      <c r="M51" s="457"/>
      <c r="N51" s="457"/>
      <c r="O51" s="457"/>
      <c r="P51" s="452"/>
      <c r="Q51" s="452"/>
    </row>
    <row r="52" ht="15.75" customHeight="1">
      <c r="A52" s="452"/>
      <c r="B52" s="452"/>
      <c r="C52" s="452"/>
      <c r="D52" s="452"/>
      <c r="E52" s="452"/>
      <c r="F52" s="452"/>
      <c r="G52" s="452"/>
      <c r="H52" s="452"/>
      <c r="I52" s="452"/>
      <c r="J52" s="452">
        <f>J51*5</f>
        <v>1606670</v>
      </c>
      <c r="K52" s="452"/>
      <c r="L52" s="452"/>
      <c r="M52" s="452"/>
      <c r="N52" s="452"/>
      <c r="O52" s="452"/>
      <c r="P52" s="452"/>
      <c r="Q52" s="452"/>
    </row>
    <row r="53" ht="15.75" customHeight="1">
      <c r="A53" s="452"/>
      <c r="C53" s="452"/>
      <c r="D53" s="452"/>
      <c r="E53" s="452"/>
      <c r="F53" s="452"/>
      <c r="G53" s="452"/>
      <c r="H53" s="452"/>
      <c r="I53" s="452"/>
      <c r="J53" s="515">
        <f>J50-J52</f>
        <v>10659674</v>
      </c>
      <c r="K53" s="452"/>
      <c r="L53" s="452"/>
      <c r="M53" s="452"/>
      <c r="N53" s="452"/>
      <c r="O53" s="452"/>
      <c r="P53" s="452"/>
      <c r="Q53" s="452"/>
    </row>
    <row r="54" ht="15.75" customHeight="1">
      <c r="A54" s="452"/>
      <c r="C54" s="452"/>
      <c r="D54" s="452"/>
      <c r="E54" s="452"/>
      <c r="F54" s="452"/>
      <c r="G54" s="452"/>
      <c r="H54" s="452"/>
      <c r="I54" s="452"/>
      <c r="J54" s="452"/>
      <c r="K54" s="452"/>
      <c r="L54" s="452"/>
      <c r="M54" s="452"/>
      <c r="N54" s="452"/>
      <c r="O54" s="452"/>
      <c r="P54" s="452"/>
      <c r="Q54" s="452"/>
    </row>
    <row r="55" ht="15.75" customHeight="1">
      <c r="A55" s="452"/>
      <c r="B55" s="516"/>
      <c r="C55" s="516"/>
      <c r="D55" s="516"/>
      <c r="E55" s="516"/>
      <c r="F55" s="516"/>
      <c r="G55" s="516"/>
      <c r="H55" s="516"/>
      <c r="I55" s="516"/>
      <c r="J55" s="516"/>
      <c r="K55" s="516"/>
      <c r="L55" s="516"/>
      <c r="M55" s="516"/>
      <c r="N55" s="452"/>
      <c r="O55" s="452"/>
      <c r="P55" s="452"/>
      <c r="Q55" s="452"/>
    </row>
    <row r="56" ht="15.75" customHeight="1">
      <c r="A56" s="452"/>
      <c r="D56" s="452"/>
      <c r="E56" s="452"/>
      <c r="F56" s="452"/>
      <c r="G56" s="452"/>
      <c r="H56" s="452"/>
      <c r="I56" s="452"/>
      <c r="J56" s="452"/>
      <c r="K56" s="452"/>
      <c r="L56" s="452"/>
      <c r="M56" s="452"/>
      <c r="N56" s="452"/>
      <c r="O56" s="452"/>
      <c r="P56" s="452"/>
      <c r="Q56" s="452"/>
    </row>
    <row r="57" ht="15.75" customHeight="1">
      <c r="A57" s="452"/>
      <c r="C57" s="452"/>
      <c r="D57" s="452"/>
      <c r="E57" s="452"/>
      <c r="F57" s="452"/>
      <c r="G57" s="452"/>
      <c r="H57" s="452"/>
      <c r="I57" s="452"/>
      <c r="J57" s="452"/>
      <c r="K57" s="452"/>
      <c r="L57" s="452"/>
      <c r="M57" s="452"/>
      <c r="N57" s="452"/>
      <c r="O57" s="452"/>
      <c r="P57" s="452"/>
      <c r="Q57" s="452"/>
    </row>
    <row r="58" ht="15.75" customHeight="1">
      <c r="B58" s="517"/>
      <c r="C58" s="517"/>
      <c r="D58" s="517"/>
      <c r="E58" s="517"/>
      <c r="F58" s="517"/>
      <c r="G58" s="517"/>
      <c r="H58" s="517"/>
      <c r="I58" s="517"/>
      <c r="J58" s="517"/>
      <c r="K58" s="517"/>
      <c r="L58" s="517"/>
      <c r="M58" s="517"/>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53:B53"/>
    <mergeCell ref="A54:B54"/>
    <mergeCell ref="A56:C56"/>
    <mergeCell ref="A57:B57"/>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3.71"/>
    <col customWidth="1" min="2" max="17" width="14.43"/>
  </cols>
  <sheetData>
    <row r="1" ht="15.75" customHeight="1">
      <c r="A1" s="447" t="s">
        <v>288</v>
      </c>
      <c r="B1" s="448" t="s">
        <v>116</v>
      </c>
      <c r="C1" s="449" t="s">
        <v>289</v>
      </c>
      <c r="D1" s="449" t="s">
        <v>290</v>
      </c>
      <c r="E1" s="449" t="s">
        <v>291</v>
      </c>
      <c r="F1" s="447" t="s">
        <v>292</v>
      </c>
      <c r="G1" s="447" t="s">
        <v>293</v>
      </c>
      <c r="H1" s="447" t="s">
        <v>294</v>
      </c>
      <c r="I1" s="447" t="s">
        <v>295</v>
      </c>
      <c r="J1" s="447" t="s">
        <v>296</v>
      </c>
      <c r="K1" s="447" t="s">
        <v>297</v>
      </c>
      <c r="L1" s="447" t="s">
        <v>298</v>
      </c>
      <c r="M1" s="447" t="s">
        <v>299</v>
      </c>
      <c r="N1" s="447" t="s">
        <v>300</v>
      </c>
      <c r="O1" s="447" t="s">
        <v>129</v>
      </c>
      <c r="P1" s="452"/>
      <c r="Q1" s="452"/>
    </row>
    <row r="2" ht="15.75" customHeight="1">
      <c r="A2" s="453"/>
      <c r="B2" s="454"/>
      <c r="C2" s="455"/>
      <c r="D2" s="455"/>
      <c r="E2" s="455"/>
      <c r="F2" s="455"/>
      <c r="G2" s="455"/>
      <c r="H2" s="455"/>
      <c r="I2" s="455"/>
      <c r="J2" s="455"/>
      <c r="K2" s="455"/>
      <c r="L2" s="455"/>
      <c r="M2" s="455"/>
      <c r="N2" s="455"/>
      <c r="O2" s="456">
        <f t="shared" ref="O2:O4" si="1">SUM(C2:N2)</f>
        <v>0</v>
      </c>
      <c r="P2" s="457"/>
      <c r="Q2" s="452"/>
    </row>
    <row r="3" ht="15.75" customHeight="1">
      <c r="A3" s="458" t="s">
        <v>130</v>
      </c>
      <c r="B3" s="458"/>
      <c r="C3" s="458"/>
      <c r="D3" s="458">
        <v>82000.0</v>
      </c>
      <c r="E3" s="458">
        <v>119363.0</v>
      </c>
      <c r="F3" s="458">
        <v>392130.0</v>
      </c>
      <c r="G3" s="458">
        <v>297878.0</v>
      </c>
      <c r="H3" s="512">
        <v>321334.0</v>
      </c>
      <c r="I3" s="458">
        <v>326856.0</v>
      </c>
      <c r="J3" s="458">
        <v>315769.0</v>
      </c>
      <c r="K3" s="458">
        <v>323164.0</v>
      </c>
      <c r="L3" s="458">
        <v>320194.0</v>
      </c>
      <c r="M3" s="458">
        <v>302222.0</v>
      </c>
      <c r="N3" s="458">
        <v>316667.0</v>
      </c>
      <c r="O3" s="459">
        <f t="shared" si="1"/>
        <v>3117577</v>
      </c>
      <c r="P3" s="518">
        <f t="shared" ref="P3:P4" si="2">O3/$O$3</f>
        <v>1</v>
      </c>
      <c r="Q3" s="519"/>
      <c r="R3" s="443"/>
      <c r="S3" s="443"/>
      <c r="T3" s="443"/>
      <c r="U3" s="443"/>
      <c r="V3" s="443"/>
      <c r="W3" s="443"/>
      <c r="X3" s="443"/>
      <c r="Y3" s="443"/>
      <c r="Z3" s="443"/>
    </row>
    <row r="4" ht="15.75" customHeight="1">
      <c r="A4" s="447" t="s">
        <v>131</v>
      </c>
      <c r="B4" s="461"/>
      <c r="C4" s="492"/>
      <c r="D4" s="492">
        <v>84310.0</v>
      </c>
      <c r="E4" s="492">
        <v>100227.0</v>
      </c>
      <c r="F4" s="492">
        <v>68268.0</v>
      </c>
      <c r="G4" s="492">
        <v>44669.0</v>
      </c>
      <c r="H4" s="492">
        <v>53656.0</v>
      </c>
      <c r="I4" s="492">
        <v>-25789.0</v>
      </c>
      <c r="J4" s="492">
        <v>68015.0</v>
      </c>
      <c r="K4" s="492">
        <v>9742.0</v>
      </c>
      <c r="L4" s="492">
        <v>153153.0</v>
      </c>
      <c r="M4" s="492">
        <v>79451.0</v>
      </c>
      <c r="N4" s="492">
        <v>9368.0</v>
      </c>
      <c r="O4" s="462">
        <f t="shared" si="1"/>
        <v>645070</v>
      </c>
      <c r="P4" s="460">
        <f t="shared" si="2"/>
        <v>0.206913895</v>
      </c>
      <c r="Q4" s="452"/>
    </row>
    <row r="5" ht="15.75" customHeight="1">
      <c r="A5" s="463" t="s">
        <v>132</v>
      </c>
      <c r="B5" s="464"/>
      <c r="C5" s="465">
        <f t="shared" ref="C5:O5" si="3">C2+C3-C4</f>
        <v>0</v>
      </c>
      <c r="D5" s="465">
        <f t="shared" si="3"/>
        <v>-2310</v>
      </c>
      <c r="E5" s="465">
        <f t="shared" si="3"/>
        <v>19136</v>
      </c>
      <c r="F5" s="465">
        <f t="shared" si="3"/>
        <v>323862</v>
      </c>
      <c r="G5" s="465">
        <f t="shared" si="3"/>
        <v>253209</v>
      </c>
      <c r="H5" s="465">
        <f t="shared" si="3"/>
        <v>267678</v>
      </c>
      <c r="I5" s="465">
        <f t="shared" si="3"/>
        <v>352645</v>
      </c>
      <c r="J5" s="465">
        <f t="shared" si="3"/>
        <v>247754</v>
      </c>
      <c r="K5" s="465">
        <f t="shared" si="3"/>
        <v>313422</v>
      </c>
      <c r="L5" s="465">
        <f t="shared" si="3"/>
        <v>167041</v>
      </c>
      <c r="M5" s="465">
        <f t="shared" si="3"/>
        <v>222771</v>
      </c>
      <c r="N5" s="465">
        <f t="shared" si="3"/>
        <v>307299</v>
      </c>
      <c r="O5" s="465">
        <f t="shared" si="3"/>
        <v>2472507</v>
      </c>
      <c r="P5" s="460"/>
      <c r="Q5" s="452"/>
    </row>
    <row r="6" ht="15.75" customHeight="1">
      <c r="A6" s="447"/>
      <c r="B6" s="447"/>
      <c r="C6" s="447"/>
      <c r="D6" s="447"/>
      <c r="E6" s="447"/>
      <c r="F6" s="447"/>
      <c r="G6" s="447"/>
      <c r="H6" s="447"/>
      <c r="I6" s="447"/>
      <c r="J6" s="447"/>
      <c r="K6" s="447"/>
      <c r="L6" s="447"/>
      <c r="M6" s="447"/>
      <c r="N6" s="447"/>
      <c r="O6" s="465">
        <f t="shared" ref="O6:O35" si="4">SUM(C6:N6)</f>
        <v>0</v>
      </c>
      <c r="P6" s="460"/>
      <c r="Q6" s="452"/>
    </row>
    <row r="7" ht="15.75" customHeight="1">
      <c r="A7" s="447" t="s">
        <v>133</v>
      </c>
      <c r="B7" s="447"/>
      <c r="C7" s="462"/>
      <c r="D7" s="462"/>
      <c r="E7" s="462"/>
      <c r="F7" s="462"/>
      <c r="G7" s="462"/>
      <c r="H7" s="462"/>
      <c r="I7" s="462"/>
      <c r="J7" s="462"/>
      <c r="K7" s="462"/>
      <c r="L7" s="462"/>
      <c r="M7" s="462"/>
      <c r="N7" s="462"/>
      <c r="O7" s="462">
        <f t="shared" si="4"/>
        <v>0</v>
      </c>
      <c r="P7" s="460">
        <f>O7/$O$5</f>
        <v>0</v>
      </c>
      <c r="Q7" s="452"/>
    </row>
    <row r="8" ht="15.75" customHeight="1">
      <c r="A8" s="447" t="s">
        <v>134</v>
      </c>
      <c r="B8" s="447"/>
      <c r="C8" s="462"/>
      <c r="D8" s="462"/>
      <c r="E8" s="462"/>
      <c r="F8" s="462"/>
      <c r="G8" s="462"/>
      <c r="H8" s="507"/>
      <c r="I8" s="462"/>
      <c r="J8" s="462"/>
      <c r="K8" s="462"/>
      <c r="L8" s="462"/>
      <c r="M8" s="462"/>
      <c r="N8" s="462"/>
      <c r="O8" s="462">
        <f t="shared" si="4"/>
        <v>0</v>
      </c>
      <c r="P8" s="460"/>
      <c r="Q8" s="452"/>
    </row>
    <row r="9" ht="15.75" customHeight="1">
      <c r="A9" s="447" t="s">
        <v>135</v>
      </c>
      <c r="B9" s="461"/>
      <c r="C9" s="459"/>
      <c r="D9" s="459"/>
      <c r="E9" s="459"/>
      <c r="F9" s="459"/>
      <c r="G9" s="459"/>
      <c r="H9" s="507"/>
      <c r="I9" s="459"/>
      <c r="J9" s="459"/>
      <c r="K9" s="459"/>
      <c r="L9" s="459"/>
      <c r="M9" s="459"/>
      <c r="N9" s="459"/>
      <c r="O9" s="459">
        <f t="shared" si="4"/>
        <v>0</v>
      </c>
      <c r="P9" s="460">
        <f>O9/$O$5</f>
        <v>0</v>
      </c>
      <c r="Q9" s="452"/>
    </row>
    <row r="10" ht="15.75" customHeight="1">
      <c r="A10" s="447" t="s">
        <v>29</v>
      </c>
      <c r="B10" s="461">
        <v>0.0</v>
      </c>
      <c r="C10" s="462">
        <v>54574.0</v>
      </c>
      <c r="D10" s="462"/>
      <c r="E10" s="462"/>
      <c r="F10" s="462"/>
      <c r="G10" s="462"/>
      <c r="H10" s="507"/>
      <c r="I10" s="462"/>
      <c r="J10" s="462"/>
      <c r="K10" s="462"/>
      <c r="L10" s="462"/>
      <c r="M10" s="462"/>
      <c r="N10" s="462"/>
      <c r="O10" s="462">
        <f t="shared" si="4"/>
        <v>54574</v>
      </c>
      <c r="P10" s="460"/>
      <c r="Q10" s="452"/>
    </row>
    <row r="11" ht="15.75" customHeight="1">
      <c r="A11" s="447" t="s">
        <v>30</v>
      </c>
      <c r="B11" s="447"/>
      <c r="C11" s="447"/>
      <c r="D11" s="447"/>
      <c r="E11" s="447"/>
      <c r="F11" s="447"/>
      <c r="G11" s="447"/>
      <c r="I11" s="447"/>
      <c r="J11" s="447"/>
      <c r="K11" s="447"/>
      <c r="L11" s="447"/>
      <c r="M11" s="447"/>
      <c r="N11" s="447"/>
      <c r="O11" s="471">
        <f t="shared" si="4"/>
        <v>0</v>
      </c>
      <c r="P11" s="460"/>
      <c r="Q11" s="452"/>
    </row>
    <row r="12" ht="15.75" customHeight="1">
      <c r="A12" s="447" t="s">
        <v>136</v>
      </c>
      <c r="B12" s="447"/>
      <c r="C12" s="462">
        <v>181818.0</v>
      </c>
      <c r="D12" s="462">
        <v>181818.0</v>
      </c>
      <c r="E12" s="462">
        <v>181818.0</v>
      </c>
      <c r="F12" s="462">
        <v>227273.0</v>
      </c>
      <c r="G12" s="462">
        <v>227273.0</v>
      </c>
      <c r="H12" s="462">
        <v>227273.0</v>
      </c>
      <c r="I12" s="462">
        <v>272727.0</v>
      </c>
      <c r="J12" s="462">
        <v>272727.0</v>
      </c>
      <c r="K12" s="462">
        <v>272727.0</v>
      </c>
      <c r="L12" s="462">
        <v>272727.0</v>
      </c>
      <c r="M12" s="462">
        <v>272727.0</v>
      </c>
      <c r="N12" s="462">
        <v>272727.0</v>
      </c>
      <c r="O12" s="462">
        <f t="shared" si="4"/>
        <v>2863635</v>
      </c>
      <c r="P12" s="460"/>
      <c r="Q12" s="452"/>
    </row>
    <row r="13" ht="15.75" customHeight="1">
      <c r="A13" s="447" t="s">
        <v>137</v>
      </c>
      <c r="B13" s="461"/>
      <c r="C13" s="462"/>
      <c r="D13" s="462"/>
      <c r="E13" s="462"/>
      <c r="F13" s="462"/>
      <c r="G13" s="462"/>
      <c r="H13" s="462"/>
      <c r="I13" s="462"/>
      <c r="J13" s="462"/>
      <c r="K13" s="462"/>
      <c r="L13" s="462"/>
      <c r="M13" s="462"/>
      <c r="N13" s="462"/>
      <c r="O13" s="462">
        <f t="shared" si="4"/>
        <v>0</v>
      </c>
      <c r="P13" s="460"/>
      <c r="Q13" s="452"/>
    </row>
    <row r="14" ht="15.75" customHeight="1">
      <c r="A14" s="447" t="s">
        <v>138</v>
      </c>
      <c r="B14" s="447"/>
      <c r="C14" s="462"/>
      <c r="D14" s="462"/>
      <c r="E14" s="462"/>
      <c r="F14" s="462"/>
      <c r="G14" s="462"/>
      <c r="H14" s="507"/>
      <c r="I14" s="462"/>
      <c r="J14" s="462"/>
      <c r="K14" s="462"/>
      <c r="L14" s="462"/>
      <c r="M14" s="462"/>
      <c r="N14" s="462"/>
      <c r="O14" s="462">
        <f t="shared" si="4"/>
        <v>0</v>
      </c>
      <c r="P14" s="460"/>
      <c r="Q14" s="452"/>
    </row>
    <row r="15" ht="15.75" customHeight="1">
      <c r="A15" s="447" t="s">
        <v>139</v>
      </c>
      <c r="B15" s="447"/>
      <c r="C15" s="462"/>
      <c r="D15" s="462"/>
      <c r="E15" s="462"/>
      <c r="F15" s="462"/>
      <c r="G15" s="462"/>
      <c r="H15" s="462"/>
      <c r="I15" s="462"/>
      <c r="J15" s="462"/>
      <c r="K15" s="462"/>
      <c r="L15" s="462"/>
      <c r="M15" s="462"/>
      <c r="N15" s="462"/>
      <c r="O15" s="462">
        <f t="shared" si="4"/>
        <v>0</v>
      </c>
      <c r="P15" s="460">
        <f>O15/$O$5</f>
        <v>0</v>
      </c>
      <c r="Q15" s="452"/>
    </row>
    <row r="16" ht="15.75" customHeight="1">
      <c r="A16" s="447" t="s">
        <v>255</v>
      </c>
      <c r="B16" s="447"/>
      <c r="C16" s="462"/>
      <c r="D16" s="462"/>
      <c r="E16" s="462"/>
      <c r="F16" s="462"/>
      <c r="G16" s="462"/>
      <c r="H16" s="462"/>
      <c r="I16" s="462"/>
      <c r="J16" s="462"/>
      <c r="K16" s="462"/>
      <c r="L16" s="462"/>
      <c r="M16" s="462"/>
      <c r="N16" s="462"/>
      <c r="O16" s="462">
        <f t="shared" si="4"/>
        <v>0</v>
      </c>
      <c r="P16" s="460"/>
      <c r="Q16" s="452"/>
    </row>
    <row r="17" ht="15.75" customHeight="1">
      <c r="A17" s="447" t="s">
        <v>141</v>
      </c>
      <c r="B17" s="447"/>
      <c r="C17" s="462"/>
      <c r="D17" s="462"/>
      <c r="E17" s="462"/>
      <c r="F17" s="462"/>
      <c r="G17" s="462"/>
      <c r="H17" s="462"/>
      <c r="I17" s="462"/>
      <c r="J17" s="462"/>
      <c r="K17" s="462"/>
      <c r="L17" s="462"/>
      <c r="M17" s="462"/>
      <c r="N17" s="462"/>
      <c r="O17" s="462">
        <f t="shared" si="4"/>
        <v>0</v>
      </c>
      <c r="P17" s="460">
        <f>O17/$O$5</f>
        <v>0</v>
      </c>
      <c r="Q17" s="452"/>
    </row>
    <row r="18" ht="15.75" customHeight="1">
      <c r="A18" s="447" t="s">
        <v>142</v>
      </c>
      <c r="B18" s="447"/>
      <c r="C18" s="462"/>
      <c r="D18" s="462"/>
      <c r="E18" s="462"/>
      <c r="F18" s="462"/>
      <c r="G18" s="462"/>
      <c r="H18" s="462"/>
      <c r="I18" s="462"/>
      <c r="J18" s="462"/>
      <c r="K18" s="462"/>
      <c r="L18" s="462"/>
      <c r="M18" s="462"/>
      <c r="N18" s="462"/>
      <c r="O18" s="462">
        <f t="shared" si="4"/>
        <v>0</v>
      </c>
      <c r="P18" s="460"/>
      <c r="Q18" s="452"/>
    </row>
    <row r="19" ht="15.75" customHeight="1">
      <c r="A19" s="447" t="s">
        <v>143</v>
      </c>
      <c r="B19" s="447"/>
      <c r="C19" s="462"/>
      <c r="D19" s="462"/>
      <c r="E19" s="462"/>
      <c r="F19" s="462"/>
      <c r="G19" s="462"/>
      <c r="H19" s="462"/>
      <c r="I19" s="462"/>
      <c r="J19" s="462"/>
      <c r="K19" s="462"/>
      <c r="L19" s="462"/>
      <c r="M19" s="462"/>
      <c r="N19" s="462"/>
      <c r="O19" s="462">
        <f t="shared" si="4"/>
        <v>0</v>
      </c>
      <c r="P19" s="460">
        <f>O19/$O$5</f>
        <v>0</v>
      </c>
      <c r="Q19" s="452"/>
    </row>
    <row r="20" ht="15.75" customHeight="1">
      <c r="A20" s="447" t="s">
        <v>144</v>
      </c>
      <c r="B20" s="447"/>
      <c r="C20" s="462"/>
      <c r="D20" s="462"/>
      <c r="E20" s="462"/>
      <c r="F20" s="462"/>
      <c r="G20" s="462"/>
      <c r="H20" s="462"/>
      <c r="I20" s="462"/>
      <c r="J20" s="462"/>
      <c r="K20" s="462"/>
      <c r="L20" s="462"/>
      <c r="M20" s="462"/>
      <c r="N20" s="462"/>
      <c r="O20" s="462">
        <f t="shared" si="4"/>
        <v>0</v>
      </c>
      <c r="P20" s="460"/>
      <c r="Q20" s="452"/>
    </row>
    <row r="21" ht="15.75" customHeight="1">
      <c r="A21" s="447" t="s">
        <v>145</v>
      </c>
      <c r="B21" s="447"/>
      <c r="C21" s="462"/>
      <c r="D21" s="462"/>
      <c r="E21" s="462"/>
      <c r="F21" s="462"/>
      <c r="G21" s="462"/>
      <c r="H21" s="462"/>
      <c r="I21" s="462"/>
      <c r="J21" s="462"/>
      <c r="K21" s="462"/>
      <c r="L21" s="462"/>
      <c r="M21" s="462"/>
      <c r="N21" s="462"/>
      <c r="O21" s="462">
        <f t="shared" si="4"/>
        <v>0</v>
      </c>
      <c r="P21" s="460"/>
      <c r="Q21" s="452"/>
    </row>
    <row r="22" ht="15.75" customHeight="1">
      <c r="A22" s="447" t="s">
        <v>33</v>
      </c>
      <c r="B22" s="447"/>
      <c r="C22" s="462"/>
      <c r="D22" s="462"/>
      <c r="E22" s="462"/>
      <c r="F22" s="462"/>
      <c r="G22" s="462"/>
      <c r="H22" s="462"/>
      <c r="I22" s="462"/>
      <c r="J22" s="462"/>
      <c r="K22" s="462"/>
      <c r="L22" s="462"/>
      <c r="M22" s="462"/>
      <c r="N22" s="462"/>
      <c r="O22" s="462">
        <f t="shared" si="4"/>
        <v>0</v>
      </c>
      <c r="P22" s="460"/>
      <c r="Q22" s="452"/>
    </row>
    <row r="23" ht="15.75" customHeight="1">
      <c r="A23" s="447" t="s">
        <v>146</v>
      </c>
      <c r="B23" s="447"/>
      <c r="C23" s="462"/>
      <c r="D23" s="462"/>
      <c r="E23" s="462"/>
      <c r="F23" s="462"/>
      <c r="G23" s="462"/>
      <c r="H23" s="462"/>
      <c r="I23" s="462"/>
      <c r="J23" s="462"/>
      <c r="K23" s="462"/>
      <c r="L23" s="462"/>
      <c r="M23" s="462"/>
      <c r="N23" s="462"/>
      <c r="O23" s="462">
        <f t="shared" si="4"/>
        <v>0</v>
      </c>
      <c r="P23" s="460"/>
      <c r="Q23" s="452"/>
    </row>
    <row r="24" ht="15.75" customHeight="1">
      <c r="A24" s="447" t="s">
        <v>147</v>
      </c>
      <c r="B24" s="447"/>
      <c r="C24" s="462"/>
      <c r="D24" s="462"/>
      <c r="E24" s="462"/>
      <c r="F24" s="462"/>
      <c r="G24" s="462"/>
      <c r="H24" s="462"/>
      <c r="I24" s="462"/>
      <c r="J24" s="462"/>
      <c r="K24" s="462"/>
      <c r="L24" s="462"/>
      <c r="M24" s="462"/>
      <c r="N24" s="462"/>
      <c r="O24" s="462">
        <f t="shared" si="4"/>
        <v>0</v>
      </c>
      <c r="P24" s="460"/>
      <c r="Q24" s="452"/>
    </row>
    <row r="25" ht="15.75" customHeight="1">
      <c r="A25" s="447" t="s">
        <v>35</v>
      </c>
      <c r="B25" s="467"/>
      <c r="C25" s="467"/>
      <c r="D25" s="447"/>
      <c r="E25" s="447"/>
      <c r="F25" s="447"/>
      <c r="G25" s="447"/>
      <c r="H25" s="447"/>
      <c r="I25" s="447"/>
      <c r="J25" s="447"/>
      <c r="K25" s="447"/>
      <c r="L25" s="447"/>
      <c r="M25" s="447"/>
      <c r="N25" s="447"/>
      <c r="O25" s="471">
        <f t="shared" si="4"/>
        <v>0</v>
      </c>
      <c r="P25" s="460"/>
      <c r="Q25" s="452"/>
    </row>
    <row r="26" ht="15.75" customHeight="1">
      <c r="A26" s="447" t="s">
        <v>148</v>
      </c>
      <c r="B26" s="461">
        <v>0.0</v>
      </c>
      <c r="C26" s="492"/>
      <c r="D26" s="492"/>
      <c r="E26" s="492"/>
      <c r="F26" s="492"/>
      <c r="G26" s="492"/>
      <c r="H26" s="492"/>
      <c r="I26" s="492"/>
      <c r="J26" s="492"/>
      <c r="K26" s="492"/>
      <c r="L26" s="492"/>
      <c r="M26" s="492"/>
      <c r="N26" s="492"/>
      <c r="O26" s="462">
        <f t="shared" si="4"/>
        <v>0</v>
      </c>
      <c r="P26" s="460"/>
      <c r="Q26" s="452"/>
    </row>
    <row r="27" ht="15.75" customHeight="1">
      <c r="A27" s="447" t="s">
        <v>34</v>
      </c>
      <c r="B27" s="461">
        <v>0.0</v>
      </c>
      <c r="C27" s="492"/>
      <c r="D27" s="492"/>
      <c r="E27" s="492"/>
      <c r="F27" s="492"/>
      <c r="G27" s="492"/>
      <c r="H27" s="492"/>
      <c r="I27" s="492"/>
      <c r="J27" s="492"/>
      <c r="K27" s="492"/>
      <c r="L27" s="492">
        <v>64507.0</v>
      </c>
      <c r="M27" s="492">
        <v>10207.0</v>
      </c>
      <c r="N27" s="492">
        <v>9232.0</v>
      </c>
      <c r="O27" s="462">
        <f t="shared" si="4"/>
        <v>83946</v>
      </c>
      <c r="P27" s="460">
        <f>O27/$O$5</f>
        <v>0.03395177445</v>
      </c>
      <c r="Q27" s="452"/>
    </row>
    <row r="28" ht="15.75" customHeight="1">
      <c r="A28" s="447" t="s">
        <v>149</v>
      </c>
      <c r="B28" s="467"/>
      <c r="C28" s="467"/>
      <c r="D28" s="447">
        <v>4000.0</v>
      </c>
      <c r="E28" s="447"/>
      <c r="F28" s="447">
        <v>1000.0</v>
      </c>
      <c r="G28" s="447"/>
      <c r="H28" s="447"/>
      <c r="I28" s="447"/>
      <c r="J28" s="447"/>
      <c r="K28" s="447">
        <v>600.0</v>
      </c>
      <c r="L28" s="447"/>
      <c r="M28" s="447"/>
      <c r="N28" s="447"/>
      <c r="O28" s="471">
        <f t="shared" si="4"/>
        <v>5600</v>
      </c>
      <c r="P28" s="460"/>
      <c r="Q28" s="452"/>
    </row>
    <row r="29" ht="15.75" customHeight="1">
      <c r="A29" s="447" t="s">
        <v>150</v>
      </c>
      <c r="B29" s="468"/>
      <c r="C29" s="492"/>
      <c r="D29" s="462"/>
      <c r="E29" s="462"/>
      <c r="F29" s="462"/>
      <c r="G29" s="462"/>
      <c r="H29" s="462"/>
      <c r="I29" s="462"/>
      <c r="J29" s="462"/>
      <c r="K29" s="462"/>
      <c r="L29" s="462"/>
      <c r="M29" s="462"/>
      <c r="N29" s="462"/>
      <c r="O29" s="462">
        <f t="shared" si="4"/>
        <v>0</v>
      </c>
      <c r="P29" s="460"/>
      <c r="Q29" s="452"/>
    </row>
    <row r="30" ht="15.75" customHeight="1">
      <c r="A30" s="447" t="s">
        <v>36</v>
      </c>
      <c r="B30" s="461">
        <v>0.0</v>
      </c>
      <c r="C30" s="462">
        <v>5800.0</v>
      </c>
      <c r="D30" s="462">
        <v>5600.0</v>
      </c>
      <c r="E30" s="462">
        <v>5900.0</v>
      </c>
      <c r="F30" s="462">
        <v>3350.0</v>
      </c>
      <c r="G30" s="462">
        <v>2600.0</v>
      </c>
      <c r="H30" s="507">
        <v>2250.0</v>
      </c>
      <c r="I30" s="462">
        <v>2150.0</v>
      </c>
      <c r="J30" s="462">
        <v>2150.0</v>
      </c>
      <c r="K30" s="462">
        <v>1800.0</v>
      </c>
      <c r="L30" s="462">
        <v>2200.0</v>
      </c>
      <c r="M30" s="462">
        <v>2850.0</v>
      </c>
      <c r="N30" s="462">
        <v>2400.0</v>
      </c>
      <c r="O30" s="462">
        <f t="shared" si="4"/>
        <v>39050</v>
      </c>
      <c r="P30" s="460"/>
      <c r="Q30" s="452"/>
    </row>
    <row r="31" ht="15.75" customHeight="1">
      <c r="A31" s="447" t="s">
        <v>151</v>
      </c>
      <c r="B31" s="447"/>
      <c r="C31" s="462"/>
      <c r="D31" s="462"/>
      <c r="E31" s="462"/>
      <c r="F31" s="462"/>
      <c r="G31" s="462"/>
      <c r="H31" s="462"/>
      <c r="I31" s="462"/>
      <c r="J31" s="462"/>
      <c r="K31" s="462"/>
      <c r="L31" s="462"/>
      <c r="M31" s="462"/>
      <c r="N31" s="462"/>
      <c r="O31" s="462">
        <f t="shared" si="4"/>
        <v>0</v>
      </c>
      <c r="P31" s="460"/>
      <c r="Q31" s="452"/>
    </row>
    <row r="32" ht="15.75" customHeight="1">
      <c r="A32" s="447" t="s">
        <v>152</v>
      </c>
      <c r="B32" s="461"/>
      <c r="C32" s="462"/>
      <c r="D32" s="462"/>
      <c r="E32" s="462"/>
      <c r="F32" s="462"/>
      <c r="G32" s="462"/>
      <c r="H32" s="462"/>
      <c r="I32" s="462"/>
      <c r="J32" s="462"/>
      <c r="K32" s="462"/>
      <c r="L32" s="462"/>
      <c r="M32" s="462"/>
      <c r="N32" s="462"/>
      <c r="O32" s="462">
        <f t="shared" si="4"/>
        <v>0</v>
      </c>
      <c r="P32" s="460"/>
      <c r="Q32" s="452"/>
    </row>
    <row r="33" ht="15.75" customHeight="1">
      <c r="A33" s="447" t="s">
        <v>256</v>
      </c>
      <c r="B33" s="461">
        <v>0.0</v>
      </c>
      <c r="C33" s="462"/>
      <c r="D33" s="462"/>
      <c r="E33" s="462"/>
      <c r="F33" s="462"/>
      <c r="G33" s="462"/>
      <c r="H33" s="462"/>
      <c r="I33" s="462"/>
      <c r="J33" s="462"/>
      <c r="K33" s="462"/>
      <c r="L33" s="462"/>
      <c r="M33" s="462"/>
      <c r="N33" s="462"/>
      <c r="O33" s="462">
        <f t="shared" si="4"/>
        <v>0</v>
      </c>
      <c r="P33" s="460"/>
      <c r="Q33" s="452"/>
    </row>
    <row r="34" ht="15.75" customHeight="1">
      <c r="A34" s="447" t="s">
        <v>257</v>
      </c>
      <c r="B34" s="461"/>
      <c r="C34" s="462">
        <v>50000.0</v>
      </c>
      <c r="D34" s="462">
        <v>30000.0</v>
      </c>
      <c r="E34" s="462">
        <v>130000.0</v>
      </c>
      <c r="F34" s="462">
        <v>30000.0</v>
      </c>
      <c r="G34" s="462">
        <v>30000.0</v>
      </c>
      <c r="H34" s="462">
        <v>30000.0</v>
      </c>
      <c r="I34" s="462">
        <v>30000.0</v>
      </c>
      <c r="J34" s="462">
        <v>30000.0</v>
      </c>
      <c r="K34" s="462">
        <v>30000.0</v>
      </c>
      <c r="L34" s="462">
        <v>30000.0</v>
      </c>
      <c r="M34" s="462">
        <v>30000.0</v>
      </c>
      <c r="N34" s="462">
        <v>30000.0</v>
      </c>
      <c r="O34" s="462">
        <f t="shared" si="4"/>
        <v>480000</v>
      </c>
      <c r="P34" s="460">
        <f>O34/$O$5</f>
        <v>0.1941349408</v>
      </c>
      <c r="Q34" s="452"/>
    </row>
    <row r="35" ht="15.75" customHeight="1">
      <c r="A35" s="447" t="s">
        <v>241</v>
      </c>
      <c r="B35" s="447"/>
      <c r="C35" s="462"/>
      <c r="D35" s="462"/>
      <c r="E35" s="462"/>
      <c r="F35" s="462"/>
      <c r="G35" s="462"/>
      <c r="H35" s="462"/>
      <c r="I35" s="462"/>
      <c r="J35" s="462"/>
      <c r="K35" s="462"/>
      <c r="L35" s="462">
        <v>17428.0</v>
      </c>
      <c r="M35" s="462"/>
      <c r="N35" s="462"/>
      <c r="O35" s="462">
        <f t="shared" si="4"/>
        <v>17428</v>
      </c>
      <c r="P35" s="460"/>
      <c r="Q35" s="452"/>
    </row>
    <row r="36" ht="15.75" customHeight="1">
      <c r="A36" s="447"/>
      <c r="B36" s="447"/>
      <c r="C36" s="447"/>
      <c r="D36" s="447"/>
      <c r="E36" s="447"/>
      <c r="F36" s="447"/>
      <c r="G36" s="447"/>
      <c r="H36" s="447"/>
      <c r="I36" s="447"/>
      <c r="J36" s="447"/>
      <c r="K36" s="447"/>
      <c r="L36" s="447"/>
      <c r="M36" s="447"/>
      <c r="N36" s="447"/>
      <c r="O36" s="471"/>
      <c r="P36" s="460"/>
      <c r="Q36" s="452"/>
    </row>
    <row r="37" ht="15.75" customHeight="1">
      <c r="A37" s="447" t="s">
        <v>153</v>
      </c>
      <c r="B37" s="447"/>
      <c r="C37" s="462">
        <f t="shared" ref="C37:O37" si="5">SUM(C7:C36)</f>
        <v>292192</v>
      </c>
      <c r="D37" s="462">
        <f t="shared" si="5"/>
        <v>221418</v>
      </c>
      <c r="E37" s="462">
        <f t="shared" si="5"/>
        <v>317718</v>
      </c>
      <c r="F37" s="462">
        <f t="shared" si="5"/>
        <v>261623</v>
      </c>
      <c r="G37" s="462">
        <f t="shared" si="5"/>
        <v>259873</v>
      </c>
      <c r="H37" s="462">
        <f t="shared" si="5"/>
        <v>259523</v>
      </c>
      <c r="I37" s="462">
        <f t="shared" si="5"/>
        <v>304877</v>
      </c>
      <c r="J37" s="462">
        <f t="shared" si="5"/>
        <v>304877</v>
      </c>
      <c r="K37" s="462">
        <f t="shared" si="5"/>
        <v>305127</v>
      </c>
      <c r="L37" s="462">
        <f t="shared" si="5"/>
        <v>386862</v>
      </c>
      <c r="M37" s="462">
        <f t="shared" si="5"/>
        <v>315784</v>
      </c>
      <c r="N37" s="462">
        <f t="shared" si="5"/>
        <v>314359</v>
      </c>
      <c r="O37" s="462">
        <f t="shared" si="5"/>
        <v>3544233</v>
      </c>
      <c r="P37" s="460">
        <f t="shared" ref="P37:P38" si="7">O37/$O$5</f>
        <v>1.433457216</v>
      </c>
      <c r="Q37" s="452"/>
    </row>
    <row r="38" ht="15.75" customHeight="1">
      <c r="A38" s="463" t="s">
        <v>40</v>
      </c>
      <c r="B38" s="463"/>
      <c r="C38" s="465">
        <f t="shared" ref="C38:O38" si="6">C5-C37</f>
        <v>-292192</v>
      </c>
      <c r="D38" s="465">
        <f t="shared" si="6"/>
        <v>-223728</v>
      </c>
      <c r="E38" s="465">
        <f t="shared" si="6"/>
        <v>-298582</v>
      </c>
      <c r="F38" s="465">
        <f t="shared" si="6"/>
        <v>62239</v>
      </c>
      <c r="G38" s="465">
        <f t="shared" si="6"/>
        <v>-6664</v>
      </c>
      <c r="H38" s="465">
        <f t="shared" si="6"/>
        <v>8155</v>
      </c>
      <c r="I38" s="465">
        <f t="shared" si="6"/>
        <v>47768</v>
      </c>
      <c r="J38" s="465">
        <f t="shared" si="6"/>
        <v>-57123</v>
      </c>
      <c r="K38" s="465">
        <f t="shared" si="6"/>
        <v>8295</v>
      </c>
      <c r="L38" s="465">
        <f t="shared" si="6"/>
        <v>-219821</v>
      </c>
      <c r="M38" s="465">
        <f t="shared" si="6"/>
        <v>-93013</v>
      </c>
      <c r="N38" s="465">
        <f t="shared" si="6"/>
        <v>-7060</v>
      </c>
      <c r="O38" s="465">
        <f t="shared" si="6"/>
        <v>-1071726</v>
      </c>
      <c r="P38" s="460">
        <f t="shared" si="7"/>
        <v>-0.4334572157</v>
      </c>
      <c r="Q38" s="452"/>
    </row>
    <row r="39" ht="15.75" customHeight="1">
      <c r="A39" s="447" t="s">
        <v>154</v>
      </c>
      <c r="B39" s="447"/>
      <c r="C39" s="462"/>
      <c r="D39" s="462"/>
      <c r="E39" s="462"/>
      <c r="F39" s="462"/>
      <c r="G39" s="462"/>
      <c r="H39" s="462"/>
      <c r="I39" s="462"/>
      <c r="J39" s="462"/>
      <c r="K39" s="462"/>
      <c r="L39" s="462"/>
      <c r="M39" s="462"/>
      <c r="N39" s="462"/>
      <c r="O39" s="462">
        <f t="shared" ref="O39:O41" si="8">SUM(C39:N39)</f>
        <v>0</v>
      </c>
      <c r="P39" s="460"/>
      <c r="Q39" s="452"/>
    </row>
    <row r="40" ht="15.75" customHeight="1">
      <c r="A40" s="447" t="s">
        <v>155</v>
      </c>
      <c r="B40" s="447"/>
      <c r="C40" s="447"/>
      <c r="D40" s="447"/>
      <c r="E40" s="462"/>
      <c r="F40" s="447"/>
      <c r="G40" s="447"/>
      <c r="H40" s="447"/>
      <c r="I40" s="447"/>
      <c r="J40" s="447"/>
      <c r="K40" s="447"/>
      <c r="L40" s="447"/>
      <c r="M40" s="447"/>
      <c r="N40" s="447"/>
      <c r="O40" s="471">
        <f t="shared" si="8"/>
        <v>0</v>
      </c>
      <c r="P40" s="460"/>
      <c r="Q40" s="452"/>
    </row>
    <row r="41" ht="15.75" customHeight="1">
      <c r="A41" s="447" t="s">
        <v>156</v>
      </c>
      <c r="B41" s="447"/>
      <c r="C41" s="447">
        <v>200000.0</v>
      </c>
      <c r="D41" s="447">
        <v>200034.0</v>
      </c>
      <c r="E41" s="447">
        <v>200000.0</v>
      </c>
      <c r="F41" s="447">
        <v>400000.0</v>
      </c>
      <c r="G41" s="447"/>
      <c r="H41" s="447"/>
      <c r="I41" s="447"/>
      <c r="J41" s="447">
        <v>30.0</v>
      </c>
      <c r="K41" s="447"/>
      <c r="L41" s="447"/>
      <c r="M41" s="447">
        <v>1000000.0</v>
      </c>
      <c r="N41" s="447"/>
      <c r="O41" s="471">
        <f t="shared" si="8"/>
        <v>2000064</v>
      </c>
      <c r="P41" s="460"/>
      <c r="Q41" s="452"/>
    </row>
    <row r="42" ht="15.75" customHeight="1">
      <c r="A42" s="463" t="s">
        <v>43</v>
      </c>
      <c r="B42" s="463"/>
      <c r="C42" s="465">
        <f t="shared" ref="C42:O42" si="9">C38-C39-C40+C41</f>
        <v>-92192</v>
      </c>
      <c r="D42" s="465">
        <f t="shared" si="9"/>
        <v>-23694</v>
      </c>
      <c r="E42" s="465">
        <f t="shared" si="9"/>
        <v>-98582</v>
      </c>
      <c r="F42" s="465">
        <f t="shared" si="9"/>
        <v>462239</v>
      </c>
      <c r="G42" s="465">
        <f t="shared" si="9"/>
        <v>-6664</v>
      </c>
      <c r="H42" s="465">
        <f t="shared" si="9"/>
        <v>8155</v>
      </c>
      <c r="I42" s="465">
        <f t="shared" si="9"/>
        <v>47768</v>
      </c>
      <c r="J42" s="465">
        <f t="shared" si="9"/>
        <v>-57093</v>
      </c>
      <c r="K42" s="465">
        <f t="shared" si="9"/>
        <v>8295</v>
      </c>
      <c r="L42" s="465">
        <f t="shared" si="9"/>
        <v>-219821</v>
      </c>
      <c r="M42" s="465">
        <f t="shared" si="9"/>
        <v>906987</v>
      </c>
      <c r="N42" s="465">
        <f t="shared" si="9"/>
        <v>-7060</v>
      </c>
      <c r="O42" s="470">
        <f t="shared" si="9"/>
        <v>928338</v>
      </c>
      <c r="P42" s="460">
        <f>O42/$O$5</f>
        <v>0.3754642555</v>
      </c>
      <c r="Q42" s="452"/>
    </row>
    <row r="43" ht="15.75" customHeight="1">
      <c r="A43" s="447" t="s">
        <v>44</v>
      </c>
      <c r="B43" s="447"/>
      <c r="C43" s="447"/>
      <c r="D43" s="447"/>
      <c r="E43" s="447"/>
      <c r="F43" s="447"/>
      <c r="G43" s="447"/>
      <c r="H43" s="447"/>
      <c r="I43" s="447"/>
      <c r="J43" s="447"/>
      <c r="K43" s="447"/>
      <c r="L43" s="447"/>
      <c r="M43" s="447"/>
      <c r="N43" s="447"/>
      <c r="O43" s="471">
        <f t="shared" ref="O43:O44" si="10">SUM(C43:N43)</f>
        <v>0</v>
      </c>
      <c r="P43" s="460"/>
      <c r="Q43" s="452"/>
    </row>
    <row r="44" ht="15.75" customHeight="1">
      <c r="A44" s="472" t="s">
        <v>45</v>
      </c>
      <c r="B44" s="472"/>
      <c r="C44" s="472"/>
      <c r="D44" s="472"/>
      <c r="E44" s="472"/>
      <c r="F44" s="472"/>
      <c r="G44" s="472"/>
      <c r="H44" s="472"/>
      <c r="I44" s="472"/>
      <c r="J44" s="472"/>
      <c r="K44" s="472"/>
      <c r="L44" s="472"/>
      <c r="M44" s="472"/>
      <c r="N44" s="472"/>
      <c r="O44" s="497">
        <f t="shared" si="10"/>
        <v>0</v>
      </c>
      <c r="P44" s="460"/>
      <c r="Q44" s="452"/>
    </row>
    <row r="45" ht="15.75" customHeight="1">
      <c r="A45" s="463" t="s">
        <v>157</v>
      </c>
      <c r="B45" s="463"/>
      <c r="C45" s="465">
        <f t="shared" ref="C45:O45" si="11">C42+C43-C44</f>
        <v>-92192</v>
      </c>
      <c r="D45" s="465">
        <f t="shared" si="11"/>
        <v>-23694</v>
      </c>
      <c r="E45" s="465">
        <f t="shared" si="11"/>
        <v>-98582</v>
      </c>
      <c r="F45" s="465">
        <f t="shared" si="11"/>
        <v>462239</v>
      </c>
      <c r="G45" s="465">
        <f t="shared" si="11"/>
        <v>-6664</v>
      </c>
      <c r="H45" s="465">
        <f t="shared" si="11"/>
        <v>8155</v>
      </c>
      <c r="I45" s="465">
        <f t="shared" si="11"/>
        <v>47768</v>
      </c>
      <c r="J45" s="465">
        <f t="shared" si="11"/>
        <v>-57093</v>
      </c>
      <c r="K45" s="465">
        <f t="shared" si="11"/>
        <v>8295</v>
      </c>
      <c r="L45" s="465">
        <f t="shared" si="11"/>
        <v>-219821</v>
      </c>
      <c r="M45" s="465">
        <f t="shared" si="11"/>
        <v>906987</v>
      </c>
      <c r="N45" s="465">
        <f t="shared" si="11"/>
        <v>-7060</v>
      </c>
      <c r="O45" s="465">
        <f t="shared" si="11"/>
        <v>928338</v>
      </c>
      <c r="P45" s="460">
        <f t="shared" ref="P45:P47" si="12">O45/$O$5</f>
        <v>0.3754642555</v>
      </c>
      <c r="Q45" s="452"/>
    </row>
    <row r="46" ht="15.75" customHeight="1">
      <c r="A46" s="463" t="s">
        <v>158</v>
      </c>
      <c r="B46" s="477">
        <v>0.33</v>
      </c>
      <c r="C46" s="465"/>
      <c r="D46" s="465"/>
      <c r="E46" s="465"/>
      <c r="F46" s="465"/>
      <c r="G46" s="465"/>
      <c r="H46" s="465"/>
      <c r="I46" s="465"/>
      <c r="J46" s="465"/>
      <c r="K46" s="465"/>
      <c r="L46" s="465"/>
      <c r="M46" s="465"/>
      <c r="N46" s="465"/>
      <c r="O46" s="465"/>
      <c r="P46" s="460">
        <f t="shared" si="12"/>
        <v>0</v>
      </c>
      <c r="Q46" s="452"/>
    </row>
    <row r="47" ht="15.75" customHeight="1">
      <c r="A47" s="463" t="s">
        <v>159</v>
      </c>
      <c r="B47" s="463"/>
      <c r="C47" s="465"/>
      <c r="D47" s="465"/>
      <c r="E47" s="465"/>
      <c r="F47" s="465"/>
      <c r="G47" s="465"/>
      <c r="H47" s="465"/>
      <c r="I47" s="465"/>
      <c r="J47" s="465"/>
      <c r="K47" s="465"/>
      <c r="L47" s="465"/>
      <c r="M47" s="465"/>
      <c r="N47" s="465"/>
      <c r="O47" s="465">
        <f>O45-O46</f>
        <v>928338</v>
      </c>
      <c r="P47" s="460">
        <f t="shared" si="12"/>
        <v>0.3754642555</v>
      </c>
      <c r="Q47" s="452"/>
    </row>
    <row r="48" ht="15.75" customHeight="1">
      <c r="A48" s="478"/>
      <c r="B48" s="452"/>
      <c r="C48" s="479"/>
      <c r="D48" s="479"/>
      <c r="E48" s="479"/>
      <c r="F48" s="479"/>
      <c r="G48" s="479"/>
      <c r="H48" s="479"/>
      <c r="I48" s="479"/>
      <c r="J48" s="479"/>
      <c r="K48" s="479"/>
      <c r="L48" s="479"/>
      <c r="M48" s="479"/>
      <c r="N48" s="479"/>
      <c r="O48" s="479"/>
      <c r="P48" s="452"/>
      <c r="Q48" s="452"/>
    </row>
    <row r="49" ht="15.75" customHeight="1">
      <c r="A49" s="478"/>
      <c r="B49" s="452"/>
      <c r="C49" s="457"/>
      <c r="D49" s="457"/>
      <c r="E49" s="457"/>
      <c r="F49" s="457"/>
      <c r="G49" s="457"/>
      <c r="H49" s="457"/>
      <c r="I49" s="457"/>
      <c r="J49" s="457"/>
      <c r="K49" s="457"/>
      <c r="L49" s="457"/>
      <c r="M49" s="457"/>
      <c r="N49" s="457"/>
      <c r="O49" s="457"/>
      <c r="P49" s="452"/>
      <c r="Q49" s="452"/>
    </row>
    <row r="50" ht="15.75" customHeight="1">
      <c r="A50" s="478" t="s">
        <v>116</v>
      </c>
      <c r="B50" s="508">
        <f>SUM(B4:B36)</f>
        <v>0</v>
      </c>
      <c r="C50" s="457"/>
      <c r="D50" s="457"/>
      <c r="E50" s="457"/>
      <c r="F50" s="457"/>
      <c r="G50" s="457"/>
      <c r="H50" s="457"/>
      <c r="I50" s="457"/>
      <c r="J50" s="457"/>
      <c r="K50" s="457"/>
      <c r="L50" s="457"/>
      <c r="M50" s="457"/>
      <c r="N50" s="457"/>
      <c r="O50" s="457"/>
      <c r="P50" s="452"/>
      <c r="Q50" s="452"/>
    </row>
    <row r="51" ht="15.75" customHeight="1">
      <c r="A51" s="478" t="s">
        <v>258</v>
      </c>
      <c r="B51" s="508">
        <f>100%-B50</f>
        <v>1</v>
      </c>
      <c r="C51" s="457"/>
      <c r="D51" s="457"/>
      <c r="E51" s="457"/>
      <c r="F51" s="457"/>
      <c r="G51" s="457"/>
      <c r="H51" s="457"/>
      <c r="I51" s="457"/>
      <c r="J51" s="457"/>
      <c r="K51" s="457"/>
      <c r="L51" s="457"/>
      <c r="M51" s="457"/>
      <c r="N51" s="457"/>
      <c r="O51" s="457"/>
      <c r="P51" s="452"/>
      <c r="Q51" s="452"/>
    </row>
    <row r="52" ht="15.75" customHeight="1">
      <c r="A52" s="452"/>
      <c r="B52" s="452"/>
      <c r="C52" s="452"/>
      <c r="D52" s="452"/>
      <c r="E52" s="452"/>
      <c r="F52" s="452"/>
      <c r="G52" s="452"/>
      <c r="H52" s="452"/>
      <c r="I52" s="452"/>
      <c r="J52" s="452"/>
      <c r="K52" s="452"/>
      <c r="L52" s="452"/>
      <c r="M52" s="452"/>
      <c r="N52" s="452"/>
      <c r="O52" s="452"/>
      <c r="P52" s="452"/>
      <c r="Q52" s="452"/>
    </row>
    <row r="53" ht="15.75" customHeight="1">
      <c r="A53" s="452"/>
      <c r="C53" s="452"/>
      <c r="D53" s="452"/>
      <c r="E53" s="452"/>
      <c r="F53" s="452"/>
      <c r="G53" s="452"/>
      <c r="H53" s="452"/>
      <c r="I53" s="452"/>
      <c r="J53" s="452"/>
      <c r="K53" s="452"/>
      <c r="L53" s="452"/>
      <c r="M53" s="452"/>
      <c r="N53" s="452"/>
      <c r="O53" s="452"/>
      <c r="P53" s="452"/>
      <c r="Q53" s="452"/>
    </row>
    <row r="54" ht="15.75" customHeight="1">
      <c r="A54" s="452"/>
      <c r="C54" s="452"/>
      <c r="D54" s="452"/>
      <c r="E54" s="452"/>
      <c r="F54" s="452"/>
      <c r="G54" s="452"/>
      <c r="H54" s="452"/>
      <c r="I54" s="452"/>
      <c r="J54" s="452"/>
      <c r="K54" s="452"/>
      <c r="L54" s="452"/>
      <c r="M54" s="452"/>
      <c r="N54" s="452"/>
      <c r="O54" s="452"/>
      <c r="P54" s="452"/>
      <c r="Q54" s="452"/>
    </row>
    <row r="55" ht="15.75" customHeight="1">
      <c r="A55" s="452" t="s">
        <v>262</v>
      </c>
      <c r="B55" s="452" t="s">
        <v>263</v>
      </c>
      <c r="C55" s="437">
        <v>2604212.0</v>
      </c>
      <c r="D55" s="437">
        <v>2946348.0</v>
      </c>
      <c r="E55" s="437">
        <v>2777697.0</v>
      </c>
      <c r="F55" s="447"/>
      <c r="G55" s="447"/>
      <c r="H55" s="447"/>
      <c r="I55" s="447"/>
      <c r="J55" s="447"/>
      <c r="K55" s="447"/>
      <c r="L55" s="447"/>
      <c r="M55" s="447"/>
      <c r="N55" s="447"/>
      <c r="O55" s="447"/>
      <c r="P55" s="452"/>
      <c r="Q55" s="452"/>
    </row>
    <row r="56" ht="15.75" customHeight="1">
      <c r="A56" s="452"/>
      <c r="B56" s="440" t="s">
        <v>301</v>
      </c>
      <c r="C56" s="447">
        <f>92593+5000</f>
        <v>97593</v>
      </c>
      <c r="D56" s="447">
        <v>97593.0</v>
      </c>
      <c r="E56" s="447">
        <v>97593.0</v>
      </c>
      <c r="F56" s="447"/>
      <c r="G56" s="447"/>
      <c r="H56" s="447"/>
      <c r="I56" s="447"/>
      <c r="J56" s="447"/>
      <c r="K56" s="447"/>
      <c r="L56" s="447"/>
      <c r="M56" s="447"/>
      <c r="N56" s="447"/>
      <c r="O56" s="447"/>
      <c r="P56" s="452"/>
      <c r="Q56" s="452"/>
    </row>
    <row r="57" ht="15.75" customHeight="1">
      <c r="A57" s="452"/>
      <c r="C57" s="452"/>
      <c r="D57" s="452"/>
      <c r="E57" s="452"/>
      <c r="F57" s="452"/>
      <c r="G57" s="452"/>
      <c r="H57" s="452"/>
      <c r="I57" s="452"/>
      <c r="J57" s="452"/>
      <c r="K57" s="452"/>
      <c r="L57" s="452"/>
      <c r="M57" s="452"/>
      <c r="N57" s="452"/>
      <c r="O57" s="452"/>
      <c r="P57" s="452"/>
      <c r="Q57" s="45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3:B53"/>
    <mergeCell ref="A54:B54"/>
    <mergeCell ref="A57:B57"/>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71"/>
    <col customWidth="1" min="2" max="32" width="14.43"/>
  </cols>
  <sheetData>
    <row r="1" ht="15.75" customHeight="1">
      <c r="A1" s="447"/>
      <c r="B1" s="448" t="s">
        <v>116</v>
      </c>
      <c r="C1" s="449" t="s">
        <v>182</v>
      </c>
      <c r="D1" s="449" t="s">
        <v>183</v>
      </c>
      <c r="E1" s="449" t="s">
        <v>184</v>
      </c>
      <c r="F1" s="447" t="s">
        <v>185</v>
      </c>
      <c r="G1" s="447" t="s">
        <v>186</v>
      </c>
      <c r="H1" s="447" t="s">
        <v>187</v>
      </c>
      <c r="I1" s="447" t="s">
        <v>188</v>
      </c>
      <c r="J1" s="447" t="s">
        <v>189</v>
      </c>
      <c r="K1" s="447" t="s">
        <v>190</v>
      </c>
      <c r="L1" s="447" t="s">
        <v>179</v>
      </c>
      <c r="M1" s="447" t="s">
        <v>180</v>
      </c>
      <c r="N1" s="447" t="s">
        <v>181</v>
      </c>
      <c r="O1" s="447" t="s">
        <v>129</v>
      </c>
      <c r="P1" s="452"/>
      <c r="Q1" s="452"/>
      <c r="R1" s="447"/>
      <c r="S1" s="448" t="s">
        <v>116</v>
      </c>
      <c r="T1" s="449" t="s">
        <v>182</v>
      </c>
      <c r="U1" s="449" t="s">
        <v>183</v>
      </c>
      <c r="V1" s="449" t="s">
        <v>184</v>
      </c>
      <c r="W1" s="447" t="s">
        <v>185</v>
      </c>
      <c r="X1" s="447" t="s">
        <v>186</v>
      </c>
      <c r="Y1" s="447" t="s">
        <v>187</v>
      </c>
      <c r="Z1" s="447" t="s">
        <v>188</v>
      </c>
      <c r="AA1" s="447" t="s">
        <v>189</v>
      </c>
      <c r="AB1" s="447" t="s">
        <v>190</v>
      </c>
      <c r="AC1" s="447" t="s">
        <v>179</v>
      </c>
      <c r="AD1" s="447" t="s">
        <v>180</v>
      </c>
      <c r="AE1" s="447" t="s">
        <v>181</v>
      </c>
      <c r="AF1" s="447" t="s">
        <v>129</v>
      </c>
    </row>
    <row r="2" ht="15.75" customHeight="1">
      <c r="A2" s="447"/>
      <c r="B2" s="513"/>
      <c r="C2" s="437"/>
      <c r="D2" s="437"/>
      <c r="E2" s="437"/>
      <c r="F2" s="437"/>
      <c r="G2" s="437"/>
      <c r="H2" s="437"/>
      <c r="I2" s="437"/>
      <c r="J2" s="437"/>
      <c r="K2" s="437"/>
      <c r="L2" s="437"/>
      <c r="M2" s="437"/>
      <c r="N2" s="437"/>
      <c r="O2" s="506"/>
      <c r="P2" s="457"/>
      <c r="Q2" s="452"/>
      <c r="R2" s="447"/>
      <c r="S2" s="513"/>
      <c r="T2" s="437"/>
      <c r="U2" s="437"/>
      <c r="V2" s="437"/>
      <c r="W2" s="437"/>
      <c r="X2" s="437"/>
      <c r="Y2" s="437"/>
      <c r="Z2" s="437"/>
      <c r="AA2" s="437"/>
      <c r="AB2" s="437"/>
      <c r="AC2" s="437"/>
      <c r="AD2" s="437"/>
      <c r="AE2" s="437"/>
      <c r="AF2" s="506"/>
    </row>
    <row r="3" ht="15.75" customHeight="1">
      <c r="A3" s="447" t="s">
        <v>130</v>
      </c>
      <c r="B3" s="447"/>
      <c r="C3" s="447">
        <v>800000.0</v>
      </c>
      <c r="D3" s="447">
        <v>800000.0</v>
      </c>
      <c r="E3" s="447">
        <v>800000.0</v>
      </c>
      <c r="F3" s="447">
        <v>800000.0</v>
      </c>
      <c r="G3" s="447">
        <v>800000.0</v>
      </c>
      <c r="H3" s="447">
        <v>800000.0</v>
      </c>
      <c r="I3" s="447">
        <v>800000.0</v>
      </c>
      <c r="J3" s="447">
        <v>800000.0</v>
      </c>
      <c r="K3" s="447">
        <v>800000.0</v>
      </c>
      <c r="L3" s="447">
        <v>800000.0</v>
      </c>
      <c r="M3" s="447">
        <v>800000.0</v>
      </c>
      <c r="N3" s="447">
        <v>500000.0</v>
      </c>
      <c r="O3" s="506">
        <f t="shared" ref="O3:O4" si="2">SUM(C3:N3)</f>
        <v>9300000</v>
      </c>
      <c r="P3" s="460">
        <f t="shared" ref="P3:P4" si="3">O3/$O$3</f>
        <v>1</v>
      </c>
      <c r="Q3" s="452"/>
      <c r="R3" s="447" t="s">
        <v>130</v>
      </c>
      <c r="S3" s="447"/>
      <c r="T3" s="447">
        <f>292592+5000</f>
        <v>297592</v>
      </c>
      <c r="U3" s="447">
        <v>297592.0</v>
      </c>
      <c r="V3" s="447">
        <v>297592.0</v>
      </c>
      <c r="W3" s="447">
        <v>297592.0</v>
      </c>
      <c r="X3" s="447">
        <v>297592.0</v>
      </c>
      <c r="Y3" s="447">
        <v>297592.0</v>
      </c>
      <c r="Z3" s="447">
        <v>245909.0</v>
      </c>
      <c r="AA3" s="447">
        <v>245909.0</v>
      </c>
      <c r="AB3" s="447">
        <v>245909.0</v>
      </c>
      <c r="AC3" s="447">
        <v>120000.0</v>
      </c>
      <c r="AD3" s="447"/>
      <c r="AE3" s="447"/>
      <c r="AF3" s="506">
        <f t="shared" ref="AF3:AF4" si="4">SUM(T3:AE3)</f>
        <v>2643279</v>
      </c>
    </row>
    <row r="4" ht="15.75" customHeight="1">
      <c r="A4" s="447" t="s">
        <v>131</v>
      </c>
      <c r="B4" s="461"/>
      <c r="C4" s="492">
        <f t="shared" ref="C4:N4" si="1">C3*$B$4</f>
        <v>0</v>
      </c>
      <c r="D4" s="492">
        <f t="shared" si="1"/>
        <v>0</v>
      </c>
      <c r="E4" s="492">
        <f t="shared" si="1"/>
        <v>0</v>
      </c>
      <c r="F4" s="492">
        <f t="shared" si="1"/>
        <v>0</v>
      </c>
      <c r="G4" s="492">
        <f t="shared" si="1"/>
        <v>0</v>
      </c>
      <c r="H4" s="492">
        <f t="shared" si="1"/>
        <v>0</v>
      </c>
      <c r="I4" s="492">
        <f t="shared" si="1"/>
        <v>0</v>
      </c>
      <c r="J4" s="492">
        <f t="shared" si="1"/>
        <v>0</v>
      </c>
      <c r="K4" s="492">
        <f t="shared" si="1"/>
        <v>0</v>
      </c>
      <c r="L4" s="492">
        <f t="shared" si="1"/>
        <v>0</v>
      </c>
      <c r="M4" s="492">
        <f t="shared" si="1"/>
        <v>0</v>
      </c>
      <c r="N4" s="492">
        <f t="shared" si="1"/>
        <v>0</v>
      </c>
      <c r="O4" s="462">
        <f t="shared" si="2"/>
        <v>0</v>
      </c>
      <c r="P4" s="460">
        <f t="shared" si="3"/>
        <v>0</v>
      </c>
      <c r="Q4" s="452"/>
      <c r="R4" s="447" t="s">
        <v>131</v>
      </c>
      <c r="S4" s="461"/>
      <c r="T4" s="492">
        <f>T3*$B$4</f>
        <v>0</v>
      </c>
      <c r="U4" s="492">
        <v>0.0</v>
      </c>
      <c r="V4" s="492">
        <v>0.0</v>
      </c>
      <c r="W4" s="492">
        <v>0.0</v>
      </c>
      <c r="X4" s="492">
        <v>0.0</v>
      </c>
      <c r="Y4" s="492">
        <v>0.0</v>
      </c>
      <c r="Z4" s="492">
        <v>0.0</v>
      </c>
      <c r="AA4" s="492">
        <v>0.0</v>
      </c>
      <c r="AB4" s="492">
        <v>0.0</v>
      </c>
      <c r="AC4" s="492">
        <v>0.0</v>
      </c>
      <c r="AD4" s="492"/>
      <c r="AE4" s="492"/>
      <c r="AF4" s="462">
        <f t="shared" si="4"/>
        <v>0</v>
      </c>
    </row>
    <row r="5" ht="15.75" customHeight="1">
      <c r="A5" s="463" t="s">
        <v>132</v>
      </c>
      <c r="B5" s="464"/>
      <c r="C5" s="465">
        <f t="shared" ref="C5:O5" si="5">C2+C3-C4</f>
        <v>800000</v>
      </c>
      <c r="D5" s="465">
        <f t="shared" si="5"/>
        <v>800000</v>
      </c>
      <c r="E5" s="465">
        <f t="shared" si="5"/>
        <v>800000</v>
      </c>
      <c r="F5" s="465">
        <f t="shared" si="5"/>
        <v>800000</v>
      </c>
      <c r="G5" s="465">
        <f t="shared" si="5"/>
        <v>800000</v>
      </c>
      <c r="H5" s="465">
        <f t="shared" si="5"/>
        <v>800000</v>
      </c>
      <c r="I5" s="465">
        <f t="shared" si="5"/>
        <v>800000</v>
      </c>
      <c r="J5" s="465">
        <f t="shared" si="5"/>
        <v>800000</v>
      </c>
      <c r="K5" s="465">
        <f t="shared" si="5"/>
        <v>800000</v>
      </c>
      <c r="L5" s="465">
        <f t="shared" si="5"/>
        <v>800000</v>
      </c>
      <c r="M5" s="465">
        <f t="shared" si="5"/>
        <v>800000</v>
      </c>
      <c r="N5" s="465">
        <f t="shared" si="5"/>
        <v>500000</v>
      </c>
      <c r="O5" s="465">
        <f t="shared" si="5"/>
        <v>9300000</v>
      </c>
      <c r="P5" s="460"/>
      <c r="Q5" s="452"/>
      <c r="R5" s="463" t="s">
        <v>132</v>
      </c>
      <c r="S5" s="464"/>
      <c r="T5" s="465">
        <f>T2+T3-T4</f>
        <v>297592</v>
      </c>
      <c r="U5" s="465">
        <v>2826825.0</v>
      </c>
      <c r="V5" s="465">
        <v>2636983.0</v>
      </c>
      <c r="W5" s="465">
        <v>3152392.0</v>
      </c>
      <c r="X5" s="465">
        <v>3170592.0</v>
      </c>
      <c r="Y5" s="465">
        <v>4376992.0</v>
      </c>
      <c r="Z5" s="465">
        <v>2999309.0</v>
      </c>
      <c r="AA5" s="465">
        <v>3003209.0</v>
      </c>
      <c r="AB5" s="465">
        <v>4158909.0</v>
      </c>
      <c r="AC5" s="465">
        <v>920000.0</v>
      </c>
      <c r="AD5" s="465"/>
      <c r="AE5" s="465"/>
      <c r="AF5" s="465">
        <f>AF2+AF3-AF4</f>
        <v>2643279</v>
      </c>
    </row>
    <row r="6" ht="15.75" customHeight="1">
      <c r="A6" s="447"/>
      <c r="B6" s="447"/>
      <c r="C6" s="447"/>
      <c r="D6" s="447"/>
      <c r="E6" s="447"/>
      <c r="F6" s="447"/>
      <c r="G6" s="447"/>
      <c r="H6" s="447"/>
      <c r="I6" s="447"/>
      <c r="J6" s="447"/>
      <c r="K6" s="447"/>
      <c r="L6" s="447"/>
      <c r="M6" s="447"/>
      <c r="N6" s="447"/>
      <c r="O6" s="465">
        <f t="shared" ref="O6:O35" si="6">SUM(C6:N6)</f>
        <v>0</v>
      </c>
      <c r="P6" s="460"/>
      <c r="Q6" s="452"/>
      <c r="R6" s="447"/>
      <c r="S6" s="447"/>
      <c r="T6" s="447"/>
      <c r="U6" s="447"/>
      <c r="V6" s="447"/>
      <c r="W6" s="447"/>
      <c r="X6" s="447"/>
      <c r="Y6" s="447"/>
      <c r="Z6" s="447"/>
      <c r="AA6" s="447"/>
      <c r="AB6" s="447"/>
      <c r="AC6" s="447"/>
      <c r="AD6" s="447"/>
      <c r="AE6" s="447"/>
      <c r="AF6" s="465">
        <f t="shared" ref="AF6:AF35" si="7">SUM(T6:AE6)</f>
        <v>0</v>
      </c>
    </row>
    <row r="7" ht="15.75" customHeight="1">
      <c r="A7" s="447" t="s">
        <v>133</v>
      </c>
      <c r="B7" s="447"/>
      <c r="C7" s="462"/>
      <c r="D7" s="462"/>
      <c r="E7" s="462"/>
      <c r="F7" s="462"/>
      <c r="G7" s="462"/>
      <c r="H7" s="462"/>
      <c r="I7" s="462"/>
      <c r="J7" s="462"/>
      <c r="K7" s="462"/>
      <c r="L7" s="462"/>
      <c r="M7" s="462"/>
      <c r="N7" s="462"/>
      <c r="O7" s="462">
        <f t="shared" si="6"/>
        <v>0</v>
      </c>
      <c r="P7" s="460">
        <f>O7/$O$5</f>
        <v>0</v>
      </c>
      <c r="Q7" s="452"/>
      <c r="R7" s="447" t="s">
        <v>133</v>
      </c>
      <c r="S7" s="447"/>
      <c r="T7" s="462">
        <v>50000.0</v>
      </c>
      <c r="U7" s="462">
        <v>50000.0</v>
      </c>
      <c r="V7" s="462">
        <v>50000.0</v>
      </c>
      <c r="W7" s="462">
        <v>50000.0</v>
      </c>
      <c r="X7" s="462">
        <v>50000.0</v>
      </c>
      <c r="Y7" s="462">
        <v>50000.0</v>
      </c>
      <c r="Z7" s="462">
        <v>50000.0</v>
      </c>
      <c r="AA7" s="462">
        <v>50000.0</v>
      </c>
      <c r="AB7" s="462">
        <v>50000.0</v>
      </c>
      <c r="AC7" s="462">
        <v>50000.0</v>
      </c>
      <c r="AD7" s="462"/>
      <c r="AE7" s="462"/>
      <c r="AF7" s="462">
        <f t="shared" si="7"/>
        <v>500000</v>
      </c>
    </row>
    <row r="8" ht="15.75" customHeight="1">
      <c r="A8" s="447" t="s">
        <v>134</v>
      </c>
      <c r="B8" s="447"/>
      <c r="C8" s="462"/>
      <c r="D8" s="462"/>
      <c r="E8" s="462"/>
      <c r="F8" s="462"/>
      <c r="G8" s="462"/>
      <c r="H8" s="462"/>
      <c r="I8" s="462"/>
      <c r="J8" s="462"/>
      <c r="K8" s="462"/>
      <c r="L8" s="462"/>
      <c r="M8" s="462"/>
      <c r="N8" s="462"/>
      <c r="O8" s="462">
        <f t="shared" si="6"/>
        <v>0</v>
      </c>
      <c r="P8" s="460"/>
      <c r="Q8" s="452"/>
      <c r="R8" s="447" t="s">
        <v>134</v>
      </c>
      <c r="S8" s="447"/>
      <c r="T8" s="462"/>
      <c r="U8" s="462"/>
      <c r="V8" s="462"/>
      <c r="W8" s="462"/>
      <c r="X8" s="462"/>
      <c r="Y8" s="462"/>
      <c r="Z8" s="462"/>
      <c r="AA8" s="462"/>
      <c r="AB8" s="462"/>
      <c r="AC8" s="462"/>
      <c r="AD8" s="462"/>
      <c r="AE8" s="462"/>
      <c r="AF8" s="462">
        <f t="shared" si="7"/>
        <v>0</v>
      </c>
    </row>
    <row r="9" ht="15.75" customHeight="1">
      <c r="A9" s="447" t="s">
        <v>135</v>
      </c>
      <c r="B9" s="461"/>
      <c r="C9" s="459">
        <v>720000.0</v>
      </c>
      <c r="D9" s="459">
        <v>720000.0</v>
      </c>
      <c r="E9" s="459">
        <v>720000.0</v>
      </c>
      <c r="F9" s="459">
        <v>720000.0</v>
      </c>
      <c r="G9" s="459">
        <v>720000.0</v>
      </c>
      <c r="H9" s="459">
        <v>720000.0</v>
      </c>
      <c r="I9" s="459">
        <v>720000.0</v>
      </c>
      <c r="J9" s="459">
        <v>720000.0</v>
      </c>
      <c r="K9" s="459">
        <v>720000.0</v>
      </c>
      <c r="L9" s="459">
        <v>720000.0</v>
      </c>
      <c r="M9" s="459">
        <v>720000.0</v>
      </c>
      <c r="N9" s="459">
        <v>300000.0</v>
      </c>
      <c r="O9" s="459">
        <f t="shared" si="6"/>
        <v>8220000</v>
      </c>
      <c r="P9" s="460">
        <f>O9/$O$5</f>
        <v>0.8838709677</v>
      </c>
      <c r="Q9" s="452"/>
      <c r="R9" s="447" t="s">
        <v>135</v>
      </c>
      <c r="S9" s="461"/>
      <c r="T9" s="459">
        <f>T2-100000</f>
        <v>-100000</v>
      </c>
      <c r="U9" s="459">
        <v>2429233.0</v>
      </c>
      <c r="V9" s="459">
        <v>2239391.0</v>
      </c>
      <c r="W9" s="459">
        <v>2754800.0</v>
      </c>
      <c r="X9" s="459">
        <v>2773000.0</v>
      </c>
      <c r="Y9" s="459">
        <v>3979400.0</v>
      </c>
      <c r="Z9" s="459">
        <v>2653400.0</v>
      </c>
      <c r="AA9" s="459">
        <v>2657300.0</v>
      </c>
      <c r="AB9" s="459">
        <v>3813000.0</v>
      </c>
      <c r="AC9" s="459">
        <v>800000.0</v>
      </c>
      <c r="AD9" s="459"/>
      <c r="AE9" s="459"/>
      <c r="AF9" s="459">
        <f t="shared" si="7"/>
        <v>23999524</v>
      </c>
    </row>
    <row r="10" ht="15.75" customHeight="1">
      <c r="A10" s="447" t="s">
        <v>29</v>
      </c>
      <c r="B10" s="461">
        <v>0.0</v>
      </c>
      <c r="C10" s="462">
        <f t="shared" ref="C10:N10" si="8">SUM(C7:C9)*$B$10</f>
        <v>0</v>
      </c>
      <c r="D10" s="462">
        <f t="shared" si="8"/>
        <v>0</v>
      </c>
      <c r="E10" s="462">
        <f t="shared" si="8"/>
        <v>0</v>
      </c>
      <c r="F10" s="462">
        <f t="shared" si="8"/>
        <v>0</v>
      </c>
      <c r="G10" s="462">
        <f t="shared" si="8"/>
        <v>0</v>
      </c>
      <c r="H10" s="462">
        <f t="shared" si="8"/>
        <v>0</v>
      </c>
      <c r="I10" s="462">
        <f t="shared" si="8"/>
        <v>0</v>
      </c>
      <c r="J10" s="462">
        <f t="shared" si="8"/>
        <v>0</v>
      </c>
      <c r="K10" s="462">
        <f t="shared" si="8"/>
        <v>0</v>
      </c>
      <c r="L10" s="462">
        <f t="shared" si="8"/>
        <v>0</v>
      </c>
      <c r="M10" s="462">
        <f t="shared" si="8"/>
        <v>0</v>
      </c>
      <c r="N10" s="462">
        <f t="shared" si="8"/>
        <v>0</v>
      </c>
      <c r="O10" s="462">
        <f t="shared" si="6"/>
        <v>0</v>
      </c>
      <c r="P10" s="460"/>
      <c r="Q10" s="452"/>
      <c r="R10" s="447" t="s">
        <v>29</v>
      </c>
      <c r="S10" s="461">
        <v>0.0</v>
      </c>
      <c r="T10" s="462">
        <f>SUM(T7:T9)*$B$10</f>
        <v>0</v>
      </c>
      <c r="U10" s="462">
        <v>0.0</v>
      </c>
      <c r="V10" s="462">
        <v>0.0</v>
      </c>
      <c r="W10" s="462">
        <v>0.0</v>
      </c>
      <c r="X10" s="462">
        <v>0.0</v>
      </c>
      <c r="Y10" s="462">
        <v>0.0</v>
      </c>
      <c r="Z10" s="462">
        <v>0.0</v>
      </c>
      <c r="AA10" s="462">
        <v>0.0</v>
      </c>
      <c r="AB10" s="462">
        <v>0.0</v>
      </c>
      <c r="AC10" s="462">
        <v>0.0</v>
      </c>
      <c r="AD10" s="462"/>
      <c r="AE10" s="462"/>
      <c r="AF10" s="462">
        <f t="shared" si="7"/>
        <v>0</v>
      </c>
    </row>
    <row r="11" ht="15.75" customHeight="1">
      <c r="A11" s="447" t="s">
        <v>30</v>
      </c>
      <c r="B11" s="447"/>
      <c r="C11" s="447"/>
      <c r="D11" s="447"/>
      <c r="E11" s="447"/>
      <c r="F11" s="447"/>
      <c r="G11" s="447"/>
      <c r="H11" s="447"/>
      <c r="I11" s="447"/>
      <c r="J11" s="447"/>
      <c r="K11" s="447"/>
      <c r="L11" s="447"/>
      <c r="M11" s="447"/>
      <c r="N11" s="447"/>
      <c r="O11" s="471">
        <f t="shared" si="6"/>
        <v>0</v>
      </c>
      <c r="P11" s="460"/>
      <c r="Q11" s="452"/>
      <c r="R11" s="447" t="s">
        <v>30</v>
      </c>
      <c r="S11" s="447"/>
      <c r="T11" s="447"/>
      <c r="U11" s="447"/>
      <c r="V11" s="447"/>
      <c r="W11" s="447"/>
      <c r="X11" s="447"/>
      <c r="Y11" s="447"/>
      <c r="Z11" s="447"/>
      <c r="AA11" s="447"/>
      <c r="AB11" s="447"/>
      <c r="AC11" s="447"/>
      <c r="AD11" s="447"/>
      <c r="AE11" s="447"/>
      <c r="AF11" s="471">
        <f t="shared" si="7"/>
        <v>0</v>
      </c>
    </row>
    <row r="12" ht="15.75" customHeight="1">
      <c r="A12" s="447" t="s">
        <v>136</v>
      </c>
      <c r="B12" s="447"/>
      <c r="C12" s="462"/>
      <c r="D12" s="462"/>
      <c r="E12" s="462"/>
      <c r="F12" s="462"/>
      <c r="G12" s="462"/>
      <c r="H12" s="462"/>
      <c r="I12" s="462"/>
      <c r="J12" s="462">
        <v>190000.0</v>
      </c>
      <c r="K12" s="462">
        <v>190000.0</v>
      </c>
      <c r="L12" s="462">
        <v>190000.0</v>
      </c>
      <c r="M12" s="462">
        <v>190000.0</v>
      </c>
      <c r="N12" s="462">
        <v>190000.0</v>
      </c>
      <c r="O12" s="462">
        <f t="shared" si="6"/>
        <v>950000</v>
      </c>
      <c r="P12" s="460"/>
      <c r="Q12" s="452"/>
      <c r="R12" s="447" t="s">
        <v>136</v>
      </c>
      <c r="S12" s="447"/>
      <c r="T12" s="462"/>
      <c r="U12" s="462"/>
      <c r="V12" s="462"/>
      <c r="W12" s="462"/>
      <c r="X12" s="462"/>
      <c r="Y12" s="462"/>
      <c r="Z12" s="462"/>
      <c r="AA12" s="462"/>
      <c r="AB12" s="462"/>
      <c r="AC12" s="462"/>
      <c r="AD12" s="462"/>
      <c r="AE12" s="462"/>
      <c r="AF12" s="462">
        <f t="shared" si="7"/>
        <v>0</v>
      </c>
    </row>
    <row r="13" ht="15.75" customHeight="1">
      <c r="A13" s="447" t="s">
        <v>137</v>
      </c>
      <c r="B13" s="461"/>
      <c r="C13" s="462"/>
      <c r="D13" s="462"/>
      <c r="E13" s="462"/>
      <c r="F13" s="462"/>
      <c r="G13" s="462"/>
      <c r="H13" s="462"/>
      <c r="I13" s="462"/>
      <c r="J13" s="462"/>
      <c r="K13" s="462"/>
      <c r="L13" s="462"/>
      <c r="M13" s="462"/>
      <c r="N13" s="462"/>
      <c r="O13" s="462">
        <f t="shared" si="6"/>
        <v>0</v>
      </c>
      <c r="P13" s="460"/>
      <c r="Q13" s="452"/>
      <c r="R13" s="447" t="s">
        <v>137</v>
      </c>
      <c r="S13" s="461"/>
      <c r="T13" s="462"/>
      <c r="U13" s="462"/>
      <c r="V13" s="462"/>
      <c r="W13" s="462"/>
      <c r="X13" s="462"/>
      <c r="Y13" s="462"/>
      <c r="Z13" s="462"/>
      <c r="AA13" s="462"/>
      <c r="AB13" s="462"/>
      <c r="AC13" s="462"/>
      <c r="AD13" s="462"/>
      <c r="AE13" s="462"/>
      <c r="AF13" s="462">
        <f t="shared" si="7"/>
        <v>0</v>
      </c>
    </row>
    <row r="14" ht="15.75" customHeight="1">
      <c r="A14" s="447" t="s">
        <v>138</v>
      </c>
      <c r="B14" s="447"/>
      <c r="C14" s="462">
        <v>80000.0</v>
      </c>
      <c r="D14" s="462">
        <v>80000.0</v>
      </c>
      <c r="E14" s="462">
        <v>80000.0</v>
      </c>
      <c r="F14" s="462">
        <v>80000.0</v>
      </c>
      <c r="G14" s="462">
        <v>80000.0</v>
      </c>
      <c r="H14" s="462">
        <v>80000.0</v>
      </c>
      <c r="I14" s="462">
        <v>80000.0</v>
      </c>
      <c r="J14" s="462">
        <v>80000.0</v>
      </c>
      <c r="K14" s="462">
        <v>80000.0</v>
      </c>
      <c r="L14" s="462">
        <v>80000.0</v>
      </c>
      <c r="M14" s="462">
        <v>80000.0</v>
      </c>
      <c r="N14" s="462">
        <v>80000.0</v>
      </c>
      <c r="O14" s="462">
        <f t="shared" si="6"/>
        <v>960000</v>
      </c>
      <c r="P14" s="460"/>
      <c r="Q14" s="452"/>
      <c r="R14" s="447" t="s">
        <v>138</v>
      </c>
      <c r="S14" s="447"/>
      <c r="T14" s="462"/>
      <c r="U14" s="462"/>
      <c r="V14" s="462">
        <v>80000.0</v>
      </c>
      <c r="W14" s="462">
        <v>80000.0</v>
      </c>
      <c r="X14" s="462">
        <v>80000.0</v>
      </c>
      <c r="Y14" s="462">
        <v>80000.0</v>
      </c>
      <c r="Z14" s="462">
        <v>80000.0</v>
      </c>
      <c r="AA14" s="462">
        <v>80000.0</v>
      </c>
      <c r="AB14" s="462">
        <v>80000.0</v>
      </c>
      <c r="AC14" s="462">
        <v>80000.0</v>
      </c>
      <c r="AD14" s="462"/>
      <c r="AE14" s="462"/>
      <c r="AF14" s="462">
        <f t="shared" si="7"/>
        <v>640000</v>
      </c>
    </row>
    <row r="15" ht="15.75" customHeight="1">
      <c r="A15" s="447" t="s">
        <v>139</v>
      </c>
      <c r="B15" s="447"/>
      <c r="C15" s="462"/>
      <c r="D15" s="462"/>
      <c r="E15" s="462"/>
      <c r="F15" s="462"/>
      <c r="G15" s="462"/>
      <c r="H15" s="462"/>
      <c r="I15" s="462"/>
      <c r="J15" s="462"/>
      <c r="K15" s="462"/>
      <c r="L15" s="462"/>
      <c r="M15" s="462"/>
      <c r="N15" s="462"/>
      <c r="O15" s="462">
        <f t="shared" si="6"/>
        <v>0</v>
      </c>
      <c r="P15" s="460">
        <f>O15/$O$5</f>
        <v>0</v>
      </c>
      <c r="Q15" s="452"/>
      <c r="R15" s="447" t="s">
        <v>139</v>
      </c>
      <c r="S15" s="447"/>
      <c r="T15" s="462">
        <v>18000.0</v>
      </c>
      <c r="U15" s="462">
        <v>18000.0</v>
      </c>
      <c r="V15" s="462">
        <v>18000.0</v>
      </c>
      <c r="W15" s="462">
        <v>18000.0</v>
      </c>
      <c r="X15" s="462">
        <v>18000.0</v>
      </c>
      <c r="Y15" s="462">
        <v>18000.0</v>
      </c>
      <c r="Z15" s="462">
        <v>15000.0</v>
      </c>
      <c r="AA15" s="462">
        <v>15000.0</v>
      </c>
      <c r="AB15" s="462">
        <v>15000.0</v>
      </c>
      <c r="AC15" s="462">
        <v>15000.0</v>
      </c>
      <c r="AD15" s="462"/>
      <c r="AE15" s="462"/>
      <c r="AF15" s="462">
        <f t="shared" si="7"/>
        <v>168000</v>
      </c>
    </row>
    <row r="16" ht="15.75" customHeight="1">
      <c r="A16" s="447" t="s">
        <v>255</v>
      </c>
      <c r="B16" s="447"/>
      <c r="C16" s="462"/>
      <c r="D16" s="462"/>
      <c r="E16" s="462"/>
      <c r="F16" s="462"/>
      <c r="G16" s="462"/>
      <c r="H16" s="462"/>
      <c r="I16" s="462"/>
      <c r="J16" s="462"/>
      <c r="K16" s="462"/>
      <c r="L16" s="462"/>
      <c r="M16" s="462"/>
      <c r="N16" s="462"/>
      <c r="O16" s="462">
        <f t="shared" si="6"/>
        <v>0</v>
      </c>
      <c r="P16" s="460"/>
      <c r="Q16" s="452"/>
      <c r="R16" s="447" t="s">
        <v>255</v>
      </c>
      <c r="S16" s="447"/>
      <c r="T16" s="462"/>
      <c r="U16" s="462"/>
      <c r="V16" s="462"/>
      <c r="W16" s="462"/>
      <c r="X16" s="462"/>
      <c r="Y16" s="462"/>
      <c r="Z16" s="462"/>
      <c r="AA16" s="462"/>
      <c r="AB16" s="462"/>
      <c r="AC16" s="462"/>
      <c r="AD16" s="462"/>
      <c r="AE16" s="462"/>
      <c r="AF16" s="462">
        <f t="shared" si="7"/>
        <v>0</v>
      </c>
    </row>
    <row r="17" ht="15.75" customHeight="1">
      <c r="A17" s="447" t="s">
        <v>141</v>
      </c>
      <c r="B17" s="447"/>
      <c r="C17" s="462"/>
      <c r="D17" s="462"/>
      <c r="E17" s="462"/>
      <c r="F17" s="462"/>
      <c r="G17" s="462"/>
      <c r="H17" s="462"/>
      <c r="I17" s="462"/>
      <c r="J17" s="462"/>
      <c r="K17" s="462"/>
      <c r="L17" s="462"/>
      <c r="M17" s="462"/>
      <c r="N17" s="462"/>
      <c r="O17" s="462">
        <f t="shared" si="6"/>
        <v>0</v>
      </c>
      <c r="P17" s="460">
        <f>O17/$O$5</f>
        <v>0</v>
      </c>
      <c r="Q17" s="452"/>
      <c r="R17" s="447" t="s">
        <v>141</v>
      </c>
      <c r="S17" s="447"/>
      <c r="T17" s="462">
        <v>50000.0</v>
      </c>
      <c r="U17" s="462">
        <v>50000.0</v>
      </c>
      <c r="V17" s="462">
        <v>70000.0</v>
      </c>
      <c r="W17" s="462">
        <v>70000.0</v>
      </c>
      <c r="X17" s="462">
        <v>70000.0</v>
      </c>
      <c r="Y17" s="462">
        <v>70000.0</v>
      </c>
      <c r="Z17" s="462">
        <v>70000.0</v>
      </c>
      <c r="AA17" s="462">
        <v>70000.0</v>
      </c>
      <c r="AB17" s="462">
        <v>70000.0</v>
      </c>
      <c r="AC17" s="462">
        <v>70000.0</v>
      </c>
      <c r="AD17" s="462"/>
      <c r="AE17" s="462"/>
      <c r="AF17" s="462">
        <f t="shared" si="7"/>
        <v>660000</v>
      </c>
    </row>
    <row r="18" ht="15.75" customHeight="1">
      <c r="A18" s="447" t="s">
        <v>142</v>
      </c>
      <c r="B18" s="447"/>
      <c r="C18" s="462"/>
      <c r="D18" s="462"/>
      <c r="E18" s="462"/>
      <c r="F18" s="462"/>
      <c r="G18" s="462"/>
      <c r="H18" s="462"/>
      <c r="I18" s="462"/>
      <c r="J18" s="462"/>
      <c r="K18" s="462"/>
      <c r="L18" s="462"/>
      <c r="M18" s="462"/>
      <c r="N18" s="462"/>
      <c r="O18" s="462">
        <f t="shared" si="6"/>
        <v>0</v>
      </c>
      <c r="P18" s="460"/>
      <c r="Q18" s="452"/>
      <c r="R18" s="447" t="s">
        <v>142</v>
      </c>
      <c r="S18" s="447"/>
      <c r="T18" s="462"/>
      <c r="U18" s="462">
        <v>30000.0</v>
      </c>
      <c r="V18" s="462"/>
      <c r="W18" s="462">
        <v>30000.0</v>
      </c>
      <c r="X18" s="462">
        <v>30000.0</v>
      </c>
      <c r="Y18" s="462"/>
      <c r="Z18" s="462"/>
      <c r="AA18" s="462"/>
      <c r="AB18" s="462"/>
      <c r="AC18" s="462">
        <v>30000.0</v>
      </c>
      <c r="AD18" s="462"/>
      <c r="AE18" s="462"/>
      <c r="AF18" s="462">
        <f t="shared" si="7"/>
        <v>120000</v>
      </c>
    </row>
    <row r="19" ht="15.75" customHeight="1">
      <c r="A19" s="447" t="s">
        <v>143</v>
      </c>
      <c r="B19" s="447"/>
      <c r="C19" s="462"/>
      <c r="D19" s="462"/>
      <c r="E19" s="462"/>
      <c r="F19" s="462"/>
      <c r="G19" s="462"/>
      <c r="H19" s="462"/>
      <c r="I19" s="462"/>
      <c r="J19" s="462"/>
      <c r="K19" s="462"/>
      <c r="L19" s="462"/>
      <c r="M19" s="462"/>
      <c r="N19" s="462"/>
      <c r="O19" s="462">
        <f t="shared" si="6"/>
        <v>0</v>
      </c>
      <c r="P19" s="460">
        <f>O19/$O$5</f>
        <v>0</v>
      </c>
      <c r="Q19" s="452"/>
      <c r="R19" s="447" t="s">
        <v>143</v>
      </c>
      <c r="S19" s="447"/>
      <c r="T19" s="462">
        <v>50000.0</v>
      </c>
      <c r="U19" s="462">
        <v>50000.0</v>
      </c>
      <c r="V19" s="462">
        <v>30000.0</v>
      </c>
      <c r="W19" s="462">
        <v>30000.0</v>
      </c>
      <c r="X19" s="462">
        <v>30000.0</v>
      </c>
      <c r="Y19" s="462">
        <v>30000.0</v>
      </c>
      <c r="Z19" s="462">
        <v>30000.0</v>
      </c>
      <c r="AA19" s="462">
        <v>30000.0</v>
      </c>
      <c r="AB19" s="462">
        <v>30000.0</v>
      </c>
      <c r="AC19" s="462">
        <v>30000.0</v>
      </c>
      <c r="AD19" s="462"/>
      <c r="AE19" s="462"/>
      <c r="AF19" s="462">
        <f t="shared" si="7"/>
        <v>340000</v>
      </c>
    </row>
    <row r="20" ht="15.75" customHeight="1">
      <c r="A20" s="447" t="s">
        <v>144</v>
      </c>
      <c r="B20" s="447"/>
      <c r="C20" s="462"/>
      <c r="D20" s="462"/>
      <c r="E20" s="462"/>
      <c r="F20" s="462"/>
      <c r="G20" s="462"/>
      <c r="H20" s="462"/>
      <c r="I20" s="462"/>
      <c r="J20" s="462"/>
      <c r="K20" s="462"/>
      <c r="L20" s="462"/>
      <c r="M20" s="462"/>
      <c r="N20" s="462"/>
      <c r="O20" s="462">
        <f t="shared" si="6"/>
        <v>0</v>
      </c>
      <c r="P20" s="460"/>
      <c r="Q20" s="452"/>
      <c r="R20" s="447" t="s">
        <v>144</v>
      </c>
      <c r="S20" s="447"/>
      <c r="T20" s="462"/>
      <c r="U20" s="462"/>
      <c r="V20" s="462"/>
      <c r="W20" s="462"/>
      <c r="X20" s="462"/>
      <c r="Y20" s="462"/>
      <c r="Z20" s="462"/>
      <c r="AA20" s="462"/>
      <c r="AB20" s="462"/>
      <c r="AC20" s="462"/>
      <c r="AD20" s="462"/>
      <c r="AE20" s="462"/>
      <c r="AF20" s="462">
        <f t="shared" si="7"/>
        <v>0</v>
      </c>
    </row>
    <row r="21" ht="15.75" customHeight="1">
      <c r="A21" s="447" t="s">
        <v>145</v>
      </c>
      <c r="B21" s="447"/>
      <c r="C21" s="462"/>
      <c r="D21" s="462"/>
      <c r="E21" s="462"/>
      <c r="F21" s="462"/>
      <c r="G21" s="462"/>
      <c r="H21" s="462"/>
      <c r="I21" s="462"/>
      <c r="J21" s="462"/>
      <c r="K21" s="462"/>
      <c r="L21" s="462"/>
      <c r="M21" s="462"/>
      <c r="N21" s="462"/>
      <c r="O21" s="462">
        <f t="shared" si="6"/>
        <v>0</v>
      </c>
      <c r="P21" s="460"/>
      <c r="Q21" s="452"/>
      <c r="R21" s="447" t="s">
        <v>145</v>
      </c>
      <c r="S21" s="447"/>
      <c r="T21" s="462"/>
      <c r="U21" s="462"/>
      <c r="V21" s="462"/>
      <c r="W21" s="462"/>
      <c r="X21" s="462"/>
      <c r="Y21" s="462"/>
      <c r="Z21" s="462"/>
      <c r="AA21" s="462"/>
      <c r="AB21" s="462"/>
      <c r="AC21" s="462"/>
      <c r="AD21" s="462"/>
      <c r="AE21" s="462"/>
      <c r="AF21" s="462">
        <f t="shared" si="7"/>
        <v>0</v>
      </c>
    </row>
    <row r="22" ht="15.75" customHeight="1">
      <c r="A22" s="447" t="s">
        <v>33</v>
      </c>
      <c r="B22" s="447"/>
      <c r="C22" s="462"/>
      <c r="D22" s="462"/>
      <c r="E22" s="462"/>
      <c r="F22" s="462"/>
      <c r="G22" s="462"/>
      <c r="H22" s="462"/>
      <c r="I22" s="462"/>
      <c r="J22" s="462"/>
      <c r="K22" s="462"/>
      <c r="L22" s="462"/>
      <c r="M22" s="462"/>
      <c r="N22" s="462"/>
      <c r="O22" s="462">
        <f t="shared" si="6"/>
        <v>0</v>
      </c>
      <c r="P22" s="460"/>
      <c r="Q22" s="452"/>
      <c r="R22" s="447" t="s">
        <v>33</v>
      </c>
      <c r="S22" s="447"/>
      <c r="T22" s="462"/>
      <c r="U22" s="462"/>
      <c r="V22" s="462"/>
      <c r="W22" s="462"/>
      <c r="X22" s="462"/>
      <c r="Y22" s="462"/>
      <c r="Z22" s="462"/>
      <c r="AA22" s="462"/>
      <c r="AB22" s="462"/>
      <c r="AC22" s="462"/>
      <c r="AD22" s="462"/>
      <c r="AE22" s="462"/>
      <c r="AF22" s="462">
        <f t="shared" si="7"/>
        <v>0</v>
      </c>
    </row>
    <row r="23" ht="15.75" customHeight="1">
      <c r="A23" s="447" t="s">
        <v>146</v>
      </c>
      <c r="B23" s="447"/>
      <c r="C23" s="462"/>
      <c r="D23" s="462"/>
      <c r="E23" s="462"/>
      <c r="F23" s="462"/>
      <c r="G23" s="462"/>
      <c r="H23" s="462"/>
      <c r="I23" s="462"/>
      <c r="J23" s="462"/>
      <c r="K23" s="462"/>
      <c r="L23" s="462"/>
      <c r="M23" s="462"/>
      <c r="N23" s="462"/>
      <c r="O23" s="462">
        <f t="shared" si="6"/>
        <v>0</v>
      </c>
      <c r="P23" s="460"/>
      <c r="Q23" s="452"/>
      <c r="R23" s="447" t="s">
        <v>146</v>
      </c>
      <c r="S23" s="447"/>
      <c r="T23" s="462"/>
      <c r="U23" s="462"/>
      <c r="V23" s="462"/>
      <c r="W23" s="462"/>
      <c r="X23" s="462"/>
      <c r="Y23" s="462"/>
      <c r="Z23" s="462"/>
      <c r="AA23" s="462"/>
      <c r="AB23" s="462"/>
      <c r="AC23" s="462"/>
      <c r="AD23" s="462"/>
      <c r="AE23" s="462"/>
      <c r="AF23" s="462">
        <f t="shared" si="7"/>
        <v>0</v>
      </c>
    </row>
    <row r="24" ht="15.75" customHeight="1">
      <c r="A24" s="447" t="s">
        <v>147</v>
      </c>
      <c r="B24" s="447"/>
      <c r="C24" s="462"/>
      <c r="D24" s="462"/>
      <c r="E24" s="462"/>
      <c r="F24" s="462"/>
      <c r="G24" s="462"/>
      <c r="H24" s="462"/>
      <c r="I24" s="462"/>
      <c r="J24" s="462"/>
      <c r="K24" s="462"/>
      <c r="L24" s="462"/>
      <c r="M24" s="462"/>
      <c r="N24" s="462"/>
      <c r="O24" s="462">
        <f t="shared" si="6"/>
        <v>0</v>
      </c>
      <c r="P24" s="460"/>
      <c r="Q24" s="452"/>
      <c r="R24" s="447" t="s">
        <v>147</v>
      </c>
      <c r="S24" s="447"/>
      <c r="T24" s="462"/>
      <c r="U24" s="462"/>
      <c r="V24" s="462"/>
      <c r="W24" s="462"/>
      <c r="X24" s="462"/>
      <c r="Y24" s="462"/>
      <c r="Z24" s="462"/>
      <c r="AA24" s="462"/>
      <c r="AB24" s="462"/>
      <c r="AC24" s="462"/>
      <c r="AD24" s="462"/>
      <c r="AE24" s="462"/>
      <c r="AF24" s="462">
        <f t="shared" si="7"/>
        <v>0</v>
      </c>
    </row>
    <row r="25" ht="15.75" customHeight="1">
      <c r="A25" s="447" t="s">
        <v>35</v>
      </c>
      <c r="B25" s="467"/>
      <c r="C25" s="467"/>
      <c r="D25" s="447"/>
      <c r="E25" s="447"/>
      <c r="F25" s="447"/>
      <c r="G25" s="447"/>
      <c r="H25" s="447"/>
      <c r="I25" s="447"/>
      <c r="J25" s="447"/>
      <c r="K25" s="447"/>
      <c r="L25" s="447"/>
      <c r="M25" s="447"/>
      <c r="N25" s="447"/>
      <c r="O25" s="471">
        <f t="shared" si="6"/>
        <v>0</v>
      </c>
      <c r="P25" s="460"/>
      <c r="Q25" s="452"/>
      <c r="R25" s="447" t="s">
        <v>35</v>
      </c>
      <c r="S25" s="467"/>
      <c r="T25" s="467"/>
      <c r="U25" s="447"/>
      <c r="V25" s="447"/>
      <c r="W25" s="447"/>
      <c r="X25" s="447"/>
      <c r="Y25" s="447"/>
      <c r="Z25" s="447"/>
      <c r="AA25" s="447"/>
      <c r="AB25" s="447"/>
      <c r="AC25" s="447">
        <v>11810.0</v>
      </c>
      <c r="AD25" s="447"/>
      <c r="AE25" s="447"/>
      <c r="AF25" s="471">
        <f t="shared" si="7"/>
        <v>11810</v>
      </c>
    </row>
    <row r="26" ht="15.75" customHeight="1">
      <c r="A26" s="447" t="s">
        <v>148</v>
      </c>
      <c r="B26" s="461">
        <v>0.0</v>
      </c>
      <c r="C26" s="492">
        <f t="shared" ref="C26:N26" si="9">C3*$B$26</f>
        <v>0</v>
      </c>
      <c r="D26" s="492">
        <f t="shared" si="9"/>
        <v>0</v>
      </c>
      <c r="E26" s="492">
        <f t="shared" si="9"/>
        <v>0</v>
      </c>
      <c r="F26" s="492">
        <f t="shared" si="9"/>
        <v>0</v>
      </c>
      <c r="G26" s="492">
        <f t="shared" si="9"/>
        <v>0</v>
      </c>
      <c r="H26" s="492">
        <f t="shared" si="9"/>
        <v>0</v>
      </c>
      <c r="I26" s="492">
        <f t="shared" si="9"/>
        <v>0</v>
      </c>
      <c r="J26" s="492">
        <f t="shared" si="9"/>
        <v>0</v>
      </c>
      <c r="K26" s="492">
        <f t="shared" si="9"/>
        <v>0</v>
      </c>
      <c r="L26" s="492">
        <f t="shared" si="9"/>
        <v>0</v>
      </c>
      <c r="M26" s="492">
        <f t="shared" si="9"/>
        <v>0</v>
      </c>
      <c r="N26" s="492">
        <f t="shared" si="9"/>
        <v>0</v>
      </c>
      <c r="O26" s="462">
        <f t="shared" si="6"/>
        <v>0</v>
      </c>
      <c r="P26" s="460"/>
      <c r="Q26" s="452"/>
      <c r="R26" s="447" t="s">
        <v>148</v>
      </c>
      <c r="S26" s="461">
        <v>0.0</v>
      </c>
      <c r="T26" s="492">
        <f>T3*$B$26</f>
        <v>0</v>
      </c>
      <c r="U26" s="492">
        <v>0.0</v>
      </c>
      <c r="V26" s="492">
        <v>0.0</v>
      </c>
      <c r="W26" s="492">
        <v>0.0</v>
      </c>
      <c r="X26" s="492">
        <v>0.0</v>
      </c>
      <c r="Y26" s="492">
        <v>0.0</v>
      </c>
      <c r="Z26" s="492">
        <v>0.0</v>
      </c>
      <c r="AA26" s="492">
        <v>0.0</v>
      </c>
      <c r="AB26" s="492">
        <v>0.0</v>
      </c>
      <c r="AC26" s="492">
        <v>0.0</v>
      </c>
      <c r="AD26" s="492"/>
      <c r="AE26" s="492"/>
      <c r="AF26" s="462">
        <f t="shared" si="7"/>
        <v>0</v>
      </c>
    </row>
    <row r="27" ht="15.75" customHeight="1">
      <c r="A27" s="447" t="s">
        <v>34</v>
      </c>
      <c r="B27" s="461">
        <v>0.0</v>
      </c>
      <c r="C27" s="492"/>
      <c r="D27" s="492"/>
      <c r="E27" s="492"/>
      <c r="F27" s="492"/>
      <c r="G27" s="492"/>
      <c r="H27" s="492"/>
      <c r="I27" s="492"/>
      <c r="J27" s="492"/>
      <c r="K27" s="492"/>
      <c r="L27" s="492"/>
      <c r="M27" s="492"/>
      <c r="N27" s="492"/>
      <c r="O27" s="462">
        <f t="shared" si="6"/>
        <v>0</v>
      </c>
      <c r="P27" s="460">
        <f>O27/$O$5</f>
        <v>0</v>
      </c>
      <c r="Q27" s="452"/>
      <c r="R27" s="447" t="s">
        <v>34</v>
      </c>
      <c r="S27" s="461">
        <v>0.0</v>
      </c>
      <c r="T27" s="492">
        <v>2000.0</v>
      </c>
      <c r="U27" s="492">
        <v>2000.0</v>
      </c>
      <c r="V27" s="492">
        <v>1000.0</v>
      </c>
      <c r="W27" s="492">
        <v>1000.0</v>
      </c>
      <c r="X27" s="492">
        <v>1000.0</v>
      </c>
      <c r="Y27" s="492">
        <v>1000.0</v>
      </c>
      <c r="Z27" s="492">
        <v>1000.0</v>
      </c>
      <c r="AA27" s="492">
        <v>1000.0</v>
      </c>
      <c r="AB27" s="492">
        <v>1000.0</v>
      </c>
      <c r="AC27" s="492">
        <v>1000.0</v>
      </c>
      <c r="AD27" s="492"/>
      <c r="AE27" s="492"/>
      <c r="AF27" s="462">
        <f t="shared" si="7"/>
        <v>12000</v>
      </c>
    </row>
    <row r="28" ht="15.75" customHeight="1">
      <c r="A28" s="447" t="s">
        <v>149</v>
      </c>
      <c r="B28" s="467"/>
      <c r="C28" s="467"/>
      <c r="D28" s="447"/>
      <c r="E28" s="447"/>
      <c r="F28" s="447"/>
      <c r="G28" s="447"/>
      <c r="H28" s="447"/>
      <c r="I28" s="447"/>
      <c r="J28" s="447"/>
      <c r="K28" s="447"/>
      <c r="L28" s="447"/>
      <c r="M28" s="447"/>
      <c r="N28" s="447"/>
      <c r="O28" s="471">
        <f t="shared" si="6"/>
        <v>0</v>
      </c>
      <c r="P28" s="460"/>
      <c r="Q28" s="452"/>
      <c r="R28" s="447" t="s">
        <v>149</v>
      </c>
      <c r="S28" s="467"/>
      <c r="T28" s="467"/>
      <c r="U28" s="447"/>
      <c r="V28" s="447"/>
      <c r="W28" s="447"/>
      <c r="X28" s="447"/>
      <c r="Y28" s="447"/>
      <c r="Z28" s="447"/>
      <c r="AA28" s="447"/>
      <c r="AB28" s="447"/>
      <c r="AC28" s="447"/>
      <c r="AD28" s="447"/>
      <c r="AE28" s="447"/>
      <c r="AF28" s="471">
        <f t="shared" si="7"/>
        <v>0</v>
      </c>
    </row>
    <row r="29" ht="15.75" customHeight="1">
      <c r="A29" s="447" t="s">
        <v>150</v>
      </c>
      <c r="B29" s="468"/>
      <c r="C29" s="492"/>
      <c r="D29" s="462"/>
      <c r="E29" s="462"/>
      <c r="F29" s="462"/>
      <c r="G29" s="462"/>
      <c r="H29" s="462"/>
      <c r="I29" s="462"/>
      <c r="J29" s="462"/>
      <c r="K29" s="462"/>
      <c r="L29" s="462"/>
      <c r="M29" s="462"/>
      <c r="N29" s="462"/>
      <c r="O29" s="462">
        <f t="shared" si="6"/>
        <v>0</v>
      </c>
      <c r="P29" s="460"/>
      <c r="Q29" s="452"/>
      <c r="R29" s="447" t="s">
        <v>150</v>
      </c>
      <c r="S29" s="468"/>
      <c r="T29" s="492"/>
      <c r="U29" s="462"/>
      <c r="V29" s="462">
        <v>80000.0</v>
      </c>
      <c r="W29" s="462"/>
      <c r="X29" s="462">
        <v>80000.0</v>
      </c>
      <c r="Y29" s="462"/>
      <c r="Z29" s="462"/>
      <c r="AA29" s="462"/>
      <c r="AB29" s="462">
        <v>80000.0</v>
      </c>
      <c r="AC29" s="462"/>
      <c r="AD29" s="462"/>
      <c r="AE29" s="462"/>
      <c r="AF29" s="462">
        <f t="shared" si="7"/>
        <v>240000</v>
      </c>
    </row>
    <row r="30" ht="15.75" customHeight="1">
      <c r="A30" s="447" t="s">
        <v>36</v>
      </c>
      <c r="B30" s="461"/>
      <c r="C30" s="462">
        <v>10000.0</v>
      </c>
      <c r="D30" s="462">
        <v>10000.0</v>
      </c>
      <c r="E30" s="462">
        <v>10000.0</v>
      </c>
      <c r="F30" s="462">
        <v>10000.0</v>
      </c>
      <c r="G30" s="462">
        <v>10000.0</v>
      </c>
      <c r="H30" s="462">
        <v>10000.0</v>
      </c>
      <c r="I30" s="462">
        <v>10000.0</v>
      </c>
      <c r="J30" s="462">
        <v>10000.0</v>
      </c>
      <c r="K30" s="462">
        <v>10000.0</v>
      </c>
      <c r="L30" s="462">
        <v>10000.0</v>
      </c>
      <c r="M30" s="462">
        <v>10000.0</v>
      </c>
      <c r="N30" s="462">
        <v>10000.0</v>
      </c>
      <c r="O30" s="462">
        <f t="shared" si="6"/>
        <v>120000</v>
      </c>
      <c r="P30" s="460"/>
      <c r="Q30" s="452"/>
      <c r="R30" s="447" t="s">
        <v>36</v>
      </c>
      <c r="S30" s="461">
        <v>0.0</v>
      </c>
      <c r="T30" s="462">
        <f>T3*$B$30</f>
        <v>0</v>
      </c>
      <c r="U30" s="462">
        <v>0.0</v>
      </c>
      <c r="V30" s="462">
        <v>11903.68</v>
      </c>
      <c r="W30" s="462">
        <v>11903.68</v>
      </c>
      <c r="X30" s="462">
        <v>11903.68</v>
      </c>
      <c r="Y30" s="462">
        <v>11903.68</v>
      </c>
      <c r="Z30" s="462">
        <v>9836.36</v>
      </c>
      <c r="AA30" s="462">
        <v>9836.36</v>
      </c>
      <c r="AB30" s="462">
        <v>9836.36</v>
      </c>
      <c r="AC30" s="462">
        <v>4800.0</v>
      </c>
      <c r="AD30" s="462"/>
      <c r="AE30" s="462"/>
      <c r="AF30" s="462">
        <f t="shared" si="7"/>
        <v>81923.8</v>
      </c>
    </row>
    <row r="31" ht="15.75" customHeight="1">
      <c r="A31" s="447" t="s">
        <v>151</v>
      </c>
      <c r="B31" s="447"/>
      <c r="C31" s="462"/>
      <c r="D31" s="462"/>
      <c r="E31" s="462"/>
      <c r="F31" s="462"/>
      <c r="G31" s="462"/>
      <c r="H31" s="462"/>
      <c r="I31" s="462"/>
      <c r="J31" s="462"/>
      <c r="K31" s="462"/>
      <c r="L31" s="462"/>
      <c r="M31" s="462"/>
      <c r="N31" s="462"/>
      <c r="O31" s="462">
        <f t="shared" si="6"/>
        <v>0</v>
      </c>
      <c r="P31" s="460"/>
      <c r="Q31" s="452"/>
      <c r="R31" s="447" t="s">
        <v>151</v>
      </c>
      <c r="S31" s="447"/>
      <c r="T31" s="462"/>
      <c r="U31" s="462"/>
      <c r="V31" s="462"/>
      <c r="W31" s="462"/>
      <c r="X31" s="462"/>
      <c r="Y31" s="462"/>
      <c r="Z31" s="462"/>
      <c r="AA31" s="462"/>
      <c r="AB31" s="462"/>
      <c r="AC31" s="462"/>
      <c r="AD31" s="462"/>
      <c r="AE31" s="462"/>
      <c r="AF31" s="462">
        <f t="shared" si="7"/>
        <v>0</v>
      </c>
    </row>
    <row r="32" ht="15.75" customHeight="1">
      <c r="A32" s="447" t="s">
        <v>152</v>
      </c>
      <c r="B32" s="461"/>
      <c r="C32" s="462"/>
      <c r="D32" s="462"/>
      <c r="E32" s="462"/>
      <c r="F32" s="462"/>
      <c r="G32" s="462"/>
      <c r="H32" s="462"/>
      <c r="I32" s="462"/>
      <c r="J32" s="462"/>
      <c r="K32" s="462"/>
      <c r="L32" s="462"/>
      <c r="M32" s="462"/>
      <c r="N32" s="462"/>
      <c r="O32" s="462">
        <f t="shared" si="6"/>
        <v>0</v>
      </c>
      <c r="P32" s="460"/>
      <c r="Q32" s="452"/>
      <c r="R32" s="447" t="s">
        <v>152</v>
      </c>
      <c r="S32" s="461"/>
      <c r="T32" s="462"/>
      <c r="U32" s="462"/>
      <c r="V32" s="462">
        <v>2000.0</v>
      </c>
      <c r="W32" s="462">
        <v>2000.0</v>
      </c>
      <c r="X32" s="462">
        <v>2000.0</v>
      </c>
      <c r="Y32" s="462">
        <v>2000.0</v>
      </c>
      <c r="Z32" s="462">
        <v>2000.0</v>
      </c>
      <c r="AA32" s="462">
        <v>2000.0</v>
      </c>
      <c r="AB32" s="462">
        <v>2000.0</v>
      </c>
      <c r="AC32" s="462">
        <v>2000.0</v>
      </c>
      <c r="AD32" s="462"/>
      <c r="AE32" s="462"/>
      <c r="AF32" s="462">
        <f t="shared" si="7"/>
        <v>16000</v>
      </c>
    </row>
    <row r="33" ht="15.75" customHeight="1">
      <c r="A33" s="447" t="s">
        <v>256</v>
      </c>
      <c r="B33" s="461">
        <v>0.0</v>
      </c>
      <c r="C33" s="462">
        <f t="shared" ref="C33:N33" si="10">C3*$B$33</f>
        <v>0</v>
      </c>
      <c r="D33" s="462">
        <f t="shared" si="10"/>
        <v>0</v>
      </c>
      <c r="E33" s="462">
        <f t="shared" si="10"/>
        <v>0</v>
      </c>
      <c r="F33" s="462">
        <f t="shared" si="10"/>
        <v>0</v>
      </c>
      <c r="G33" s="462">
        <f t="shared" si="10"/>
        <v>0</v>
      </c>
      <c r="H33" s="462">
        <f t="shared" si="10"/>
        <v>0</v>
      </c>
      <c r="I33" s="462">
        <f t="shared" si="10"/>
        <v>0</v>
      </c>
      <c r="J33" s="462">
        <f t="shared" si="10"/>
        <v>0</v>
      </c>
      <c r="K33" s="462">
        <f t="shared" si="10"/>
        <v>0</v>
      </c>
      <c r="L33" s="462">
        <f t="shared" si="10"/>
        <v>0</v>
      </c>
      <c r="M33" s="462">
        <f t="shared" si="10"/>
        <v>0</v>
      </c>
      <c r="N33" s="462">
        <f t="shared" si="10"/>
        <v>0</v>
      </c>
      <c r="O33" s="462">
        <f t="shared" si="6"/>
        <v>0</v>
      </c>
      <c r="P33" s="460"/>
      <c r="Q33" s="452"/>
      <c r="R33" s="447" t="s">
        <v>256</v>
      </c>
      <c r="S33" s="461">
        <v>0.0</v>
      </c>
      <c r="T33" s="462">
        <f>T3*$B$33</f>
        <v>0</v>
      </c>
      <c r="U33" s="462">
        <v>0.0</v>
      </c>
      <c r="V33" s="462">
        <v>0.0</v>
      </c>
      <c r="W33" s="462">
        <v>0.0</v>
      </c>
      <c r="X33" s="462">
        <v>0.0</v>
      </c>
      <c r="Y33" s="462">
        <v>0.0</v>
      </c>
      <c r="Z33" s="462">
        <v>0.0</v>
      </c>
      <c r="AA33" s="462">
        <v>0.0</v>
      </c>
      <c r="AB33" s="462">
        <v>0.0</v>
      </c>
      <c r="AC33" s="462">
        <v>0.0</v>
      </c>
      <c r="AD33" s="462"/>
      <c r="AE33" s="462"/>
      <c r="AF33" s="462">
        <f t="shared" si="7"/>
        <v>0</v>
      </c>
    </row>
    <row r="34" ht="15.75" customHeight="1">
      <c r="A34" s="447" t="s">
        <v>257</v>
      </c>
      <c r="B34" s="461"/>
      <c r="C34" s="462">
        <v>50000.0</v>
      </c>
      <c r="D34" s="462">
        <v>50000.0</v>
      </c>
      <c r="E34" s="462">
        <v>50000.0</v>
      </c>
      <c r="F34" s="462">
        <v>50000.0</v>
      </c>
      <c r="G34" s="462">
        <v>50000.0</v>
      </c>
      <c r="H34" s="462">
        <v>50000.0</v>
      </c>
      <c r="I34" s="462">
        <v>50000.0</v>
      </c>
      <c r="J34" s="462">
        <v>50000.0</v>
      </c>
      <c r="K34" s="462">
        <v>50000.0</v>
      </c>
      <c r="L34" s="462">
        <v>50000.0</v>
      </c>
      <c r="M34" s="462">
        <v>50000.0</v>
      </c>
      <c r="N34" s="462">
        <v>50000.0</v>
      </c>
      <c r="O34" s="462">
        <f t="shared" si="6"/>
        <v>600000</v>
      </c>
      <c r="P34" s="460">
        <f>O34/$O$5</f>
        <v>0.06451612903</v>
      </c>
      <c r="Q34" s="452"/>
      <c r="R34" s="447" t="s">
        <v>257</v>
      </c>
      <c r="S34" s="461"/>
      <c r="T34" s="462">
        <v>50000.0</v>
      </c>
      <c r="U34" s="462">
        <v>50000.0</v>
      </c>
      <c r="V34" s="462">
        <v>50000.0</v>
      </c>
      <c r="W34" s="462">
        <v>50000.0</v>
      </c>
      <c r="X34" s="462">
        <v>50000.0</v>
      </c>
      <c r="Y34" s="462">
        <v>50000.0</v>
      </c>
      <c r="Z34" s="462">
        <v>50000.0</v>
      </c>
      <c r="AA34" s="462">
        <v>50000.0</v>
      </c>
      <c r="AB34" s="462">
        <v>50000.0</v>
      </c>
      <c r="AC34" s="462">
        <v>50000.0</v>
      </c>
      <c r="AD34" s="462"/>
      <c r="AE34" s="462"/>
      <c r="AF34" s="462">
        <f t="shared" si="7"/>
        <v>500000</v>
      </c>
    </row>
    <row r="35" ht="15.75" customHeight="1">
      <c r="A35" s="447" t="s">
        <v>241</v>
      </c>
      <c r="B35" s="447"/>
      <c r="C35" s="462"/>
      <c r="D35" s="462"/>
      <c r="E35" s="462"/>
      <c r="F35" s="462"/>
      <c r="G35" s="462"/>
      <c r="H35" s="462"/>
      <c r="I35" s="462"/>
      <c r="J35" s="462"/>
      <c r="K35" s="462"/>
      <c r="L35" s="462"/>
      <c r="M35" s="462"/>
      <c r="N35" s="462"/>
      <c r="O35" s="462">
        <f t="shared" si="6"/>
        <v>0</v>
      </c>
      <c r="P35" s="460"/>
      <c r="Q35" s="452"/>
      <c r="R35" s="447" t="s">
        <v>241</v>
      </c>
      <c r="S35" s="447"/>
      <c r="T35" s="462">
        <v>90000.0</v>
      </c>
      <c r="U35" s="462"/>
      <c r="V35" s="462"/>
      <c r="W35" s="462"/>
      <c r="X35" s="462"/>
      <c r="Y35" s="462"/>
      <c r="Z35" s="462"/>
      <c r="AA35" s="462"/>
      <c r="AB35" s="462"/>
      <c r="AC35" s="462"/>
      <c r="AD35" s="462"/>
      <c r="AE35" s="462"/>
      <c r="AF35" s="462">
        <f t="shared" si="7"/>
        <v>90000</v>
      </c>
    </row>
    <row r="36" ht="15.75" customHeight="1">
      <c r="A36" s="447"/>
      <c r="B36" s="447"/>
      <c r="C36" s="447"/>
      <c r="D36" s="447"/>
      <c r="E36" s="447"/>
      <c r="F36" s="447"/>
      <c r="G36" s="447"/>
      <c r="H36" s="447"/>
      <c r="I36" s="447"/>
      <c r="J36" s="447"/>
      <c r="K36" s="447"/>
      <c r="L36" s="447"/>
      <c r="M36" s="447"/>
      <c r="N36" s="447"/>
      <c r="O36" s="471"/>
      <c r="P36" s="460"/>
      <c r="Q36" s="452"/>
      <c r="R36" s="447"/>
      <c r="S36" s="447"/>
      <c r="T36" s="447"/>
      <c r="U36" s="447"/>
      <c r="V36" s="447"/>
      <c r="W36" s="447"/>
      <c r="X36" s="447"/>
      <c r="Y36" s="447"/>
      <c r="Z36" s="447"/>
      <c r="AA36" s="447"/>
      <c r="AB36" s="447"/>
      <c r="AC36" s="447"/>
      <c r="AD36" s="447"/>
      <c r="AE36" s="447"/>
      <c r="AF36" s="471"/>
    </row>
    <row r="37" ht="15.75" customHeight="1">
      <c r="A37" s="447" t="s">
        <v>153</v>
      </c>
      <c r="B37" s="447"/>
      <c r="C37" s="462">
        <f t="shared" ref="C37:O37" si="11">SUM(C7:C36)</f>
        <v>860000</v>
      </c>
      <c r="D37" s="462">
        <f t="shared" si="11"/>
        <v>860000</v>
      </c>
      <c r="E37" s="462">
        <f t="shared" si="11"/>
        <v>860000</v>
      </c>
      <c r="F37" s="462">
        <f t="shared" si="11"/>
        <v>860000</v>
      </c>
      <c r="G37" s="462">
        <f t="shared" si="11"/>
        <v>860000</v>
      </c>
      <c r="H37" s="462">
        <f t="shared" si="11"/>
        <v>860000</v>
      </c>
      <c r="I37" s="462">
        <f t="shared" si="11"/>
        <v>860000</v>
      </c>
      <c r="J37" s="462">
        <f t="shared" si="11"/>
        <v>1050000</v>
      </c>
      <c r="K37" s="462">
        <f t="shared" si="11"/>
        <v>1050000</v>
      </c>
      <c r="L37" s="462">
        <f t="shared" si="11"/>
        <v>1050000</v>
      </c>
      <c r="M37" s="462">
        <f t="shared" si="11"/>
        <v>1050000</v>
      </c>
      <c r="N37" s="462">
        <f t="shared" si="11"/>
        <v>630000</v>
      </c>
      <c r="O37" s="462">
        <f t="shared" si="11"/>
        <v>10850000</v>
      </c>
      <c r="P37" s="460">
        <f t="shared" ref="P37:P38" si="13">O37/$O$5</f>
        <v>1.166666667</v>
      </c>
      <c r="Q37" s="452"/>
      <c r="R37" s="447" t="s">
        <v>153</v>
      </c>
      <c r="S37" s="447"/>
      <c r="T37" s="462">
        <f>SUM(T7:T36)</f>
        <v>210000</v>
      </c>
      <c r="U37" s="462">
        <v>2679233.0</v>
      </c>
      <c r="V37" s="462">
        <v>2632294.68</v>
      </c>
      <c r="W37" s="462">
        <v>3097703.68</v>
      </c>
      <c r="X37" s="462">
        <v>3195903.68</v>
      </c>
      <c r="Y37" s="462">
        <v>4292303.68</v>
      </c>
      <c r="Z37" s="462">
        <v>2961236.36</v>
      </c>
      <c r="AA37" s="462">
        <v>2965136.36</v>
      </c>
      <c r="AB37" s="462">
        <v>4200836.359999999</v>
      </c>
      <c r="AC37" s="462">
        <v>1144610.0</v>
      </c>
      <c r="AD37" s="462"/>
      <c r="AE37" s="462"/>
      <c r="AF37" s="462">
        <f>SUM(AF7:AF36)</f>
        <v>27379257.8</v>
      </c>
    </row>
    <row r="38" ht="15.75" customHeight="1">
      <c r="A38" s="463" t="s">
        <v>40</v>
      </c>
      <c r="B38" s="463"/>
      <c r="C38" s="465">
        <f t="shared" ref="C38:O38" si="12">C5-C37</f>
        <v>-60000</v>
      </c>
      <c r="D38" s="465">
        <f t="shared" si="12"/>
        <v>-60000</v>
      </c>
      <c r="E38" s="465">
        <f t="shared" si="12"/>
        <v>-60000</v>
      </c>
      <c r="F38" s="465">
        <f t="shared" si="12"/>
        <v>-60000</v>
      </c>
      <c r="G38" s="465">
        <f t="shared" si="12"/>
        <v>-60000</v>
      </c>
      <c r="H38" s="465">
        <f t="shared" si="12"/>
        <v>-60000</v>
      </c>
      <c r="I38" s="465">
        <f t="shared" si="12"/>
        <v>-60000</v>
      </c>
      <c r="J38" s="465">
        <f t="shared" si="12"/>
        <v>-250000</v>
      </c>
      <c r="K38" s="465">
        <f t="shared" si="12"/>
        <v>-250000</v>
      </c>
      <c r="L38" s="465">
        <f t="shared" si="12"/>
        <v>-250000</v>
      </c>
      <c r="M38" s="465">
        <f t="shared" si="12"/>
        <v>-250000</v>
      </c>
      <c r="N38" s="465">
        <f t="shared" si="12"/>
        <v>-130000</v>
      </c>
      <c r="O38" s="465">
        <f t="shared" si="12"/>
        <v>-1550000</v>
      </c>
      <c r="P38" s="460">
        <f t="shared" si="13"/>
        <v>-0.1666666667</v>
      </c>
      <c r="Q38" s="452"/>
      <c r="R38" s="463" t="s">
        <v>40</v>
      </c>
      <c r="S38" s="463"/>
      <c r="T38" s="465">
        <f>T5-T37</f>
        <v>87592</v>
      </c>
      <c r="U38" s="465">
        <v>147592.0</v>
      </c>
      <c r="V38" s="465">
        <v>4688.319999999832</v>
      </c>
      <c r="W38" s="465">
        <v>54688.31999999983</v>
      </c>
      <c r="X38" s="465">
        <v>-25311.680000000168</v>
      </c>
      <c r="Y38" s="465">
        <v>84688.3200000003</v>
      </c>
      <c r="Z38" s="465">
        <v>38072.64000000013</v>
      </c>
      <c r="AA38" s="465">
        <v>38072.64000000013</v>
      </c>
      <c r="AB38" s="465">
        <v>-41927.359999999404</v>
      </c>
      <c r="AC38" s="465">
        <v>-224610.0</v>
      </c>
      <c r="AD38" s="465"/>
      <c r="AE38" s="465"/>
      <c r="AF38" s="465">
        <f>AF5-AF37</f>
        <v>-24735978.8</v>
      </c>
    </row>
    <row r="39" ht="15.75" customHeight="1">
      <c r="A39" s="447" t="s">
        <v>154</v>
      </c>
      <c r="B39" s="447"/>
      <c r="C39" s="462"/>
      <c r="D39" s="462"/>
      <c r="E39" s="462"/>
      <c r="F39" s="462"/>
      <c r="G39" s="462"/>
      <c r="H39" s="462"/>
      <c r="I39" s="462"/>
      <c r="J39" s="462"/>
      <c r="K39" s="462"/>
      <c r="L39" s="462"/>
      <c r="M39" s="462"/>
      <c r="N39" s="462"/>
      <c r="O39" s="462">
        <f t="shared" ref="O39:O41" si="14">SUM(C39:N39)</f>
        <v>0</v>
      </c>
      <c r="P39" s="460"/>
      <c r="Q39" s="452"/>
      <c r="R39" s="447" t="s">
        <v>154</v>
      </c>
      <c r="S39" s="447"/>
      <c r="T39" s="462"/>
      <c r="U39" s="462"/>
      <c r="V39" s="462"/>
      <c r="W39" s="462"/>
      <c r="X39" s="462"/>
      <c r="Y39" s="462"/>
      <c r="Z39" s="462"/>
      <c r="AA39" s="462"/>
      <c r="AB39" s="462"/>
      <c r="AC39" s="462"/>
      <c r="AD39" s="462"/>
      <c r="AE39" s="462"/>
      <c r="AF39" s="462">
        <f t="shared" ref="AF39:AF41" si="15">SUM(T39:AE39)</f>
        <v>0</v>
      </c>
    </row>
    <row r="40" ht="15.75" customHeight="1">
      <c r="A40" s="447" t="s">
        <v>155</v>
      </c>
      <c r="B40" s="447"/>
      <c r="C40" s="447"/>
      <c r="D40" s="447"/>
      <c r="E40" s="462"/>
      <c r="F40" s="447"/>
      <c r="G40" s="447"/>
      <c r="H40" s="447"/>
      <c r="I40" s="447"/>
      <c r="J40" s="447"/>
      <c r="K40" s="447"/>
      <c r="L40" s="447"/>
      <c r="M40" s="447"/>
      <c r="N40" s="447"/>
      <c r="O40" s="471">
        <f t="shared" si="14"/>
        <v>0</v>
      </c>
      <c r="P40" s="460"/>
      <c r="Q40" s="452"/>
      <c r="R40" s="447" t="s">
        <v>155</v>
      </c>
      <c r="S40" s="447"/>
      <c r="T40" s="447"/>
      <c r="U40" s="447"/>
      <c r="V40" s="462"/>
      <c r="W40" s="447"/>
      <c r="X40" s="447"/>
      <c r="Y40" s="447"/>
      <c r="Z40" s="447"/>
      <c r="AA40" s="447"/>
      <c r="AB40" s="447"/>
      <c r="AC40" s="447"/>
      <c r="AD40" s="447"/>
      <c r="AE40" s="447"/>
      <c r="AF40" s="471">
        <f t="shared" si="15"/>
        <v>0</v>
      </c>
    </row>
    <row r="41" ht="15.75" customHeight="1">
      <c r="A41" s="447" t="s">
        <v>156</v>
      </c>
      <c r="B41" s="447"/>
      <c r="C41" s="458">
        <v>2000000.0</v>
      </c>
      <c r="D41" s="447"/>
      <c r="E41" s="447"/>
      <c r="F41" s="447"/>
      <c r="G41" s="447"/>
      <c r="H41" s="447"/>
      <c r="I41" s="447"/>
      <c r="J41" s="447"/>
      <c r="K41" s="447"/>
      <c r="L41" s="447"/>
      <c r="M41" s="447"/>
      <c r="N41" s="447"/>
      <c r="O41" s="459">
        <f t="shared" si="14"/>
        <v>2000000</v>
      </c>
      <c r="P41" s="460"/>
      <c r="Q41" s="452"/>
      <c r="R41" s="447" t="s">
        <v>156</v>
      </c>
      <c r="S41" s="447"/>
      <c r="T41" s="447"/>
      <c r="U41" s="447"/>
      <c r="V41" s="447"/>
      <c r="W41" s="447"/>
      <c r="X41" s="447"/>
      <c r="Y41" s="447"/>
      <c r="Z41" s="447"/>
      <c r="AA41" s="447"/>
      <c r="AB41" s="447"/>
      <c r="AC41" s="447"/>
      <c r="AD41" s="447"/>
      <c r="AE41" s="447"/>
      <c r="AF41" s="471">
        <f t="shared" si="15"/>
        <v>0</v>
      </c>
    </row>
    <row r="42" ht="15.75" customHeight="1">
      <c r="A42" s="463" t="s">
        <v>43</v>
      </c>
      <c r="B42" s="463"/>
      <c r="C42" s="465">
        <f t="shared" ref="C42:O42" si="16">C38-C39-C40+C41</f>
        <v>1940000</v>
      </c>
      <c r="D42" s="465">
        <f t="shared" si="16"/>
        <v>-60000</v>
      </c>
      <c r="E42" s="465">
        <f t="shared" si="16"/>
        <v>-60000</v>
      </c>
      <c r="F42" s="465">
        <f t="shared" si="16"/>
        <v>-60000</v>
      </c>
      <c r="G42" s="465">
        <f t="shared" si="16"/>
        <v>-60000</v>
      </c>
      <c r="H42" s="465">
        <f t="shared" si="16"/>
        <v>-60000</v>
      </c>
      <c r="I42" s="465">
        <f t="shared" si="16"/>
        <v>-60000</v>
      </c>
      <c r="J42" s="465">
        <f t="shared" si="16"/>
        <v>-250000</v>
      </c>
      <c r="K42" s="465">
        <f t="shared" si="16"/>
        <v>-250000</v>
      </c>
      <c r="L42" s="465">
        <f t="shared" si="16"/>
        <v>-250000</v>
      </c>
      <c r="M42" s="465">
        <f t="shared" si="16"/>
        <v>-250000</v>
      </c>
      <c r="N42" s="465">
        <f t="shared" si="16"/>
        <v>-130000</v>
      </c>
      <c r="O42" s="470">
        <f t="shared" si="16"/>
        <v>450000</v>
      </c>
      <c r="P42" s="460">
        <f>O42/$O$5</f>
        <v>0.04838709677</v>
      </c>
      <c r="Q42" s="452"/>
      <c r="R42" s="463" t="s">
        <v>43</v>
      </c>
      <c r="S42" s="463"/>
      <c r="T42" s="465">
        <f>T38-T39-T40+T41</f>
        <v>87592</v>
      </c>
      <c r="U42" s="465">
        <v>147592.0</v>
      </c>
      <c r="V42" s="465">
        <v>4688.319999999832</v>
      </c>
      <c r="W42" s="465">
        <v>54688.31999999983</v>
      </c>
      <c r="X42" s="465">
        <v>-25311.680000000168</v>
      </c>
      <c r="Y42" s="465">
        <v>84688.3200000003</v>
      </c>
      <c r="Z42" s="465">
        <v>38072.64000000013</v>
      </c>
      <c r="AA42" s="465">
        <v>38072.64000000013</v>
      </c>
      <c r="AB42" s="465">
        <v>-41927.359999999404</v>
      </c>
      <c r="AC42" s="465">
        <v>-224610.0</v>
      </c>
      <c r="AD42" s="465"/>
      <c r="AE42" s="465"/>
      <c r="AF42" s="470">
        <f>AF38-AF39-AF40+AF41</f>
        <v>-24735978.8</v>
      </c>
    </row>
    <row r="43" ht="15.75" customHeight="1">
      <c r="A43" s="447" t="s">
        <v>44</v>
      </c>
      <c r="B43" s="447"/>
      <c r="C43" s="447"/>
      <c r="D43" s="447"/>
      <c r="E43" s="447"/>
      <c r="F43" s="447"/>
      <c r="G43" s="447"/>
      <c r="H43" s="447"/>
      <c r="I43" s="447"/>
      <c r="J43" s="447"/>
      <c r="K43" s="447"/>
      <c r="L43" s="447"/>
      <c r="M43" s="447"/>
      <c r="N43" s="447"/>
      <c r="O43" s="471">
        <f t="shared" ref="O43:O44" si="17">SUM(C43:N43)</f>
        <v>0</v>
      </c>
      <c r="P43" s="460"/>
      <c r="Q43" s="452"/>
      <c r="R43" s="447" t="s">
        <v>44</v>
      </c>
      <c r="S43" s="447"/>
      <c r="T43" s="447"/>
      <c r="U43" s="447"/>
      <c r="V43" s="447"/>
      <c r="W43" s="447"/>
      <c r="X43" s="447"/>
      <c r="Y43" s="447"/>
      <c r="Z43" s="447"/>
      <c r="AA43" s="447"/>
      <c r="AB43" s="447"/>
      <c r="AC43" s="447"/>
      <c r="AD43" s="447"/>
      <c r="AE43" s="447"/>
      <c r="AF43" s="471">
        <f t="shared" ref="AF43:AF44" si="18">SUM(T43:AE43)</f>
        <v>0</v>
      </c>
    </row>
    <row r="44" ht="15.75" customHeight="1">
      <c r="A44" s="472" t="s">
        <v>45</v>
      </c>
      <c r="B44" s="472"/>
      <c r="C44" s="472"/>
      <c r="D44" s="472"/>
      <c r="E44" s="472"/>
      <c r="F44" s="472"/>
      <c r="G44" s="472"/>
      <c r="H44" s="472"/>
      <c r="I44" s="472"/>
      <c r="J44" s="472"/>
      <c r="K44" s="472"/>
      <c r="L44" s="472"/>
      <c r="M44" s="472"/>
      <c r="N44" s="472"/>
      <c r="O44" s="497">
        <f t="shared" si="17"/>
        <v>0</v>
      </c>
      <c r="P44" s="460"/>
      <c r="Q44" s="452"/>
      <c r="R44" s="472" t="s">
        <v>45</v>
      </c>
      <c r="S44" s="472"/>
      <c r="T44" s="472"/>
      <c r="U44" s="472"/>
      <c r="V44" s="472"/>
      <c r="W44" s="472"/>
      <c r="X44" s="472"/>
      <c r="Y44" s="472"/>
      <c r="Z44" s="472"/>
      <c r="AA44" s="472"/>
      <c r="AB44" s="472"/>
      <c r="AC44" s="472"/>
      <c r="AD44" s="472"/>
      <c r="AE44" s="472"/>
      <c r="AF44" s="497">
        <f t="shared" si="18"/>
        <v>0</v>
      </c>
    </row>
    <row r="45" ht="15.75" customHeight="1">
      <c r="A45" s="463" t="s">
        <v>157</v>
      </c>
      <c r="B45" s="463"/>
      <c r="C45" s="465">
        <f t="shared" ref="C45:O45" si="19">C42+C43-C44</f>
        <v>1940000</v>
      </c>
      <c r="D45" s="465">
        <f t="shared" si="19"/>
        <v>-60000</v>
      </c>
      <c r="E45" s="465">
        <f t="shared" si="19"/>
        <v>-60000</v>
      </c>
      <c r="F45" s="465">
        <f t="shared" si="19"/>
        <v>-60000</v>
      </c>
      <c r="G45" s="465">
        <f t="shared" si="19"/>
        <v>-60000</v>
      </c>
      <c r="H45" s="465">
        <f t="shared" si="19"/>
        <v>-60000</v>
      </c>
      <c r="I45" s="465">
        <f t="shared" si="19"/>
        <v>-60000</v>
      </c>
      <c r="J45" s="465">
        <f t="shared" si="19"/>
        <v>-250000</v>
      </c>
      <c r="K45" s="465">
        <f t="shared" si="19"/>
        <v>-250000</v>
      </c>
      <c r="L45" s="465">
        <f t="shared" si="19"/>
        <v>-250000</v>
      </c>
      <c r="M45" s="465">
        <f t="shared" si="19"/>
        <v>-250000</v>
      </c>
      <c r="N45" s="465">
        <f t="shared" si="19"/>
        <v>-130000</v>
      </c>
      <c r="O45" s="465">
        <f t="shared" si="19"/>
        <v>450000</v>
      </c>
      <c r="P45" s="460">
        <f t="shared" ref="P45:P47" si="20">O45/$O$5</f>
        <v>0.04838709677</v>
      </c>
      <c r="Q45" s="452"/>
      <c r="R45" s="463" t="s">
        <v>157</v>
      </c>
      <c r="S45" s="463"/>
      <c r="T45" s="465">
        <f>T42+T43-T44</f>
        <v>87592</v>
      </c>
      <c r="U45" s="465">
        <v>147592.0</v>
      </c>
      <c r="V45" s="465">
        <v>4688.319999999832</v>
      </c>
      <c r="W45" s="465">
        <v>54688.31999999983</v>
      </c>
      <c r="X45" s="465">
        <v>-25311.680000000168</v>
      </c>
      <c r="Y45" s="465">
        <v>84688.3200000003</v>
      </c>
      <c r="Z45" s="465">
        <v>38072.64000000013</v>
      </c>
      <c r="AA45" s="465">
        <v>38072.64000000013</v>
      </c>
      <c r="AB45" s="465">
        <v>-41927.359999999404</v>
      </c>
      <c r="AC45" s="465">
        <v>-224610.0</v>
      </c>
      <c r="AD45" s="465"/>
      <c r="AE45" s="465"/>
      <c r="AF45" s="465">
        <f>AF42+AF43-AF44</f>
        <v>-24735978.8</v>
      </c>
    </row>
    <row r="46" ht="15.75" customHeight="1">
      <c r="A46" s="463" t="s">
        <v>158</v>
      </c>
      <c r="B46" s="477">
        <v>0.33</v>
      </c>
      <c r="C46" s="465"/>
      <c r="D46" s="465"/>
      <c r="E46" s="465"/>
      <c r="F46" s="465"/>
      <c r="G46" s="465"/>
      <c r="H46" s="465"/>
      <c r="I46" s="465"/>
      <c r="J46" s="465"/>
      <c r="K46" s="465"/>
      <c r="L46" s="465"/>
      <c r="M46" s="465"/>
      <c r="N46" s="465"/>
      <c r="O46" s="465"/>
      <c r="P46" s="460">
        <f t="shared" si="20"/>
        <v>0</v>
      </c>
      <c r="Q46" s="452"/>
      <c r="R46" s="463" t="s">
        <v>158</v>
      </c>
      <c r="S46" s="477">
        <v>0.33</v>
      </c>
      <c r="T46" s="465"/>
      <c r="U46" s="465"/>
      <c r="V46" s="465"/>
      <c r="W46" s="465"/>
      <c r="X46" s="465"/>
      <c r="Y46" s="465"/>
      <c r="Z46" s="465"/>
      <c r="AA46" s="465"/>
      <c r="AB46" s="465"/>
      <c r="AC46" s="465"/>
      <c r="AD46" s="465"/>
      <c r="AE46" s="465"/>
      <c r="AF46" s="465" t="str">
        <f t="shared" ref="AF46:AF47" si="21">O46</f>
        <v/>
      </c>
    </row>
    <row r="47" ht="15.75" customHeight="1">
      <c r="A47" s="463" t="s">
        <v>159</v>
      </c>
      <c r="B47" s="463"/>
      <c r="C47" s="465"/>
      <c r="D47" s="465"/>
      <c r="E47" s="465"/>
      <c r="F47" s="465"/>
      <c r="G47" s="465"/>
      <c r="H47" s="465"/>
      <c r="I47" s="465"/>
      <c r="J47" s="465"/>
      <c r="K47" s="465"/>
      <c r="L47" s="465"/>
      <c r="M47" s="465"/>
      <c r="N47" s="465"/>
      <c r="O47" s="465">
        <f>O45-O46</f>
        <v>450000</v>
      </c>
      <c r="P47" s="460">
        <f t="shared" si="20"/>
        <v>0.04838709677</v>
      </c>
      <c r="Q47" s="452"/>
      <c r="R47" s="463" t="s">
        <v>159</v>
      </c>
      <c r="S47" s="463"/>
      <c r="T47" s="465"/>
      <c r="U47" s="465"/>
      <c r="V47" s="465"/>
      <c r="W47" s="465"/>
      <c r="X47" s="465"/>
      <c r="Y47" s="465"/>
      <c r="Z47" s="465"/>
      <c r="AA47" s="465"/>
      <c r="AB47" s="465"/>
      <c r="AC47" s="465"/>
      <c r="AD47" s="465"/>
      <c r="AE47" s="465"/>
      <c r="AF47" s="465">
        <f t="shared" si="21"/>
        <v>450000</v>
      </c>
    </row>
    <row r="48" ht="15.75" customHeight="1">
      <c r="A48" s="478"/>
      <c r="B48" s="452"/>
      <c r="C48" s="479"/>
      <c r="D48" s="479"/>
      <c r="E48" s="479"/>
      <c r="F48" s="479"/>
      <c r="G48" s="479"/>
      <c r="H48" s="479"/>
      <c r="I48" s="479"/>
      <c r="J48" s="479"/>
      <c r="K48" s="479"/>
      <c r="L48" s="479"/>
      <c r="M48" s="479"/>
      <c r="N48" s="479"/>
      <c r="O48" s="479"/>
      <c r="P48" s="452"/>
      <c r="Q48" s="452"/>
    </row>
    <row r="49" ht="15.75" customHeight="1">
      <c r="A49" s="478"/>
      <c r="B49" s="452"/>
      <c r="C49" s="457"/>
      <c r="D49" s="457"/>
      <c r="E49" s="457"/>
      <c r="F49" s="457"/>
      <c r="G49" s="457"/>
      <c r="H49" s="457"/>
      <c r="I49" s="457"/>
      <c r="J49" s="457"/>
      <c r="K49" s="457"/>
      <c r="L49" s="457"/>
      <c r="M49" s="457"/>
      <c r="N49" s="457"/>
      <c r="O49" s="457"/>
      <c r="P49" s="452"/>
      <c r="Q49" s="452"/>
    </row>
    <row r="50" ht="15.75" customHeight="1">
      <c r="A50" s="478" t="s">
        <v>116</v>
      </c>
      <c r="B50" s="508">
        <f>SUM(B4:B36)</f>
        <v>0</v>
      </c>
      <c r="C50" s="457"/>
      <c r="D50" s="457"/>
      <c r="E50" s="457"/>
      <c r="F50" s="457"/>
      <c r="G50" s="457"/>
      <c r="H50" s="457"/>
      <c r="I50" s="457"/>
      <c r="J50" s="457"/>
      <c r="K50" s="457"/>
      <c r="L50" s="457"/>
      <c r="M50" s="457"/>
      <c r="N50" s="457"/>
      <c r="O50" s="457"/>
      <c r="P50" s="452"/>
      <c r="Q50" s="452"/>
    </row>
    <row r="51" ht="15.75" customHeight="1">
      <c r="A51" s="478" t="s">
        <v>258</v>
      </c>
      <c r="B51" s="508">
        <f>100%-B50</f>
        <v>1</v>
      </c>
      <c r="C51" s="457"/>
      <c r="D51" s="457"/>
      <c r="E51" s="457"/>
      <c r="F51" s="457"/>
      <c r="G51" s="457"/>
      <c r="H51" s="457"/>
      <c r="I51" s="457"/>
      <c r="J51" s="457"/>
      <c r="K51" s="457"/>
      <c r="L51" s="457"/>
      <c r="M51" s="457"/>
      <c r="N51" s="457"/>
      <c r="O51" s="457"/>
      <c r="P51" s="452"/>
      <c r="Q51" s="452"/>
    </row>
    <row r="52" ht="15.75" customHeight="1">
      <c r="A52" s="452"/>
      <c r="B52" s="452"/>
      <c r="C52" s="452"/>
      <c r="D52" s="452"/>
      <c r="E52" s="452"/>
      <c r="F52" s="452"/>
      <c r="G52" s="452"/>
      <c r="H52" s="452"/>
      <c r="I52" s="452"/>
      <c r="J52" s="452"/>
      <c r="K52" s="452"/>
      <c r="L52" s="452"/>
      <c r="M52" s="452"/>
      <c r="N52" s="452"/>
      <c r="O52" s="452"/>
      <c r="P52" s="452"/>
      <c r="Q52" s="452"/>
    </row>
    <row r="53" ht="15.75" customHeight="1">
      <c r="A53" s="452"/>
      <c r="C53" s="452"/>
      <c r="D53" s="452"/>
      <c r="E53" s="452"/>
      <c r="F53" s="452"/>
      <c r="G53" s="452"/>
      <c r="H53" s="452"/>
      <c r="I53" s="452"/>
      <c r="J53" s="452"/>
      <c r="K53" s="452"/>
      <c r="L53" s="452"/>
      <c r="M53" s="452"/>
      <c r="N53" s="452"/>
      <c r="O53" s="452"/>
      <c r="P53" s="452"/>
      <c r="Q53" s="452"/>
    </row>
    <row r="54" ht="15.75" customHeight="1">
      <c r="A54" s="452"/>
      <c r="C54" s="452"/>
      <c r="D54" s="452"/>
      <c r="E54" s="452"/>
      <c r="F54" s="452"/>
      <c r="G54" s="452"/>
      <c r="H54" s="452"/>
      <c r="I54" s="452"/>
      <c r="J54" s="452"/>
      <c r="K54" s="452"/>
      <c r="L54" s="452"/>
      <c r="M54" s="452"/>
      <c r="N54" s="452"/>
      <c r="O54" s="452"/>
      <c r="P54" s="452"/>
      <c r="Q54" s="452"/>
    </row>
    <row r="55" ht="15.75" customHeight="1">
      <c r="A55" s="452"/>
      <c r="B55" s="516"/>
      <c r="C55" s="516"/>
      <c r="D55" s="516"/>
      <c r="E55" s="516"/>
      <c r="F55" s="516"/>
      <c r="G55" s="516"/>
      <c r="H55" s="516"/>
      <c r="I55" s="516"/>
      <c r="J55" s="516"/>
      <c r="K55" s="516"/>
      <c r="L55" s="516"/>
      <c r="M55" s="516"/>
      <c r="N55" s="452"/>
      <c r="O55" s="452"/>
      <c r="P55" s="452"/>
      <c r="Q55" s="452"/>
    </row>
    <row r="56" ht="15.75" customHeight="1">
      <c r="A56" s="452"/>
      <c r="D56" s="452"/>
      <c r="E56" s="452"/>
      <c r="F56" s="452"/>
      <c r="G56" s="452"/>
      <c r="H56" s="452"/>
      <c r="I56" s="452"/>
      <c r="J56" s="452"/>
      <c r="K56" s="452"/>
      <c r="L56" s="452"/>
      <c r="M56" s="452"/>
      <c r="N56" s="452"/>
      <c r="O56" s="452"/>
      <c r="P56" s="452"/>
      <c r="Q56" s="452"/>
    </row>
    <row r="57" ht="15.75" customHeight="1">
      <c r="A57" s="452"/>
      <c r="C57" s="452"/>
      <c r="D57" s="452"/>
      <c r="E57" s="452"/>
      <c r="F57" s="452"/>
      <c r="G57" s="452"/>
      <c r="H57" s="452"/>
      <c r="I57" s="452"/>
      <c r="J57" s="452"/>
      <c r="K57" s="452"/>
      <c r="L57" s="452"/>
      <c r="M57" s="452"/>
      <c r="N57" s="452"/>
      <c r="O57" s="452"/>
      <c r="P57" s="452"/>
      <c r="Q57" s="452"/>
    </row>
    <row r="58" ht="15.75" customHeight="1">
      <c r="B58" s="517"/>
      <c r="C58" s="517"/>
      <c r="D58" s="517"/>
      <c r="E58" s="517"/>
      <c r="F58" s="517"/>
      <c r="G58" s="517"/>
      <c r="H58" s="517"/>
      <c r="I58" s="517"/>
      <c r="J58" s="517"/>
      <c r="K58" s="517"/>
      <c r="L58" s="517"/>
      <c r="M58" s="517"/>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53:B53"/>
    <mergeCell ref="A54:B54"/>
    <mergeCell ref="A56:C56"/>
    <mergeCell ref="A57:B57"/>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3.71"/>
    <col customWidth="1" min="2" max="17" width="14.43"/>
  </cols>
  <sheetData>
    <row r="1" ht="15.75" customHeight="1">
      <c r="A1" s="447" t="s">
        <v>288</v>
      </c>
      <c r="B1" s="448" t="s">
        <v>116</v>
      </c>
      <c r="C1" s="449" t="s">
        <v>182</v>
      </c>
      <c r="D1" s="449" t="s">
        <v>183</v>
      </c>
      <c r="E1" s="449" t="s">
        <v>184</v>
      </c>
      <c r="F1" s="447" t="s">
        <v>185</v>
      </c>
      <c r="G1" s="447" t="s">
        <v>186</v>
      </c>
      <c r="H1" s="447" t="s">
        <v>187</v>
      </c>
      <c r="I1" s="447" t="s">
        <v>188</v>
      </c>
      <c r="J1" s="447" t="s">
        <v>189</v>
      </c>
      <c r="K1" s="447" t="s">
        <v>190</v>
      </c>
      <c r="L1" s="447" t="s">
        <v>179</v>
      </c>
      <c r="M1" s="447" t="s">
        <v>180</v>
      </c>
      <c r="N1" s="447" t="s">
        <v>181</v>
      </c>
      <c r="O1" s="447" t="s">
        <v>129</v>
      </c>
      <c r="P1" s="452"/>
      <c r="Q1" s="452"/>
    </row>
    <row r="2" ht="15.75" customHeight="1">
      <c r="A2" s="453"/>
      <c r="B2" s="454"/>
      <c r="C2" s="455"/>
      <c r="D2" s="455"/>
      <c r="E2" s="455"/>
      <c r="F2" s="455"/>
      <c r="G2" s="455"/>
      <c r="H2" s="455"/>
      <c r="I2" s="455"/>
      <c r="J2" s="455"/>
      <c r="K2" s="455"/>
      <c r="L2" s="455"/>
      <c r="M2" s="455"/>
      <c r="N2" s="455"/>
      <c r="O2" s="456">
        <f t="shared" ref="O2:O4" si="1">SUM(C2:N2)</f>
        <v>0</v>
      </c>
      <c r="P2" s="457"/>
      <c r="Q2" s="452"/>
    </row>
    <row r="3" ht="15.75" customHeight="1">
      <c r="A3" s="458" t="s">
        <v>130</v>
      </c>
      <c r="B3" s="458"/>
      <c r="C3" s="458">
        <v>955367.0</v>
      </c>
      <c r="D3" s="458">
        <v>818306.0</v>
      </c>
      <c r="E3" s="458">
        <v>760538.0</v>
      </c>
      <c r="F3" s="458">
        <v>903177.0</v>
      </c>
      <c r="G3" s="458">
        <v>921683.0</v>
      </c>
      <c r="H3" s="512">
        <v>806522.0</v>
      </c>
      <c r="I3" s="458">
        <v>822486.0</v>
      </c>
      <c r="J3" s="458">
        <v>793307.0</v>
      </c>
      <c r="K3" s="458">
        <v>900614.0</v>
      </c>
      <c r="L3" s="458">
        <v>780153.0</v>
      </c>
      <c r="M3" s="458">
        <v>514206.0</v>
      </c>
      <c r="N3" s="458">
        <v>334355.0</v>
      </c>
      <c r="O3" s="459">
        <f t="shared" si="1"/>
        <v>9310714</v>
      </c>
      <c r="P3" s="518">
        <f t="shared" ref="P3:P4" si="2">O3/$O$3</f>
        <v>1</v>
      </c>
      <c r="Q3" s="519"/>
      <c r="R3" s="443"/>
      <c r="S3" s="443"/>
      <c r="T3" s="443"/>
      <c r="U3" s="443"/>
      <c r="V3" s="443"/>
      <c r="W3" s="443"/>
      <c r="X3" s="443"/>
      <c r="Y3" s="443"/>
      <c r="Z3" s="443"/>
    </row>
    <row r="4" ht="15.75" customHeight="1">
      <c r="A4" s="447" t="s">
        <v>131</v>
      </c>
      <c r="B4" s="461"/>
      <c r="C4" s="492"/>
      <c r="D4" s="492"/>
      <c r="E4" s="492"/>
      <c r="F4" s="492"/>
      <c r="G4" s="492"/>
      <c r="H4" s="492"/>
      <c r="I4" s="492"/>
      <c r="J4" s="492"/>
      <c r="K4" s="492"/>
      <c r="L4" s="492"/>
      <c r="M4" s="492"/>
      <c r="N4" s="492"/>
      <c r="O4" s="462">
        <f t="shared" si="1"/>
        <v>0</v>
      </c>
      <c r="P4" s="460">
        <f t="shared" si="2"/>
        <v>0</v>
      </c>
      <c r="Q4" s="452"/>
    </row>
    <row r="5" ht="15.75" customHeight="1">
      <c r="A5" s="463" t="s">
        <v>132</v>
      </c>
      <c r="B5" s="464"/>
      <c r="C5" s="465">
        <f t="shared" ref="C5:O5" si="3">C2+C3-C4</f>
        <v>955367</v>
      </c>
      <c r="D5" s="465">
        <f t="shared" si="3"/>
        <v>818306</v>
      </c>
      <c r="E5" s="465">
        <f t="shared" si="3"/>
        <v>760538</v>
      </c>
      <c r="F5" s="465">
        <f t="shared" si="3"/>
        <v>903177</v>
      </c>
      <c r="G5" s="465">
        <f t="shared" si="3"/>
        <v>921683</v>
      </c>
      <c r="H5" s="465">
        <f t="shared" si="3"/>
        <v>806522</v>
      </c>
      <c r="I5" s="465">
        <f t="shared" si="3"/>
        <v>822486</v>
      </c>
      <c r="J5" s="465">
        <f t="shared" si="3"/>
        <v>793307</v>
      </c>
      <c r="K5" s="465">
        <f t="shared" si="3"/>
        <v>900614</v>
      </c>
      <c r="L5" s="465">
        <f t="shared" si="3"/>
        <v>780153</v>
      </c>
      <c r="M5" s="465">
        <f t="shared" si="3"/>
        <v>514206</v>
      </c>
      <c r="N5" s="465">
        <f t="shared" si="3"/>
        <v>334355</v>
      </c>
      <c r="O5" s="465">
        <f t="shared" si="3"/>
        <v>9310714</v>
      </c>
      <c r="P5" s="460"/>
      <c r="Q5" s="452"/>
    </row>
    <row r="6" ht="15.75" customHeight="1">
      <c r="A6" s="447"/>
      <c r="B6" s="447"/>
      <c r="C6" s="447"/>
      <c r="D6" s="447"/>
      <c r="E6" s="447"/>
      <c r="F6" s="447"/>
      <c r="G6" s="447"/>
      <c r="H6" s="447"/>
      <c r="I6" s="447"/>
      <c r="J6" s="447"/>
      <c r="K6" s="447"/>
      <c r="L6" s="447"/>
      <c r="M6" s="447"/>
      <c r="N6" s="447"/>
      <c r="O6" s="465">
        <f t="shared" ref="O6:O35" si="4">SUM(C6:N6)</f>
        <v>0</v>
      </c>
      <c r="P6" s="460"/>
      <c r="Q6" s="452"/>
    </row>
    <row r="7" ht="15.75" customHeight="1">
      <c r="A7" s="447" t="s">
        <v>133</v>
      </c>
      <c r="B7" s="447"/>
      <c r="C7" s="462"/>
      <c r="D7" s="462"/>
      <c r="E7" s="462"/>
      <c r="F7" s="462"/>
      <c r="G7" s="462"/>
      <c r="H7" s="462"/>
      <c r="I7" s="462"/>
      <c r="J7" s="462"/>
      <c r="K7" s="462"/>
      <c r="L7" s="462"/>
      <c r="M7" s="462"/>
      <c r="N7" s="462"/>
      <c r="O7" s="462">
        <f t="shared" si="4"/>
        <v>0</v>
      </c>
      <c r="P7" s="460">
        <f>O7/$O$5</f>
        <v>0</v>
      </c>
      <c r="Q7" s="452"/>
    </row>
    <row r="8" ht="15.75" customHeight="1">
      <c r="A8" s="447" t="s">
        <v>134</v>
      </c>
      <c r="B8" s="447"/>
      <c r="C8" s="462"/>
      <c r="D8" s="462"/>
      <c r="E8" s="462"/>
      <c r="F8" s="462"/>
      <c r="G8" s="462">
        <v>188000.0</v>
      </c>
      <c r="H8" s="507">
        <v>188000.0</v>
      </c>
      <c r="I8" s="462">
        <v>188000.0</v>
      </c>
      <c r="J8" s="462">
        <v>188000.0</v>
      </c>
      <c r="K8" s="462"/>
      <c r="L8" s="462"/>
      <c r="M8" s="462"/>
      <c r="N8" s="462"/>
      <c r="O8" s="462">
        <f t="shared" si="4"/>
        <v>752000</v>
      </c>
      <c r="P8" s="460"/>
      <c r="Q8" s="452"/>
    </row>
    <row r="9" ht="15.75" customHeight="1">
      <c r="A9" s="447" t="s">
        <v>135</v>
      </c>
      <c r="B9" s="461"/>
      <c r="C9" s="459">
        <v>929867.0</v>
      </c>
      <c r="D9" s="459">
        <v>791706.0</v>
      </c>
      <c r="E9" s="459">
        <v>735138.0</v>
      </c>
      <c r="F9" s="459">
        <v>874778.0</v>
      </c>
      <c r="G9" s="459">
        <v>709883.0</v>
      </c>
      <c r="H9" s="507">
        <v>598522.0</v>
      </c>
      <c r="I9" s="459">
        <v>640544.0</v>
      </c>
      <c r="J9" s="459">
        <v>583508.0</v>
      </c>
      <c r="K9" s="459">
        <v>737614.0</v>
      </c>
      <c r="L9" s="459">
        <v>599194.0</v>
      </c>
      <c r="M9" s="459">
        <v>328097.0</v>
      </c>
      <c r="N9" s="459">
        <v>315516.0</v>
      </c>
      <c r="O9" s="459">
        <f t="shared" si="4"/>
        <v>7844367</v>
      </c>
      <c r="P9" s="460">
        <f>O9/$O$5</f>
        <v>0.8425097152</v>
      </c>
      <c r="Q9" s="452"/>
    </row>
    <row r="10" ht="15.75" customHeight="1">
      <c r="A10" s="447" t="s">
        <v>29</v>
      </c>
      <c r="B10" s="461">
        <v>0.0</v>
      </c>
      <c r="C10" s="462">
        <v>-797.0</v>
      </c>
      <c r="D10" s="462">
        <v>31466.0</v>
      </c>
      <c r="E10" s="462">
        <v>-552.0</v>
      </c>
      <c r="F10" s="462">
        <v>-838.0</v>
      </c>
      <c r="G10" s="462">
        <v>-1465.0</v>
      </c>
      <c r="H10" s="507">
        <v>-1400.0</v>
      </c>
      <c r="I10" s="462">
        <v>-1353.0</v>
      </c>
      <c r="J10" s="462">
        <v>-1344.0</v>
      </c>
      <c r="K10" s="462">
        <v>-951.0</v>
      </c>
      <c r="L10" s="462">
        <v>-1120.0</v>
      </c>
      <c r="M10" s="462">
        <v>-936.0</v>
      </c>
      <c r="N10" s="462">
        <v>-725.0</v>
      </c>
      <c r="O10" s="462">
        <f t="shared" si="4"/>
        <v>19985</v>
      </c>
      <c r="P10" s="460"/>
      <c r="Q10" s="452"/>
    </row>
    <row r="11" ht="15.75" customHeight="1">
      <c r="A11" s="447" t="s">
        <v>30</v>
      </c>
      <c r="B11" s="447"/>
      <c r="C11" s="447"/>
      <c r="D11" s="447"/>
      <c r="E11" s="447"/>
      <c r="F11" s="447"/>
      <c r="G11" s="447"/>
      <c r="I11" s="447"/>
      <c r="J11" s="447"/>
      <c r="K11" s="447"/>
      <c r="L11" s="447"/>
      <c r="M11" s="447"/>
      <c r="N11" s="447"/>
      <c r="O11" s="471">
        <f t="shared" si="4"/>
        <v>0</v>
      </c>
      <c r="P11" s="460"/>
      <c r="Q11" s="452"/>
    </row>
    <row r="12" ht="15.75" customHeight="1">
      <c r="A12" s="447" t="s">
        <v>136</v>
      </c>
      <c r="B12" s="447"/>
      <c r="C12" s="462"/>
      <c r="D12" s="462"/>
      <c r="E12" s="462"/>
      <c r="F12" s="462"/>
      <c r="G12" s="462"/>
      <c r="H12" s="462"/>
      <c r="I12" s="462"/>
      <c r="J12" s="462">
        <v>362164.0</v>
      </c>
      <c r="K12" s="462">
        <v>352727.0</v>
      </c>
      <c r="L12" s="462">
        <v>352727.0</v>
      </c>
      <c r="M12" s="462">
        <v>352727.0</v>
      </c>
      <c r="N12" s="462">
        <v>352727.0</v>
      </c>
      <c r="O12" s="462">
        <f t="shared" si="4"/>
        <v>1773072</v>
      </c>
      <c r="P12" s="460"/>
      <c r="Q12" s="452"/>
    </row>
    <row r="13" ht="15.75" customHeight="1">
      <c r="A13" s="447" t="s">
        <v>137</v>
      </c>
      <c r="B13" s="461"/>
      <c r="C13" s="462"/>
      <c r="D13" s="462"/>
      <c r="E13" s="462"/>
      <c r="F13" s="462"/>
      <c r="G13" s="462"/>
      <c r="H13" s="462"/>
      <c r="I13" s="462"/>
      <c r="J13" s="462"/>
      <c r="K13" s="462"/>
      <c r="L13" s="462"/>
      <c r="M13" s="462"/>
      <c r="N13" s="462"/>
      <c r="O13" s="462">
        <f t="shared" si="4"/>
        <v>0</v>
      </c>
      <c r="P13" s="460"/>
      <c r="Q13" s="452"/>
    </row>
    <row r="14" ht="15.75" customHeight="1">
      <c r="A14" s="447" t="s">
        <v>138</v>
      </c>
      <c r="B14" s="447"/>
      <c r="C14" s="462">
        <v>23091.0</v>
      </c>
      <c r="D14" s="462">
        <v>24182.0</v>
      </c>
      <c r="E14" s="462"/>
      <c r="F14" s="462">
        <v>25818.0</v>
      </c>
      <c r="G14" s="462">
        <v>21636.0</v>
      </c>
      <c r="H14" s="507">
        <v>18182.0</v>
      </c>
      <c r="I14" s="462">
        <v>21636.0</v>
      </c>
      <c r="J14" s="462">
        <v>19818.0</v>
      </c>
      <c r="K14" s="462">
        <v>22727.0</v>
      </c>
      <c r="L14" s="462">
        <v>17455.0</v>
      </c>
      <c r="M14" s="462">
        <v>13818.0</v>
      </c>
      <c r="N14" s="462">
        <v>17127.0</v>
      </c>
      <c r="O14" s="462">
        <f t="shared" si="4"/>
        <v>225490</v>
      </c>
      <c r="P14" s="460"/>
      <c r="Q14" s="452"/>
    </row>
    <row r="15" ht="15.75" customHeight="1">
      <c r="A15" s="447" t="s">
        <v>139</v>
      </c>
      <c r="B15" s="447"/>
      <c r="C15" s="462">
        <v>20275.0</v>
      </c>
      <c r="D15" s="462"/>
      <c r="E15" s="462">
        <v>23091.0</v>
      </c>
      <c r="F15" s="462">
        <v>473.0</v>
      </c>
      <c r="G15" s="462"/>
      <c r="H15" s="462"/>
      <c r="I15" s="462"/>
      <c r="J15" s="462"/>
      <c r="K15" s="462"/>
      <c r="L15" s="462"/>
      <c r="M15" s="462"/>
      <c r="N15" s="462"/>
      <c r="O15" s="462">
        <f t="shared" si="4"/>
        <v>43839</v>
      </c>
      <c r="P15" s="460">
        <f>O15/$O$5</f>
        <v>0.004708446635</v>
      </c>
      <c r="Q15" s="452"/>
    </row>
    <row r="16" ht="15.75" customHeight="1">
      <c r="A16" s="447" t="s">
        <v>255</v>
      </c>
      <c r="B16" s="447"/>
      <c r="C16" s="462"/>
      <c r="D16" s="462"/>
      <c r="E16" s="462"/>
      <c r="F16" s="462"/>
      <c r="G16" s="462"/>
      <c r="H16" s="462"/>
      <c r="I16" s="462"/>
      <c r="J16" s="462"/>
      <c r="K16" s="462"/>
      <c r="L16" s="462"/>
      <c r="M16" s="462"/>
      <c r="N16" s="462"/>
      <c r="O16" s="462">
        <f t="shared" si="4"/>
        <v>0</v>
      </c>
      <c r="P16" s="460"/>
      <c r="Q16" s="452"/>
    </row>
    <row r="17" ht="15.75" customHeight="1">
      <c r="A17" s="447" t="s">
        <v>141</v>
      </c>
      <c r="B17" s="447"/>
      <c r="C17" s="462"/>
      <c r="D17" s="462"/>
      <c r="E17" s="462"/>
      <c r="F17" s="462"/>
      <c r="G17" s="462"/>
      <c r="H17" s="462"/>
      <c r="I17" s="462"/>
      <c r="J17" s="462"/>
      <c r="K17" s="462"/>
      <c r="L17" s="462"/>
      <c r="M17" s="462"/>
      <c r="N17" s="462"/>
      <c r="O17" s="462">
        <f t="shared" si="4"/>
        <v>0</v>
      </c>
      <c r="P17" s="460">
        <f>O17/$O$5</f>
        <v>0</v>
      </c>
      <c r="Q17" s="452"/>
    </row>
    <row r="18" ht="15.75" customHeight="1">
      <c r="A18" s="447" t="s">
        <v>142</v>
      </c>
      <c r="B18" s="447"/>
      <c r="C18" s="462"/>
      <c r="D18" s="462"/>
      <c r="E18" s="462"/>
      <c r="F18" s="462"/>
      <c r="G18" s="462"/>
      <c r="H18" s="462"/>
      <c r="I18" s="462"/>
      <c r="J18" s="462"/>
      <c r="K18" s="462"/>
      <c r="L18" s="462"/>
      <c r="M18" s="462"/>
      <c r="N18" s="462"/>
      <c r="O18" s="462">
        <f t="shared" si="4"/>
        <v>0</v>
      </c>
      <c r="P18" s="460"/>
      <c r="Q18" s="452"/>
    </row>
    <row r="19" ht="15.75" customHeight="1">
      <c r="A19" s="447" t="s">
        <v>143</v>
      </c>
      <c r="B19" s="447"/>
      <c r="C19" s="462"/>
      <c r="D19" s="462"/>
      <c r="E19" s="462"/>
      <c r="F19" s="462"/>
      <c r="G19" s="462"/>
      <c r="H19" s="462"/>
      <c r="I19" s="462"/>
      <c r="J19" s="462"/>
      <c r="K19" s="462"/>
      <c r="L19" s="462"/>
      <c r="M19" s="462"/>
      <c r="N19" s="462"/>
      <c r="O19" s="462">
        <f t="shared" si="4"/>
        <v>0</v>
      </c>
      <c r="P19" s="460">
        <f>O19/$O$5</f>
        <v>0</v>
      </c>
      <c r="Q19" s="452"/>
    </row>
    <row r="20" ht="15.75" customHeight="1">
      <c r="A20" s="447" t="s">
        <v>144</v>
      </c>
      <c r="B20" s="447"/>
      <c r="C20" s="462"/>
      <c r="D20" s="462"/>
      <c r="E20" s="462"/>
      <c r="F20" s="462"/>
      <c r="G20" s="462"/>
      <c r="H20" s="462"/>
      <c r="I20" s="462"/>
      <c r="J20" s="462"/>
      <c r="K20" s="462"/>
      <c r="L20" s="462"/>
      <c r="M20" s="462"/>
      <c r="N20" s="462"/>
      <c r="O20" s="462">
        <f t="shared" si="4"/>
        <v>0</v>
      </c>
      <c r="P20" s="460"/>
      <c r="Q20" s="452"/>
    </row>
    <row r="21" ht="15.75" customHeight="1">
      <c r="A21" s="447" t="s">
        <v>145</v>
      </c>
      <c r="B21" s="447"/>
      <c r="C21" s="462"/>
      <c r="D21" s="462"/>
      <c r="E21" s="462"/>
      <c r="F21" s="462"/>
      <c r="G21" s="462"/>
      <c r="H21" s="462"/>
      <c r="I21" s="462"/>
      <c r="J21" s="462"/>
      <c r="K21" s="462"/>
      <c r="L21" s="462"/>
      <c r="M21" s="462"/>
      <c r="N21" s="462"/>
      <c r="O21" s="462">
        <f t="shared" si="4"/>
        <v>0</v>
      </c>
      <c r="P21" s="460"/>
      <c r="Q21" s="452"/>
    </row>
    <row r="22" ht="15.75" customHeight="1">
      <c r="A22" s="447" t="s">
        <v>33</v>
      </c>
      <c r="B22" s="447"/>
      <c r="C22" s="462"/>
      <c r="D22" s="462"/>
      <c r="E22" s="462"/>
      <c r="F22" s="462"/>
      <c r="G22" s="462"/>
      <c r="H22" s="462"/>
      <c r="I22" s="462"/>
      <c r="J22" s="462"/>
      <c r="K22" s="462"/>
      <c r="L22" s="462"/>
      <c r="M22" s="462"/>
      <c r="N22" s="462"/>
      <c r="O22" s="462">
        <f t="shared" si="4"/>
        <v>0</v>
      </c>
      <c r="P22" s="460"/>
      <c r="Q22" s="452"/>
    </row>
    <row r="23" ht="15.75" customHeight="1">
      <c r="A23" s="447" t="s">
        <v>146</v>
      </c>
      <c r="B23" s="447"/>
      <c r="C23" s="462"/>
      <c r="D23" s="462"/>
      <c r="E23" s="462"/>
      <c r="F23" s="462"/>
      <c r="G23" s="462"/>
      <c r="H23" s="462"/>
      <c r="I23" s="462"/>
      <c r="J23" s="462"/>
      <c r="K23" s="462"/>
      <c r="L23" s="462"/>
      <c r="M23" s="462"/>
      <c r="N23" s="462"/>
      <c r="O23" s="462">
        <f t="shared" si="4"/>
        <v>0</v>
      </c>
      <c r="P23" s="460"/>
      <c r="Q23" s="452"/>
    </row>
    <row r="24" ht="15.75" customHeight="1">
      <c r="A24" s="447" t="s">
        <v>147</v>
      </c>
      <c r="B24" s="447"/>
      <c r="C24" s="462"/>
      <c r="D24" s="462"/>
      <c r="E24" s="462"/>
      <c r="F24" s="462"/>
      <c r="G24" s="462"/>
      <c r="H24" s="462"/>
      <c r="I24" s="462"/>
      <c r="J24" s="462"/>
      <c r="K24" s="462"/>
      <c r="L24" s="462"/>
      <c r="M24" s="462"/>
      <c r="N24" s="462"/>
      <c r="O24" s="462">
        <f t="shared" si="4"/>
        <v>0</v>
      </c>
      <c r="P24" s="460"/>
      <c r="Q24" s="452"/>
    </row>
    <row r="25" ht="15.75" customHeight="1">
      <c r="A25" s="447" t="s">
        <v>35</v>
      </c>
      <c r="B25" s="467"/>
      <c r="C25" s="467"/>
      <c r="D25" s="447"/>
      <c r="E25" s="447"/>
      <c r="F25" s="447"/>
      <c r="G25" s="447"/>
      <c r="H25" s="447"/>
      <c r="I25" s="447"/>
      <c r="J25" s="447"/>
      <c r="K25" s="447"/>
      <c r="L25" s="447"/>
      <c r="M25" s="447"/>
      <c r="N25" s="447"/>
      <c r="O25" s="471">
        <f t="shared" si="4"/>
        <v>0</v>
      </c>
      <c r="P25" s="460"/>
      <c r="Q25" s="452"/>
    </row>
    <row r="26" ht="15.75" customHeight="1">
      <c r="A26" s="447" t="s">
        <v>148</v>
      </c>
      <c r="B26" s="461">
        <v>0.0</v>
      </c>
      <c r="C26" s="492"/>
      <c r="D26" s="492"/>
      <c r="E26" s="492"/>
      <c r="F26" s="492"/>
      <c r="G26" s="492"/>
      <c r="H26" s="492"/>
      <c r="I26" s="492"/>
      <c r="J26" s="492"/>
      <c r="K26" s="492"/>
      <c r="L26" s="492"/>
      <c r="M26" s="492"/>
      <c r="N26" s="492"/>
      <c r="O26" s="462">
        <f t="shared" si="4"/>
        <v>0</v>
      </c>
      <c r="P26" s="460"/>
      <c r="Q26" s="452"/>
    </row>
    <row r="27" ht="15.75" customHeight="1">
      <c r="A27" s="447" t="s">
        <v>34</v>
      </c>
      <c r="B27" s="461">
        <v>0.0</v>
      </c>
      <c r="C27" s="492"/>
      <c r="D27" s="492"/>
      <c r="E27" s="492"/>
      <c r="F27" s="492"/>
      <c r="G27" s="492"/>
      <c r="H27" s="492"/>
      <c r="I27" s="492"/>
      <c r="J27" s="492"/>
      <c r="K27" s="492"/>
      <c r="L27" s="492"/>
      <c r="M27" s="492"/>
      <c r="N27" s="492"/>
      <c r="O27" s="462">
        <f t="shared" si="4"/>
        <v>0</v>
      </c>
      <c r="P27" s="460">
        <f>O27/$O$5</f>
        <v>0</v>
      </c>
      <c r="Q27" s="452"/>
    </row>
    <row r="28" ht="15.75" customHeight="1">
      <c r="A28" s="447" t="s">
        <v>149</v>
      </c>
      <c r="B28" s="467"/>
      <c r="C28" s="467"/>
      <c r="D28" s="447"/>
      <c r="E28" s="447">
        <v>350.0</v>
      </c>
      <c r="F28" s="447">
        <v>10480.0</v>
      </c>
      <c r="G28" s="447">
        <v>5600.0</v>
      </c>
      <c r="H28" s="447"/>
      <c r="I28" s="447">
        <v>30480.0</v>
      </c>
      <c r="J28" s="447"/>
      <c r="K28" s="447"/>
      <c r="L28" s="447"/>
      <c r="M28" s="447"/>
      <c r="N28" s="447"/>
      <c r="O28" s="471">
        <f t="shared" si="4"/>
        <v>46910</v>
      </c>
      <c r="P28" s="460"/>
      <c r="Q28" s="452"/>
    </row>
    <row r="29" ht="15.75" customHeight="1">
      <c r="A29" s="447" t="s">
        <v>150</v>
      </c>
      <c r="B29" s="468"/>
      <c r="C29" s="492"/>
      <c r="D29" s="462"/>
      <c r="E29" s="462"/>
      <c r="F29" s="462"/>
      <c r="G29" s="462"/>
      <c r="H29" s="462"/>
      <c r="I29" s="462"/>
      <c r="J29" s="462"/>
      <c r="K29" s="462"/>
      <c r="L29" s="462"/>
      <c r="M29" s="462"/>
      <c r="N29" s="462"/>
      <c r="O29" s="462">
        <f t="shared" si="4"/>
        <v>0</v>
      </c>
      <c r="P29" s="460"/>
      <c r="Q29" s="452"/>
    </row>
    <row r="30" ht="15.75" customHeight="1">
      <c r="A30" s="447" t="s">
        <v>36</v>
      </c>
      <c r="B30" s="461">
        <v>0.0</v>
      </c>
      <c r="C30" s="462">
        <v>5200.0</v>
      </c>
      <c r="D30" s="462">
        <v>5200.0</v>
      </c>
      <c r="E30" s="462">
        <v>5400.0</v>
      </c>
      <c r="F30" s="462">
        <v>5700.0</v>
      </c>
      <c r="G30" s="462">
        <v>8100.0</v>
      </c>
      <c r="H30" s="507">
        <v>5200.0</v>
      </c>
      <c r="I30" s="462">
        <v>11127.0</v>
      </c>
      <c r="J30" s="462">
        <v>5900.0</v>
      </c>
      <c r="K30" s="462">
        <v>7700.0</v>
      </c>
      <c r="L30" s="462">
        <v>5800.0</v>
      </c>
      <c r="M30" s="462">
        <v>7600.0</v>
      </c>
      <c r="N30" s="462">
        <v>5900.0</v>
      </c>
      <c r="O30" s="462">
        <f t="shared" si="4"/>
        <v>78827</v>
      </c>
      <c r="P30" s="460"/>
      <c r="Q30" s="452"/>
    </row>
    <row r="31" ht="15.75" customHeight="1">
      <c r="A31" s="447" t="s">
        <v>151</v>
      </c>
      <c r="B31" s="447"/>
      <c r="C31" s="462"/>
      <c r="D31" s="462"/>
      <c r="E31" s="462"/>
      <c r="F31" s="462"/>
      <c r="G31" s="462"/>
      <c r="H31" s="462"/>
      <c r="I31" s="462"/>
      <c r="J31" s="462"/>
      <c r="K31" s="462"/>
      <c r="L31" s="462"/>
      <c r="M31" s="462"/>
      <c r="N31" s="462"/>
      <c r="O31" s="462">
        <f t="shared" si="4"/>
        <v>0</v>
      </c>
      <c r="P31" s="460"/>
      <c r="Q31" s="452"/>
    </row>
    <row r="32" ht="15.75" customHeight="1">
      <c r="A32" s="447" t="s">
        <v>152</v>
      </c>
      <c r="B32" s="461"/>
      <c r="C32" s="462"/>
      <c r="D32" s="462"/>
      <c r="E32" s="462"/>
      <c r="F32" s="462"/>
      <c r="G32" s="462"/>
      <c r="H32" s="462"/>
      <c r="I32" s="462"/>
      <c r="J32" s="462"/>
      <c r="K32" s="462"/>
      <c r="L32" s="462"/>
      <c r="M32" s="462"/>
      <c r="N32" s="462"/>
      <c r="O32" s="462">
        <f t="shared" si="4"/>
        <v>0</v>
      </c>
      <c r="P32" s="460"/>
      <c r="Q32" s="452"/>
    </row>
    <row r="33" ht="15.75" customHeight="1">
      <c r="A33" s="447" t="s">
        <v>256</v>
      </c>
      <c r="B33" s="461">
        <v>0.0</v>
      </c>
      <c r="C33" s="462"/>
      <c r="D33" s="462"/>
      <c r="E33" s="462"/>
      <c r="F33" s="462"/>
      <c r="G33" s="462"/>
      <c r="H33" s="462"/>
      <c r="I33" s="462"/>
      <c r="J33" s="462"/>
      <c r="K33" s="462"/>
      <c r="L33" s="462"/>
      <c r="M33" s="462"/>
      <c r="N33" s="462"/>
      <c r="O33" s="462">
        <f t="shared" si="4"/>
        <v>0</v>
      </c>
      <c r="P33" s="460"/>
      <c r="Q33" s="452"/>
    </row>
    <row r="34" ht="15.75" customHeight="1">
      <c r="A34" s="447" t="s">
        <v>257</v>
      </c>
      <c r="B34" s="461"/>
      <c r="C34" s="462">
        <v>50000.0</v>
      </c>
      <c r="D34" s="462">
        <v>50000.0</v>
      </c>
      <c r="E34" s="462">
        <v>150000.0</v>
      </c>
      <c r="F34" s="462">
        <v>57273.0</v>
      </c>
      <c r="G34" s="462">
        <v>50000.0</v>
      </c>
      <c r="H34" s="462">
        <v>50000.0</v>
      </c>
      <c r="I34" s="462">
        <v>50000.0</v>
      </c>
      <c r="J34" s="462">
        <v>50000.0</v>
      </c>
      <c r="K34" s="462">
        <v>50000.0</v>
      </c>
      <c r="L34" s="462">
        <v>50000.0</v>
      </c>
      <c r="M34" s="462">
        <v>50000.0</v>
      </c>
      <c r="N34" s="462">
        <v>50000.0</v>
      </c>
      <c r="O34" s="462">
        <f t="shared" si="4"/>
        <v>707273</v>
      </c>
      <c r="P34" s="460">
        <f>O34/$O$5</f>
        <v>0.07596334717</v>
      </c>
      <c r="Q34" s="452"/>
    </row>
    <row r="35" ht="15.75" customHeight="1">
      <c r="A35" s="447" t="s">
        <v>241</v>
      </c>
      <c r="B35" s="447"/>
      <c r="C35" s="462"/>
      <c r="D35" s="462"/>
      <c r="E35" s="462"/>
      <c r="F35" s="462"/>
      <c r="G35" s="462"/>
      <c r="H35" s="462"/>
      <c r="I35" s="462"/>
      <c r="J35" s="462"/>
      <c r="K35" s="462"/>
      <c r="L35" s="462"/>
      <c r="M35" s="462"/>
      <c r="N35" s="462"/>
      <c r="O35" s="462">
        <f t="shared" si="4"/>
        <v>0</v>
      </c>
      <c r="P35" s="460"/>
      <c r="Q35" s="452"/>
    </row>
    <row r="36" ht="15.75" customHeight="1">
      <c r="A36" s="447"/>
      <c r="B36" s="447"/>
      <c r="C36" s="447"/>
      <c r="D36" s="447"/>
      <c r="E36" s="447"/>
      <c r="F36" s="447"/>
      <c r="G36" s="447"/>
      <c r="H36" s="447"/>
      <c r="I36" s="447"/>
      <c r="J36" s="447"/>
      <c r="K36" s="447"/>
      <c r="L36" s="447"/>
      <c r="M36" s="447"/>
      <c r="N36" s="447"/>
      <c r="O36" s="471"/>
      <c r="P36" s="460"/>
      <c r="Q36" s="452"/>
    </row>
    <row r="37" ht="15.75" customHeight="1">
      <c r="A37" s="447" t="s">
        <v>153</v>
      </c>
      <c r="B37" s="447"/>
      <c r="C37" s="462">
        <f t="shared" ref="C37:O37" si="5">SUM(C7:C36)</f>
        <v>1027636</v>
      </c>
      <c r="D37" s="462">
        <f t="shared" si="5"/>
        <v>902554</v>
      </c>
      <c r="E37" s="462">
        <f t="shared" si="5"/>
        <v>913427</v>
      </c>
      <c r="F37" s="462">
        <f t="shared" si="5"/>
        <v>973684</v>
      </c>
      <c r="G37" s="462">
        <f t="shared" si="5"/>
        <v>981754</v>
      </c>
      <c r="H37" s="462">
        <f t="shared" si="5"/>
        <v>858504</v>
      </c>
      <c r="I37" s="462">
        <f t="shared" si="5"/>
        <v>940434</v>
      </c>
      <c r="J37" s="462">
        <f t="shared" si="5"/>
        <v>1208046</v>
      </c>
      <c r="K37" s="462">
        <f t="shared" si="5"/>
        <v>1169817</v>
      </c>
      <c r="L37" s="462">
        <f t="shared" si="5"/>
        <v>1024056</v>
      </c>
      <c r="M37" s="462">
        <f t="shared" si="5"/>
        <v>751306</v>
      </c>
      <c r="N37" s="462">
        <f t="shared" si="5"/>
        <v>740545</v>
      </c>
      <c r="O37" s="462">
        <f t="shared" si="5"/>
        <v>11491763</v>
      </c>
      <c r="P37" s="460">
        <f t="shared" ref="P37:P38" si="7">O37/$O$5</f>
        <v>1.23425153</v>
      </c>
      <c r="Q37" s="452"/>
    </row>
    <row r="38" ht="15.75" customHeight="1">
      <c r="A38" s="463" t="s">
        <v>40</v>
      </c>
      <c r="B38" s="463"/>
      <c r="C38" s="465">
        <f t="shared" ref="C38:O38" si="6">C5-C37</f>
        <v>-72269</v>
      </c>
      <c r="D38" s="465">
        <f t="shared" si="6"/>
        <v>-84248</v>
      </c>
      <c r="E38" s="465">
        <f t="shared" si="6"/>
        <v>-152889</v>
      </c>
      <c r="F38" s="465">
        <f t="shared" si="6"/>
        <v>-70507</v>
      </c>
      <c r="G38" s="465">
        <f t="shared" si="6"/>
        <v>-60071</v>
      </c>
      <c r="H38" s="465">
        <f t="shared" si="6"/>
        <v>-51982</v>
      </c>
      <c r="I38" s="465">
        <f t="shared" si="6"/>
        <v>-117948</v>
      </c>
      <c r="J38" s="465">
        <f t="shared" si="6"/>
        <v>-414739</v>
      </c>
      <c r="K38" s="465">
        <f t="shared" si="6"/>
        <v>-269203</v>
      </c>
      <c r="L38" s="465">
        <f t="shared" si="6"/>
        <v>-243903</v>
      </c>
      <c r="M38" s="465">
        <f t="shared" si="6"/>
        <v>-237100</v>
      </c>
      <c r="N38" s="465">
        <f t="shared" si="6"/>
        <v>-406190</v>
      </c>
      <c r="O38" s="465">
        <f t="shared" si="6"/>
        <v>-2181049</v>
      </c>
      <c r="P38" s="460">
        <f t="shared" si="7"/>
        <v>-0.23425153</v>
      </c>
      <c r="Q38" s="452"/>
    </row>
    <row r="39" ht="15.75" customHeight="1">
      <c r="A39" s="447" t="s">
        <v>154</v>
      </c>
      <c r="B39" s="447"/>
      <c r="C39" s="462"/>
      <c r="D39" s="462"/>
      <c r="E39" s="462"/>
      <c r="F39" s="462"/>
      <c r="G39" s="462"/>
      <c r="H39" s="462"/>
      <c r="I39" s="462"/>
      <c r="J39" s="462"/>
      <c r="K39" s="462"/>
      <c r="L39" s="462"/>
      <c r="M39" s="462"/>
      <c r="N39" s="462"/>
      <c r="O39" s="462">
        <f t="shared" ref="O39:O41" si="8">SUM(C39:N39)</f>
        <v>0</v>
      </c>
      <c r="P39" s="460"/>
      <c r="Q39" s="452"/>
    </row>
    <row r="40" ht="15.75" customHeight="1">
      <c r="A40" s="447" t="s">
        <v>155</v>
      </c>
      <c r="B40" s="447"/>
      <c r="C40" s="447"/>
      <c r="D40" s="447"/>
      <c r="E40" s="462"/>
      <c r="F40" s="447"/>
      <c r="G40" s="447"/>
      <c r="H40" s="447"/>
      <c r="I40" s="447"/>
      <c r="J40" s="447"/>
      <c r="K40" s="447"/>
      <c r="L40" s="447"/>
      <c r="M40" s="447"/>
      <c r="N40" s="447"/>
      <c r="O40" s="471">
        <f t="shared" si="8"/>
        <v>0</v>
      </c>
      <c r="P40" s="460"/>
      <c r="Q40" s="452"/>
    </row>
    <row r="41" ht="15.75" customHeight="1">
      <c r="A41" s="447" t="s">
        <v>156</v>
      </c>
      <c r="B41" s="447"/>
      <c r="C41" s="447">
        <v>2019000.0</v>
      </c>
      <c r="D41" s="447">
        <v>7339.0</v>
      </c>
      <c r="E41" s="447">
        <v>149788.0</v>
      </c>
      <c r="F41" s="447">
        <v>100000.0</v>
      </c>
      <c r="G41" s="447"/>
      <c r="H41" s="447"/>
      <c r="I41" s="447"/>
      <c r="J41" s="447">
        <v>30.0</v>
      </c>
      <c r="K41" s="447"/>
      <c r="L41" s="447"/>
      <c r="M41" s="447"/>
      <c r="N41" s="447"/>
      <c r="O41" s="471">
        <f t="shared" si="8"/>
        <v>2276157</v>
      </c>
      <c r="P41" s="460"/>
      <c r="Q41" s="452"/>
    </row>
    <row r="42" ht="15.75" customHeight="1">
      <c r="A42" s="463" t="s">
        <v>43</v>
      </c>
      <c r="B42" s="463"/>
      <c r="C42" s="465">
        <f t="shared" ref="C42:O42" si="9">C38-C39-C40+C41</f>
        <v>1946731</v>
      </c>
      <c r="D42" s="465">
        <f t="shared" si="9"/>
        <v>-76909</v>
      </c>
      <c r="E42" s="465">
        <f t="shared" si="9"/>
        <v>-3101</v>
      </c>
      <c r="F42" s="465">
        <f t="shared" si="9"/>
        <v>29493</v>
      </c>
      <c r="G42" s="465">
        <f t="shared" si="9"/>
        <v>-60071</v>
      </c>
      <c r="H42" s="465">
        <f t="shared" si="9"/>
        <v>-51982</v>
      </c>
      <c r="I42" s="465">
        <f t="shared" si="9"/>
        <v>-117948</v>
      </c>
      <c r="J42" s="465">
        <f t="shared" si="9"/>
        <v>-414709</v>
      </c>
      <c r="K42" s="465">
        <f t="shared" si="9"/>
        <v>-269203</v>
      </c>
      <c r="L42" s="465">
        <f t="shared" si="9"/>
        <v>-243903</v>
      </c>
      <c r="M42" s="465">
        <f t="shared" si="9"/>
        <v>-237100</v>
      </c>
      <c r="N42" s="465">
        <f t="shared" si="9"/>
        <v>-406190</v>
      </c>
      <c r="O42" s="470">
        <f t="shared" si="9"/>
        <v>95108</v>
      </c>
      <c r="P42" s="460">
        <f>O42/$O$5</f>
        <v>0.01021489866</v>
      </c>
      <c r="Q42" s="452"/>
    </row>
    <row r="43" ht="15.75" customHeight="1">
      <c r="A43" s="447" t="s">
        <v>44</v>
      </c>
      <c r="B43" s="447"/>
      <c r="C43" s="447">
        <v>11810.0</v>
      </c>
      <c r="D43" s="447"/>
      <c r="E43" s="447"/>
      <c r="F43" s="447"/>
      <c r="G43" s="447"/>
      <c r="H43" s="447"/>
      <c r="I43" s="447"/>
      <c r="J43" s="447"/>
      <c r="K43" s="447"/>
      <c r="L43" s="447"/>
      <c r="M43" s="447"/>
      <c r="N43" s="447"/>
      <c r="O43" s="471">
        <f t="shared" ref="O43:O44" si="10">SUM(C43:N43)</f>
        <v>11810</v>
      </c>
      <c r="P43" s="460"/>
      <c r="Q43" s="452"/>
    </row>
    <row r="44" ht="15.75" customHeight="1">
      <c r="A44" s="472" t="s">
        <v>45</v>
      </c>
      <c r="B44" s="472"/>
      <c r="C44" s="472"/>
      <c r="D44" s="472"/>
      <c r="E44" s="472"/>
      <c r="F44" s="472"/>
      <c r="G44" s="472"/>
      <c r="H44" s="472"/>
      <c r="I44" s="472"/>
      <c r="J44" s="472"/>
      <c r="K44" s="472"/>
      <c r="L44" s="472"/>
      <c r="M44" s="472"/>
      <c r="N44" s="472"/>
      <c r="O44" s="497">
        <f t="shared" si="10"/>
        <v>0</v>
      </c>
      <c r="P44" s="460"/>
      <c r="Q44" s="452"/>
    </row>
    <row r="45" ht="15.75" customHeight="1">
      <c r="A45" s="463" t="s">
        <v>157</v>
      </c>
      <c r="B45" s="463"/>
      <c r="C45" s="465">
        <f t="shared" ref="C45:O45" si="11">C42+C43-C44</f>
        <v>1958541</v>
      </c>
      <c r="D45" s="465">
        <f t="shared" si="11"/>
        <v>-76909</v>
      </c>
      <c r="E45" s="465">
        <f t="shared" si="11"/>
        <v>-3101</v>
      </c>
      <c r="F45" s="465">
        <f t="shared" si="11"/>
        <v>29493</v>
      </c>
      <c r="G45" s="465">
        <f t="shared" si="11"/>
        <v>-60071</v>
      </c>
      <c r="H45" s="465">
        <f t="shared" si="11"/>
        <v>-51982</v>
      </c>
      <c r="I45" s="465">
        <f t="shared" si="11"/>
        <v>-117948</v>
      </c>
      <c r="J45" s="465">
        <f t="shared" si="11"/>
        <v>-414709</v>
      </c>
      <c r="K45" s="465">
        <f t="shared" si="11"/>
        <v>-269203</v>
      </c>
      <c r="L45" s="465">
        <f t="shared" si="11"/>
        <v>-243903</v>
      </c>
      <c r="M45" s="465">
        <f t="shared" si="11"/>
        <v>-237100</v>
      </c>
      <c r="N45" s="465">
        <f t="shared" si="11"/>
        <v>-406190</v>
      </c>
      <c r="O45" s="465">
        <f t="shared" si="11"/>
        <v>106918</v>
      </c>
      <c r="P45" s="460">
        <f t="shared" ref="P45:P47" si="12">O45/$O$5</f>
        <v>0.01148332985</v>
      </c>
      <c r="Q45" s="452"/>
    </row>
    <row r="46" ht="15.75" customHeight="1">
      <c r="A46" s="463" t="s">
        <v>158</v>
      </c>
      <c r="B46" s="477">
        <v>0.33</v>
      </c>
      <c r="C46" s="465"/>
      <c r="D46" s="465"/>
      <c r="E46" s="465"/>
      <c r="F46" s="465"/>
      <c r="G46" s="465"/>
      <c r="H46" s="465"/>
      <c r="I46" s="465"/>
      <c r="J46" s="465"/>
      <c r="K46" s="465"/>
      <c r="L46" s="465"/>
      <c r="M46" s="465"/>
      <c r="N46" s="465"/>
      <c r="O46" s="465"/>
      <c r="P46" s="460">
        <f t="shared" si="12"/>
        <v>0</v>
      </c>
      <c r="Q46" s="452"/>
    </row>
    <row r="47" ht="15.75" customHeight="1">
      <c r="A47" s="463" t="s">
        <v>159</v>
      </c>
      <c r="B47" s="463"/>
      <c r="C47" s="465"/>
      <c r="D47" s="465"/>
      <c r="E47" s="465"/>
      <c r="F47" s="465"/>
      <c r="G47" s="465"/>
      <c r="H47" s="465"/>
      <c r="I47" s="465"/>
      <c r="J47" s="465"/>
      <c r="K47" s="465"/>
      <c r="L47" s="465"/>
      <c r="M47" s="465"/>
      <c r="N47" s="465"/>
      <c r="O47" s="465">
        <f>O45-O46</f>
        <v>106918</v>
      </c>
      <c r="P47" s="460">
        <f t="shared" si="12"/>
        <v>0.01148332985</v>
      </c>
      <c r="Q47" s="452"/>
    </row>
    <row r="48" ht="15.75" customHeight="1">
      <c r="A48" s="478"/>
      <c r="B48" s="452"/>
      <c r="C48" s="479"/>
      <c r="D48" s="479"/>
      <c r="E48" s="479"/>
      <c r="F48" s="479"/>
      <c r="G48" s="479"/>
      <c r="H48" s="479"/>
      <c r="I48" s="479"/>
      <c r="J48" s="479"/>
      <c r="K48" s="479"/>
      <c r="L48" s="479"/>
      <c r="M48" s="479"/>
      <c r="N48" s="479"/>
      <c r="O48" s="479"/>
      <c r="P48" s="452"/>
      <c r="Q48" s="452"/>
    </row>
    <row r="49" ht="15.75" customHeight="1">
      <c r="A49" s="478"/>
      <c r="B49" s="452"/>
      <c r="C49" s="457"/>
      <c r="D49" s="457"/>
      <c r="E49" s="457"/>
      <c r="F49" s="457"/>
      <c r="G49" s="457"/>
      <c r="H49" s="457"/>
      <c r="I49" s="457"/>
      <c r="J49" s="457"/>
      <c r="K49" s="457"/>
      <c r="L49" s="457"/>
      <c r="M49" s="457"/>
      <c r="N49" s="457"/>
      <c r="O49" s="457"/>
      <c r="P49" s="452"/>
      <c r="Q49" s="452"/>
    </row>
    <row r="50" ht="15.75" customHeight="1">
      <c r="A50" s="478" t="s">
        <v>116</v>
      </c>
      <c r="B50" s="508">
        <f>SUM(B4:B36)</f>
        <v>0</v>
      </c>
      <c r="C50" s="457"/>
      <c r="D50" s="457"/>
      <c r="E50" s="457"/>
      <c r="F50" s="457"/>
      <c r="G50" s="457"/>
      <c r="H50" s="457"/>
      <c r="I50" s="457"/>
      <c r="J50" s="457"/>
      <c r="K50" s="457"/>
      <c r="L50" s="457"/>
      <c r="M50" s="457"/>
      <c r="N50" s="457"/>
      <c r="O50" s="457"/>
      <c r="P50" s="452"/>
      <c r="Q50" s="452"/>
    </row>
    <row r="51" ht="15.75" customHeight="1">
      <c r="A51" s="478" t="s">
        <v>258</v>
      </c>
      <c r="B51" s="508">
        <f>100%-B50</f>
        <v>1</v>
      </c>
      <c r="C51" s="457"/>
      <c r="D51" s="457"/>
      <c r="E51" s="457"/>
      <c r="F51" s="457"/>
      <c r="G51" s="457"/>
      <c r="H51" s="457"/>
      <c r="I51" s="457"/>
      <c r="J51" s="457"/>
      <c r="K51" s="457"/>
      <c r="L51" s="457"/>
      <c r="M51" s="457"/>
      <c r="N51" s="457"/>
      <c r="O51" s="457"/>
      <c r="P51" s="452"/>
      <c r="Q51" s="452"/>
    </row>
    <row r="52" ht="15.75" customHeight="1">
      <c r="A52" s="452"/>
      <c r="B52" s="452"/>
      <c r="C52" s="452"/>
      <c r="D52" s="452"/>
      <c r="E52" s="452"/>
      <c r="F52" s="452"/>
      <c r="G52" s="452"/>
      <c r="H52" s="452"/>
      <c r="I52" s="452"/>
      <c r="J52" s="452"/>
      <c r="K52" s="452"/>
      <c r="L52" s="452"/>
      <c r="M52" s="452"/>
      <c r="N52" s="452"/>
      <c r="O52" s="452"/>
      <c r="P52" s="452"/>
      <c r="Q52" s="452"/>
    </row>
    <row r="53" ht="15.75" customHeight="1">
      <c r="A53" s="452"/>
      <c r="C53" s="452"/>
      <c r="D53" s="452"/>
      <c r="E53" s="452"/>
      <c r="F53" s="452"/>
      <c r="G53" s="452"/>
      <c r="H53" s="452"/>
      <c r="I53" s="452"/>
      <c r="J53" s="452"/>
      <c r="K53" s="452"/>
      <c r="L53" s="452"/>
      <c r="M53" s="452"/>
      <c r="N53" s="452"/>
      <c r="O53" s="452"/>
      <c r="P53" s="452"/>
      <c r="Q53" s="452"/>
    </row>
    <row r="54" ht="15.75" customHeight="1">
      <c r="A54" s="452"/>
      <c r="C54" s="452"/>
      <c r="D54" s="452"/>
      <c r="E54" s="452"/>
      <c r="F54" s="452"/>
      <c r="G54" s="452"/>
      <c r="H54" s="452"/>
      <c r="I54" s="452"/>
      <c r="J54" s="452"/>
      <c r="K54" s="452"/>
      <c r="L54" s="452"/>
      <c r="M54" s="452"/>
      <c r="N54" s="452"/>
      <c r="O54" s="452"/>
      <c r="P54" s="452"/>
      <c r="Q54" s="452"/>
    </row>
    <row r="55" ht="15.75" customHeight="1">
      <c r="A55" s="452" t="s">
        <v>262</v>
      </c>
      <c r="B55" s="452" t="s">
        <v>263</v>
      </c>
      <c r="C55" s="437">
        <v>2604212.0</v>
      </c>
      <c r="D55" s="437">
        <v>2946348.0</v>
      </c>
      <c r="E55" s="437">
        <v>2777697.0</v>
      </c>
      <c r="F55" s="447"/>
      <c r="G55" s="447"/>
      <c r="H55" s="447"/>
      <c r="I55" s="447"/>
      <c r="J55" s="447"/>
      <c r="K55" s="447"/>
      <c r="L55" s="447"/>
      <c r="M55" s="447"/>
      <c r="N55" s="447"/>
      <c r="O55" s="447"/>
      <c r="P55" s="452"/>
      <c r="Q55" s="452"/>
    </row>
    <row r="56" ht="15.75" customHeight="1">
      <c r="A56" s="452"/>
      <c r="B56" s="440" t="s">
        <v>301</v>
      </c>
      <c r="C56" s="447">
        <f>92593+5000</f>
        <v>97593</v>
      </c>
      <c r="D56" s="447">
        <v>97593.0</v>
      </c>
      <c r="E56" s="447">
        <v>97593.0</v>
      </c>
      <c r="F56" s="447"/>
      <c r="G56" s="447"/>
      <c r="H56" s="447"/>
      <c r="I56" s="447"/>
      <c r="J56" s="447"/>
      <c r="K56" s="447"/>
      <c r="L56" s="447"/>
      <c r="M56" s="447"/>
      <c r="N56" s="447"/>
      <c r="O56" s="447"/>
      <c r="P56" s="452"/>
      <c r="Q56" s="452"/>
    </row>
    <row r="57" ht="15.75" customHeight="1">
      <c r="A57" s="452"/>
      <c r="C57" s="452"/>
      <c r="D57" s="452"/>
      <c r="E57" s="452"/>
      <c r="F57" s="452"/>
      <c r="G57" s="452"/>
      <c r="H57" s="452"/>
      <c r="I57" s="452"/>
      <c r="J57" s="452"/>
      <c r="K57" s="452"/>
      <c r="L57" s="452"/>
      <c r="M57" s="452"/>
      <c r="N57" s="452"/>
      <c r="O57" s="452"/>
      <c r="P57" s="452"/>
      <c r="Q57" s="45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3:B53"/>
    <mergeCell ref="A54:B54"/>
    <mergeCell ref="A57:B57"/>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71"/>
    <col customWidth="1" min="2" max="20" width="14.43"/>
  </cols>
  <sheetData>
    <row r="1" ht="15.75" customHeight="1">
      <c r="A1" s="447"/>
      <c r="B1" s="448" t="s">
        <v>116</v>
      </c>
      <c r="C1" s="449" t="s">
        <v>182</v>
      </c>
      <c r="D1" s="449" t="s">
        <v>183</v>
      </c>
      <c r="E1" s="449" t="s">
        <v>184</v>
      </c>
      <c r="F1" s="447" t="s">
        <v>185</v>
      </c>
      <c r="G1" s="447" t="s">
        <v>186</v>
      </c>
      <c r="H1" s="447" t="s">
        <v>187</v>
      </c>
      <c r="I1" s="447" t="s">
        <v>188</v>
      </c>
      <c r="J1" s="447" t="s">
        <v>189</v>
      </c>
      <c r="K1" s="447" t="s">
        <v>190</v>
      </c>
      <c r="L1" s="447" t="s">
        <v>179</v>
      </c>
      <c r="M1" s="447" t="s">
        <v>180</v>
      </c>
      <c r="N1" s="447" t="s">
        <v>181</v>
      </c>
      <c r="O1" s="447" t="s">
        <v>129</v>
      </c>
      <c r="P1" s="452"/>
      <c r="Q1" s="452"/>
    </row>
    <row r="2" ht="15.75" customHeight="1">
      <c r="A2" s="453"/>
      <c r="B2" s="454"/>
      <c r="C2" s="455"/>
      <c r="D2" s="455"/>
      <c r="E2" s="455"/>
      <c r="F2" s="455"/>
      <c r="G2" s="455"/>
      <c r="H2" s="455"/>
      <c r="I2" s="455"/>
      <c r="J2" s="455"/>
      <c r="K2" s="455"/>
      <c r="L2" s="455"/>
      <c r="M2" s="455"/>
      <c r="N2" s="455"/>
      <c r="O2" s="456">
        <f t="shared" ref="O2:O4" si="1">SUM(C2:N2)</f>
        <v>0</v>
      </c>
      <c r="P2" s="457"/>
      <c r="Q2" s="452"/>
    </row>
    <row r="3" ht="15.75" customHeight="1">
      <c r="A3" s="447" t="s">
        <v>130</v>
      </c>
      <c r="B3" s="447"/>
      <c r="C3" s="458">
        <v>955367.0</v>
      </c>
      <c r="D3" s="458">
        <v>818306.0</v>
      </c>
      <c r="E3" s="458">
        <v>760538.0</v>
      </c>
      <c r="F3" s="458">
        <v>903177.0</v>
      </c>
      <c r="G3" s="458">
        <v>921683.0</v>
      </c>
      <c r="H3" s="458">
        <v>806522.0</v>
      </c>
      <c r="I3" s="458">
        <v>822486.0</v>
      </c>
      <c r="J3" s="458">
        <v>793307.0</v>
      </c>
      <c r="K3" s="458">
        <v>900614.0</v>
      </c>
      <c r="L3" s="458">
        <v>780153.0</v>
      </c>
      <c r="M3" s="458">
        <v>514206.0</v>
      </c>
      <c r="N3" s="458">
        <v>334355.0</v>
      </c>
      <c r="O3" s="506">
        <f t="shared" si="1"/>
        <v>9310714</v>
      </c>
      <c r="P3" s="460">
        <f t="shared" ref="P3:P4" si="2">O3/$O$3</f>
        <v>1</v>
      </c>
      <c r="Q3" s="452"/>
    </row>
    <row r="4" ht="15.75" customHeight="1">
      <c r="A4" s="447" t="s">
        <v>131</v>
      </c>
      <c r="B4" s="461"/>
      <c r="C4" s="458"/>
      <c r="D4" s="458"/>
      <c r="E4" s="458"/>
      <c r="F4" s="492"/>
      <c r="G4" s="492"/>
      <c r="H4" s="458"/>
      <c r="I4" s="492"/>
      <c r="J4" s="458"/>
      <c r="K4" s="458"/>
      <c r="L4" s="458"/>
      <c r="M4" s="458"/>
      <c r="N4" s="458"/>
      <c r="O4" s="462">
        <f t="shared" si="1"/>
        <v>0</v>
      </c>
      <c r="P4" s="460">
        <f t="shared" si="2"/>
        <v>0</v>
      </c>
      <c r="Q4" s="452"/>
    </row>
    <row r="5" ht="15.75" customHeight="1">
      <c r="A5" s="463" t="s">
        <v>132</v>
      </c>
      <c r="B5" s="464"/>
      <c r="C5" s="465">
        <v>955367.0</v>
      </c>
      <c r="D5" s="465">
        <v>818306.0</v>
      </c>
      <c r="E5" s="465">
        <v>760538.0</v>
      </c>
      <c r="F5" s="465">
        <f t="shared" ref="F5:G5" si="3">F2+F3-F4</f>
        <v>903177</v>
      </c>
      <c r="G5" s="465">
        <f t="shared" si="3"/>
        <v>921683</v>
      </c>
      <c r="H5" s="465">
        <v>806522.0</v>
      </c>
      <c r="I5" s="465">
        <f>I2+I3-I4</f>
        <v>822486</v>
      </c>
      <c r="J5" s="465">
        <v>793307.0</v>
      </c>
      <c r="K5" s="465">
        <v>900614.0</v>
      </c>
      <c r="L5" s="465">
        <v>780153.0</v>
      </c>
      <c r="M5" s="465">
        <v>514206.0</v>
      </c>
      <c r="N5" s="465">
        <v>334355.0</v>
      </c>
      <c r="O5" s="465">
        <f>O2+O3-O4</f>
        <v>9310714</v>
      </c>
      <c r="P5" s="460"/>
      <c r="Q5" s="452"/>
    </row>
    <row r="6" ht="15.75" customHeight="1">
      <c r="A6" s="447"/>
      <c r="B6" s="447"/>
      <c r="C6" s="447"/>
      <c r="D6" s="447"/>
      <c r="E6" s="447"/>
      <c r="F6" s="447"/>
      <c r="G6" s="447"/>
      <c r="H6" s="447"/>
      <c r="I6" s="447"/>
      <c r="J6" s="447"/>
      <c r="K6" s="447"/>
      <c r="L6" s="447"/>
      <c r="M6" s="447"/>
      <c r="N6" s="447"/>
      <c r="O6" s="465">
        <f t="shared" ref="O6:O35" si="4">SUM(C6:N6)</f>
        <v>0</v>
      </c>
      <c r="P6" s="460"/>
      <c r="Q6" s="452"/>
    </row>
    <row r="7" ht="15.75" customHeight="1">
      <c r="A7" s="447" t="s">
        <v>133</v>
      </c>
      <c r="B7" s="447"/>
      <c r="C7" s="458"/>
      <c r="D7" s="458"/>
      <c r="E7" s="458"/>
      <c r="F7" s="462"/>
      <c r="G7" s="462"/>
      <c r="H7" s="458"/>
      <c r="I7" s="462"/>
      <c r="J7" s="458"/>
      <c r="K7" s="458"/>
      <c r="L7" s="458"/>
      <c r="M7" s="458"/>
      <c r="N7" s="458"/>
      <c r="O7" s="462">
        <f t="shared" si="4"/>
        <v>0</v>
      </c>
      <c r="P7" s="460">
        <f>O7/$O$5</f>
        <v>0</v>
      </c>
      <c r="Q7" s="452"/>
    </row>
    <row r="8" ht="15.75" customHeight="1">
      <c r="A8" s="447" t="s">
        <v>134</v>
      </c>
      <c r="B8" s="447"/>
      <c r="C8" s="458"/>
      <c r="D8" s="458"/>
      <c r="E8" s="458"/>
      <c r="F8" s="462"/>
      <c r="G8" s="462">
        <v>188000.0</v>
      </c>
      <c r="H8" s="458">
        <v>188000.0</v>
      </c>
      <c r="I8" s="462">
        <v>188000.0</v>
      </c>
      <c r="J8" s="458">
        <v>188000.0</v>
      </c>
      <c r="K8" s="458"/>
      <c r="L8" s="458"/>
      <c r="M8" s="458"/>
      <c r="N8" s="458"/>
      <c r="O8" s="462">
        <f t="shared" si="4"/>
        <v>752000</v>
      </c>
      <c r="P8" s="460"/>
      <c r="Q8" s="452"/>
    </row>
    <row r="9" ht="15.75" customHeight="1">
      <c r="A9" s="447" t="s">
        <v>135</v>
      </c>
      <c r="B9" s="461"/>
      <c r="C9" s="458">
        <v>929867.0</v>
      </c>
      <c r="D9" s="458">
        <v>791706.0</v>
      </c>
      <c r="E9" s="458">
        <v>735138.0</v>
      </c>
      <c r="F9" s="459">
        <v>874778.0</v>
      </c>
      <c r="G9" s="459">
        <v>709883.0</v>
      </c>
      <c r="H9" s="458">
        <v>598522.0</v>
      </c>
      <c r="I9" s="459">
        <v>640544.0</v>
      </c>
      <c r="J9" s="458">
        <v>583508.0</v>
      </c>
      <c r="K9" s="458">
        <v>737614.0</v>
      </c>
      <c r="L9" s="458">
        <v>599194.0</v>
      </c>
      <c r="M9" s="458">
        <v>328097.0</v>
      </c>
      <c r="N9" s="458">
        <v>315516.0</v>
      </c>
      <c r="O9" s="459">
        <f t="shared" si="4"/>
        <v>7844367</v>
      </c>
      <c r="P9" s="460">
        <f>O9/$O$5</f>
        <v>0.8425097152</v>
      </c>
      <c r="Q9" s="452"/>
    </row>
    <row r="10" ht="15.75" customHeight="1">
      <c r="A10" s="447" t="s">
        <v>29</v>
      </c>
      <c r="B10" s="461">
        <v>0.0</v>
      </c>
      <c r="C10" s="458">
        <v>-797.0</v>
      </c>
      <c r="D10" s="458">
        <v>31466.0</v>
      </c>
      <c r="E10" s="458">
        <v>-552.0</v>
      </c>
      <c r="F10" s="462">
        <v>-838.0</v>
      </c>
      <c r="G10" s="462">
        <v>-1465.0</v>
      </c>
      <c r="H10" s="458">
        <v>-1400.0</v>
      </c>
      <c r="I10" s="462">
        <v>-1353.0</v>
      </c>
      <c r="J10" s="458">
        <v>-1344.0</v>
      </c>
      <c r="K10" s="458">
        <v>-951.0</v>
      </c>
      <c r="L10" s="458">
        <v>-1120.0</v>
      </c>
      <c r="M10" s="458">
        <v>-936.0</v>
      </c>
      <c r="N10" s="458">
        <v>-725.0</v>
      </c>
      <c r="O10" s="462">
        <f t="shared" si="4"/>
        <v>19985</v>
      </c>
      <c r="P10" s="460"/>
      <c r="Q10" s="452"/>
    </row>
    <row r="11" ht="15.75" customHeight="1">
      <c r="A11" s="447" t="s">
        <v>30</v>
      </c>
      <c r="B11" s="447"/>
      <c r="C11" s="458"/>
      <c r="D11" s="458"/>
      <c r="E11" s="458"/>
      <c r="F11" s="447"/>
      <c r="G11" s="447"/>
      <c r="H11" s="458"/>
      <c r="I11" s="447"/>
      <c r="J11" s="458"/>
      <c r="K11" s="458"/>
      <c r="L11" s="458"/>
      <c r="M11" s="458"/>
      <c r="N11" s="458"/>
      <c r="O11" s="459">
        <f t="shared" si="4"/>
        <v>0</v>
      </c>
      <c r="P11" s="460"/>
      <c r="Q11" s="452"/>
    </row>
    <row r="12" ht="15.75" customHeight="1">
      <c r="A12" s="447" t="s">
        <v>136</v>
      </c>
      <c r="B12" s="447"/>
      <c r="C12" s="458"/>
      <c r="D12" s="458"/>
      <c r="E12" s="458"/>
      <c r="F12" s="462"/>
      <c r="G12" s="462"/>
      <c r="H12" s="458"/>
      <c r="I12" s="462"/>
      <c r="J12" s="458">
        <v>362164.0</v>
      </c>
      <c r="K12" s="458">
        <v>307273.0</v>
      </c>
      <c r="L12" s="458">
        <v>352727.0</v>
      </c>
      <c r="M12" s="458">
        <v>352727.0</v>
      </c>
      <c r="N12" s="458">
        <v>352727.0</v>
      </c>
      <c r="O12" s="462">
        <f t="shared" si="4"/>
        <v>1727618</v>
      </c>
      <c r="P12" s="460"/>
      <c r="Q12" s="452"/>
    </row>
    <row r="13" ht="15.75" customHeight="1">
      <c r="A13" s="447" t="s">
        <v>137</v>
      </c>
      <c r="B13" s="461"/>
      <c r="C13" s="458"/>
      <c r="D13" s="458"/>
      <c r="E13" s="458"/>
      <c r="F13" s="462"/>
      <c r="G13" s="462"/>
      <c r="H13" s="458"/>
      <c r="I13" s="462"/>
      <c r="J13" s="458"/>
      <c r="K13" s="458"/>
      <c r="L13" s="458"/>
      <c r="M13" s="458"/>
      <c r="N13" s="458"/>
      <c r="O13" s="462">
        <f t="shared" si="4"/>
        <v>0</v>
      </c>
      <c r="P13" s="460"/>
      <c r="Q13" s="452"/>
    </row>
    <row r="14" ht="15.75" customHeight="1">
      <c r="A14" s="447" t="s">
        <v>138</v>
      </c>
      <c r="B14" s="447"/>
      <c r="C14" s="458">
        <v>23091.0</v>
      </c>
      <c r="D14" s="458">
        <v>24182.0</v>
      </c>
      <c r="E14" s="458"/>
      <c r="F14" s="462">
        <v>25818.0</v>
      </c>
      <c r="G14" s="462">
        <v>21636.0</v>
      </c>
      <c r="H14" s="458">
        <v>18182.0</v>
      </c>
      <c r="I14" s="462">
        <v>21636.0</v>
      </c>
      <c r="J14" s="458">
        <v>19818.0</v>
      </c>
      <c r="K14" s="458">
        <v>22727.0</v>
      </c>
      <c r="L14" s="458">
        <v>17455.0</v>
      </c>
      <c r="M14" s="458">
        <v>13818.0</v>
      </c>
      <c r="N14" s="458">
        <v>17127.0</v>
      </c>
      <c r="O14" s="462">
        <f t="shared" si="4"/>
        <v>225490</v>
      </c>
      <c r="P14" s="460"/>
      <c r="Q14" s="452"/>
    </row>
    <row r="15" ht="15.75" customHeight="1">
      <c r="A15" s="447" t="s">
        <v>139</v>
      </c>
      <c r="B15" s="447"/>
      <c r="C15" s="458">
        <v>20275.0</v>
      </c>
      <c r="D15" s="458"/>
      <c r="E15" s="458">
        <v>23091.0</v>
      </c>
      <c r="F15" s="462">
        <v>473.0</v>
      </c>
      <c r="G15" s="462"/>
      <c r="H15" s="458"/>
      <c r="I15" s="462"/>
      <c r="J15" s="458"/>
      <c r="K15" s="458"/>
      <c r="L15" s="458"/>
      <c r="M15" s="458"/>
      <c r="N15" s="458"/>
      <c r="O15" s="462">
        <f t="shared" si="4"/>
        <v>43839</v>
      </c>
      <c r="P15" s="460">
        <f>O15/$O$5</f>
        <v>0.004708446635</v>
      </c>
      <c r="Q15" s="452"/>
    </row>
    <row r="16" ht="15.75" customHeight="1">
      <c r="A16" s="447" t="s">
        <v>255</v>
      </c>
      <c r="B16" s="447"/>
      <c r="C16" s="458"/>
      <c r="D16" s="458"/>
      <c r="E16" s="458"/>
      <c r="F16" s="462"/>
      <c r="G16" s="462"/>
      <c r="H16" s="458"/>
      <c r="I16" s="462"/>
      <c r="J16" s="458"/>
      <c r="K16" s="458"/>
      <c r="L16" s="458"/>
      <c r="M16" s="458"/>
      <c r="N16" s="458"/>
      <c r="O16" s="462">
        <f t="shared" si="4"/>
        <v>0</v>
      </c>
      <c r="P16" s="460"/>
      <c r="Q16" s="452"/>
    </row>
    <row r="17" ht="15.75" customHeight="1">
      <c r="A17" s="447" t="s">
        <v>141</v>
      </c>
      <c r="B17" s="447"/>
      <c r="C17" s="458"/>
      <c r="D17" s="458"/>
      <c r="E17" s="458"/>
      <c r="F17" s="462"/>
      <c r="G17" s="462"/>
      <c r="H17" s="458"/>
      <c r="I17" s="462"/>
      <c r="J17" s="458"/>
      <c r="K17" s="458"/>
      <c r="L17" s="458"/>
      <c r="M17" s="458"/>
      <c r="N17" s="458"/>
      <c r="O17" s="462">
        <f t="shared" si="4"/>
        <v>0</v>
      </c>
      <c r="P17" s="460">
        <f>O17/$O$5</f>
        <v>0</v>
      </c>
      <c r="Q17" s="452"/>
    </row>
    <row r="18" ht="15.75" customHeight="1">
      <c r="A18" s="447" t="s">
        <v>142</v>
      </c>
      <c r="B18" s="447"/>
      <c r="C18" s="458"/>
      <c r="D18" s="458"/>
      <c r="E18" s="458"/>
      <c r="F18" s="462"/>
      <c r="G18" s="462"/>
      <c r="H18" s="458"/>
      <c r="I18" s="462"/>
      <c r="J18" s="458"/>
      <c r="K18" s="458"/>
      <c r="L18" s="458"/>
      <c r="M18" s="458"/>
      <c r="N18" s="458"/>
      <c r="O18" s="462">
        <f t="shared" si="4"/>
        <v>0</v>
      </c>
      <c r="P18" s="460"/>
      <c r="Q18" s="452"/>
    </row>
    <row r="19" ht="15.75" customHeight="1">
      <c r="A19" s="447" t="s">
        <v>143</v>
      </c>
      <c r="B19" s="447"/>
      <c r="C19" s="458"/>
      <c r="D19" s="458"/>
      <c r="E19" s="458"/>
      <c r="F19" s="462"/>
      <c r="G19" s="462"/>
      <c r="H19" s="458"/>
      <c r="I19" s="462"/>
      <c r="J19" s="458"/>
      <c r="K19" s="458"/>
      <c r="L19" s="458"/>
      <c r="M19" s="458"/>
      <c r="N19" s="458"/>
      <c r="O19" s="462">
        <f t="shared" si="4"/>
        <v>0</v>
      </c>
      <c r="P19" s="460">
        <f>O19/$O$5</f>
        <v>0</v>
      </c>
      <c r="Q19" s="452"/>
    </row>
    <row r="20" ht="15.75" customHeight="1">
      <c r="A20" s="447" t="s">
        <v>144</v>
      </c>
      <c r="B20" s="447"/>
      <c r="C20" s="458"/>
      <c r="D20" s="458"/>
      <c r="E20" s="458"/>
      <c r="F20" s="462"/>
      <c r="G20" s="462"/>
      <c r="H20" s="458"/>
      <c r="I20" s="462"/>
      <c r="J20" s="458"/>
      <c r="K20" s="458"/>
      <c r="L20" s="458"/>
      <c r="M20" s="458"/>
      <c r="N20" s="458"/>
      <c r="O20" s="462">
        <f t="shared" si="4"/>
        <v>0</v>
      </c>
      <c r="P20" s="460"/>
      <c r="Q20" s="452"/>
    </row>
    <row r="21" ht="15.75" customHeight="1">
      <c r="A21" s="447" t="s">
        <v>145</v>
      </c>
      <c r="B21" s="447"/>
      <c r="C21" s="458"/>
      <c r="D21" s="458"/>
      <c r="E21" s="458"/>
      <c r="F21" s="462"/>
      <c r="G21" s="462"/>
      <c r="H21" s="458"/>
      <c r="I21" s="462"/>
      <c r="J21" s="458"/>
      <c r="K21" s="458"/>
      <c r="L21" s="458"/>
      <c r="M21" s="458"/>
      <c r="N21" s="458"/>
      <c r="O21" s="462">
        <f t="shared" si="4"/>
        <v>0</v>
      </c>
      <c r="P21" s="460"/>
      <c r="Q21" s="452"/>
    </row>
    <row r="22" ht="15.75" customHeight="1">
      <c r="A22" s="447" t="s">
        <v>33</v>
      </c>
      <c r="B22" s="447"/>
      <c r="C22" s="458"/>
      <c r="D22" s="458"/>
      <c r="E22" s="458"/>
      <c r="F22" s="462"/>
      <c r="G22" s="462"/>
      <c r="H22" s="458"/>
      <c r="I22" s="462"/>
      <c r="J22" s="458"/>
      <c r="K22" s="458"/>
      <c r="L22" s="458"/>
      <c r="M22" s="458"/>
      <c r="N22" s="458"/>
      <c r="O22" s="462">
        <f t="shared" si="4"/>
        <v>0</v>
      </c>
      <c r="P22" s="460"/>
      <c r="Q22" s="452"/>
    </row>
    <row r="23" ht="15.75" customHeight="1">
      <c r="A23" s="447" t="s">
        <v>146</v>
      </c>
      <c r="B23" s="447"/>
      <c r="C23" s="458"/>
      <c r="D23" s="458"/>
      <c r="E23" s="458"/>
      <c r="F23" s="462"/>
      <c r="G23" s="462"/>
      <c r="H23" s="458"/>
      <c r="I23" s="462"/>
      <c r="J23" s="458"/>
      <c r="K23" s="458"/>
      <c r="L23" s="458"/>
      <c r="M23" s="458"/>
      <c r="N23" s="458"/>
      <c r="O23" s="462">
        <f t="shared" si="4"/>
        <v>0</v>
      </c>
      <c r="P23" s="460"/>
      <c r="Q23" s="452"/>
    </row>
    <row r="24" ht="15.75" customHeight="1">
      <c r="A24" s="447" t="s">
        <v>147</v>
      </c>
      <c r="B24" s="447"/>
      <c r="C24" s="458"/>
      <c r="D24" s="458"/>
      <c r="E24" s="458"/>
      <c r="F24" s="462"/>
      <c r="G24" s="462"/>
      <c r="H24" s="458"/>
      <c r="I24" s="462"/>
      <c r="J24" s="458"/>
      <c r="K24" s="458"/>
      <c r="L24" s="458"/>
      <c r="M24" s="458"/>
      <c r="N24" s="458"/>
      <c r="O24" s="462">
        <f t="shared" si="4"/>
        <v>0</v>
      </c>
      <c r="P24" s="460"/>
      <c r="Q24" s="452"/>
    </row>
    <row r="25" ht="15.75" customHeight="1">
      <c r="A25" s="447" t="s">
        <v>35</v>
      </c>
      <c r="B25" s="467"/>
      <c r="C25" s="458"/>
      <c r="D25" s="458"/>
      <c r="E25" s="458"/>
      <c r="F25" s="447"/>
      <c r="G25" s="447"/>
      <c r="H25" s="458"/>
      <c r="I25" s="447"/>
      <c r="J25" s="458"/>
      <c r="K25" s="458"/>
      <c r="L25" s="458"/>
      <c r="M25" s="458"/>
      <c r="N25" s="458"/>
      <c r="O25" s="459">
        <f t="shared" si="4"/>
        <v>0</v>
      </c>
      <c r="P25" s="460"/>
      <c r="Q25" s="452"/>
    </row>
    <row r="26" ht="15.75" customHeight="1">
      <c r="A26" s="447" t="s">
        <v>148</v>
      </c>
      <c r="B26" s="461">
        <v>0.0</v>
      </c>
      <c r="C26" s="458"/>
      <c r="D26" s="458"/>
      <c r="E26" s="458"/>
      <c r="F26" s="492"/>
      <c r="G26" s="492"/>
      <c r="H26" s="458"/>
      <c r="I26" s="492"/>
      <c r="J26" s="458"/>
      <c r="K26" s="458"/>
      <c r="L26" s="458"/>
      <c r="M26" s="458"/>
      <c r="N26" s="458"/>
      <c r="O26" s="462">
        <f t="shared" si="4"/>
        <v>0</v>
      </c>
      <c r="P26" s="460"/>
      <c r="Q26" s="452"/>
    </row>
    <row r="27" ht="15.75" customHeight="1">
      <c r="A27" s="447" t="s">
        <v>34</v>
      </c>
      <c r="B27" s="461">
        <v>0.0</v>
      </c>
      <c r="C27" s="458"/>
      <c r="D27" s="458"/>
      <c r="E27" s="458"/>
      <c r="F27" s="492"/>
      <c r="G27" s="492"/>
      <c r="H27" s="458"/>
      <c r="I27" s="492"/>
      <c r="J27" s="458"/>
      <c r="K27" s="458"/>
      <c r="L27" s="458"/>
      <c r="M27" s="458"/>
      <c r="N27" s="458"/>
      <c r="O27" s="462">
        <f t="shared" si="4"/>
        <v>0</v>
      </c>
      <c r="P27" s="460">
        <f>O27/$O$5</f>
        <v>0</v>
      </c>
      <c r="Q27" s="452"/>
    </row>
    <row r="28" ht="15.75" customHeight="1">
      <c r="A28" s="447" t="s">
        <v>149</v>
      </c>
      <c r="B28" s="467"/>
      <c r="C28" s="458"/>
      <c r="D28" s="458"/>
      <c r="E28" s="458">
        <v>350.0</v>
      </c>
      <c r="F28" s="447">
        <v>10480.0</v>
      </c>
      <c r="G28" s="447">
        <v>5600.0</v>
      </c>
      <c r="H28" s="458"/>
      <c r="I28" s="447">
        <v>30480.0</v>
      </c>
      <c r="J28" s="458"/>
      <c r="K28" s="458"/>
      <c r="L28" s="458"/>
      <c r="M28" s="458"/>
      <c r="N28" s="458"/>
      <c r="O28" s="459">
        <f t="shared" si="4"/>
        <v>46910</v>
      </c>
      <c r="P28" s="460"/>
      <c r="Q28" s="452"/>
    </row>
    <row r="29" ht="15.75" customHeight="1">
      <c r="A29" s="447" t="s">
        <v>150</v>
      </c>
      <c r="B29" s="468"/>
      <c r="C29" s="458"/>
      <c r="D29" s="458"/>
      <c r="E29" s="458"/>
      <c r="F29" s="462"/>
      <c r="G29" s="462"/>
      <c r="H29" s="458"/>
      <c r="I29" s="462"/>
      <c r="J29" s="458"/>
      <c r="K29" s="458"/>
      <c r="L29" s="458"/>
      <c r="M29" s="458"/>
      <c r="N29" s="458"/>
      <c r="O29" s="462">
        <f t="shared" si="4"/>
        <v>0</v>
      </c>
      <c r="P29" s="460"/>
      <c r="Q29" s="452"/>
    </row>
    <row r="30" ht="15.75" customHeight="1">
      <c r="A30" s="447" t="s">
        <v>36</v>
      </c>
      <c r="B30" s="461">
        <v>0.0</v>
      </c>
      <c r="C30" s="458">
        <v>5200.0</v>
      </c>
      <c r="D30" s="458">
        <v>5200.0</v>
      </c>
      <c r="E30" s="458">
        <v>5400.0</v>
      </c>
      <c r="F30" s="462">
        <v>5700.0</v>
      </c>
      <c r="G30" s="462">
        <v>8100.0</v>
      </c>
      <c r="H30" s="458">
        <v>5200.0</v>
      </c>
      <c r="I30" s="462">
        <v>11127.0</v>
      </c>
      <c r="J30" s="458">
        <v>5900.0</v>
      </c>
      <c r="K30" s="458">
        <v>7700.0</v>
      </c>
      <c r="L30" s="458">
        <v>5800.0</v>
      </c>
      <c r="M30" s="458">
        <v>7600.0</v>
      </c>
      <c r="N30" s="458">
        <v>5900.0</v>
      </c>
      <c r="O30" s="462">
        <f t="shared" si="4"/>
        <v>78827</v>
      </c>
      <c r="P30" s="460"/>
      <c r="Q30" s="452"/>
    </row>
    <row r="31" ht="15.75" customHeight="1">
      <c r="A31" s="447" t="s">
        <v>151</v>
      </c>
      <c r="B31" s="447"/>
      <c r="C31" s="458"/>
      <c r="D31" s="458"/>
      <c r="E31" s="458"/>
      <c r="F31" s="462"/>
      <c r="G31" s="462"/>
      <c r="H31" s="458"/>
      <c r="I31" s="462"/>
      <c r="J31" s="458"/>
      <c r="K31" s="458"/>
      <c r="L31" s="458"/>
      <c r="M31" s="458"/>
      <c r="N31" s="458"/>
      <c r="O31" s="462">
        <f t="shared" si="4"/>
        <v>0</v>
      </c>
      <c r="P31" s="460"/>
      <c r="Q31" s="452"/>
    </row>
    <row r="32" ht="15.75" customHeight="1">
      <c r="A32" s="447" t="s">
        <v>152</v>
      </c>
      <c r="B32" s="461"/>
      <c r="C32" s="458"/>
      <c r="D32" s="458"/>
      <c r="E32" s="458"/>
      <c r="F32" s="462"/>
      <c r="G32" s="462"/>
      <c r="H32" s="458"/>
      <c r="I32" s="462"/>
      <c r="J32" s="458"/>
      <c r="K32" s="458"/>
      <c r="L32" s="458"/>
      <c r="M32" s="458"/>
      <c r="N32" s="458"/>
      <c r="O32" s="462">
        <f t="shared" si="4"/>
        <v>0</v>
      </c>
      <c r="P32" s="460"/>
      <c r="Q32" s="452"/>
    </row>
    <row r="33" ht="15.75" customHeight="1">
      <c r="A33" s="447" t="s">
        <v>256</v>
      </c>
      <c r="B33" s="461">
        <v>0.0</v>
      </c>
      <c r="C33" s="458"/>
      <c r="D33" s="458"/>
      <c r="E33" s="458"/>
      <c r="F33" s="462"/>
      <c r="G33" s="462"/>
      <c r="H33" s="458"/>
      <c r="I33" s="462"/>
      <c r="J33" s="458"/>
      <c r="K33" s="458"/>
      <c r="L33" s="458"/>
      <c r="M33" s="458"/>
      <c r="N33" s="458"/>
      <c r="O33" s="462">
        <f t="shared" si="4"/>
        <v>0</v>
      </c>
      <c r="P33" s="460"/>
      <c r="Q33" s="452"/>
    </row>
    <row r="34" ht="15.75" customHeight="1">
      <c r="A34" s="447" t="s">
        <v>257</v>
      </c>
      <c r="B34" s="461"/>
      <c r="C34" s="458">
        <v>50000.0</v>
      </c>
      <c r="D34" s="458">
        <v>50000.0</v>
      </c>
      <c r="E34" s="458">
        <v>150000.0</v>
      </c>
      <c r="F34" s="462">
        <v>57273.0</v>
      </c>
      <c r="G34" s="462">
        <v>50000.0</v>
      </c>
      <c r="H34" s="458">
        <v>50000.0</v>
      </c>
      <c r="I34" s="462">
        <v>50000.0</v>
      </c>
      <c r="J34" s="458">
        <v>50000.0</v>
      </c>
      <c r="K34" s="458">
        <v>50000.0</v>
      </c>
      <c r="L34" s="458">
        <v>50000.0</v>
      </c>
      <c r="M34" s="458">
        <v>50000.0</v>
      </c>
      <c r="N34" s="458">
        <v>50000.0</v>
      </c>
      <c r="O34" s="462">
        <f t="shared" si="4"/>
        <v>707273</v>
      </c>
      <c r="P34" s="460">
        <f>O34/$O$5</f>
        <v>0.07596334717</v>
      </c>
      <c r="Q34" s="452"/>
    </row>
    <row r="35" ht="15.75" customHeight="1">
      <c r="A35" s="447" t="s">
        <v>241</v>
      </c>
      <c r="B35" s="447"/>
      <c r="C35" s="458"/>
      <c r="D35" s="458"/>
      <c r="E35" s="458"/>
      <c r="F35" s="462"/>
      <c r="G35" s="462"/>
      <c r="H35" s="458"/>
      <c r="I35" s="462"/>
      <c r="J35" s="458"/>
      <c r="K35" s="458"/>
      <c r="L35" s="458"/>
      <c r="M35" s="458"/>
      <c r="N35" s="458"/>
      <c r="O35" s="462">
        <f t="shared" si="4"/>
        <v>0</v>
      </c>
      <c r="P35" s="460"/>
      <c r="Q35" s="452"/>
    </row>
    <row r="36" ht="15.75" customHeight="1">
      <c r="A36" s="447"/>
      <c r="B36" s="447"/>
      <c r="C36" s="447"/>
      <c r="D36" s="447"/>
      <c r="E36" s="447"/>
      <c r="F36" s="447"/>
      <c r="G36" s="447"/>
      <c r="H36" s="447"/>
      <c r="I36" s="447"/>
      <c r="J36" s="447"/>
      <c r="K36" s="447"/>
      <c r="L36" s="447"/>
      <c r="M36" s="447"/>
      <c r="N36" s="447"/>
      <c r="O36" s="471"/>
      <c r="P36" s="460"/>
      <c r="Q36" s="452"/>
    </row>
    <row r="37" ht="15.75" customHeight="1">
      <c r="A37" s="447" t="s">
        <v>153</v>
      </c>
      <c r="B37" s="447"/>
      <c r="C37" s="462">
        <v>1027636.0</v>
      </c>
      <c r="D37" s="462">
        <v>902554.0</v>
      </c>
      <c r="E37" s="462">
        <v>913427.0</v>
      </c>
      <c r="F37" s="462">
        <f t="shared" ref="F37:G37" si="5">SUM(F7:F36)</f>
        <v>973684</v>
      </c>
      <c r="G37" s="462">
        <f t="shared" si="5"/>
        <v>981754</v>
      </c>
      <c r="H37" s="462">
        <v>858504.0</v>
      </c>
      <c r="I37" s="462">
        <f>SUM(I7:I36)</f>
        <v>940434</v>
      </c>
      <c r="J37" s="462">
        <v>1208046.0</v>
      </c>
      <c r="K37" s="462">
        <v>1124363.0</v>
      </c>
      <c r="L37" s="462">
        <v>1024056.0</v>
      </c>
      <c r="M37" s="462">
        <v>751306.0</v>
      </c>
      <c r="N37" s="462">
        <v>740545.0</v>
      </c>
      <c r="O37" s="462">
        <f>SUM(O7:O36)</f>
        <v>11446309</v>
      </c>
      <c r="P37" s="460">
        <f t="shared" ref="P37:P38" si="7">O37/$O$5</f>
        <v>1.229369627</v>
      </c>
      <c r="Q37" s="452"/>
    </row>
    <row r="38" ht="15.75" customHeight="1">
      <c r="A38" s="463" t="s">
        <v>40</v>
      </c>
      <c r="B38" s="463"/>
      <c r="C38" s="465">
        <v>-72269.0</v>
      </c>
      <c r="D38" s="465">
        <v>-84248.0</v>
      </c>
      <c r="E38" s="465">
        <v>-152889.0</v>
      </c>
      <c r="F38" s="465">
        <f t="shared" ref="F38:G38" si="6">F5-F37</f>
        <v>-70507</v>
      </c>
      <c r="G38" s="465">
        <f t="shared" si="6"/>
        <v>-60071</v>
      </c>
      <c r="H38" s="465">
        <v>-51982.0</v>
      </c>
      <c r="I38" s="465">
        <f>I5-I37</f>
        <v>-117948</v>
      </c>
      <c r="J38" s="465">
        <v>-414739.0</v>
      </c>
      <c r="K38" s="465">
        <v>-223749.0</v>
      </c>
      <c r="L38" s="465">
        <v>-243903.0</v>
      </c>
      <c r="M38" s="465">
        <v>-237100.0</v>
      </c>
      <c r="N38" s="465">
        <v>-406190.0</v>
      </c>
      <c r="O38" s="465">
        <f>O5-O37</f>
        <v>-2135595</v>
      </c>
      <c r="P38" s="460">
        <f t="shared" si="7"/>
        <v>-0.2293696273</v>
      </c>
      <c r="Q38" s="452"/>
    </row>
    <row r="39" ht="15.75" customHeight="1">
      <c r="A39" s="447" t="s">
        <v>154</v>
      </c>
      <c r="B39" s="447"/>
      <c r="C39" s="462"/>
      <c r="D39" s="462"/>
      <c r="E39" s="462"/>
      <c r="F39" s="462"/>
      <c r="G39" s="462"/>
      <c r="H39" s="462"/>
      <c r="I39" s="462"/>
      <c r="J39" s="462"/>
      <c r="K39" s="462"/>
      <c r="L39" s="462"/>
      <c r="M39" s="462"/>
      <c r="N39" s="462"/>
      <c r="O39" s="462">
        <f t="shared" ref="O39:O41" si="8">SUM(C39:N39)</f>
        <v>0</v>
      </c>
      <c r="P39" s="460"/>
      <c r="Q39" s="452"/>
    </row>
    <row r="40" ht="15.75" customHeight="1">
      <c r="A40" s="447" t="s">
        <v>155</v>
      </c>
      <c r="B40" s="447"/>
      <c r="C40" s="447"/>
      <c r="D40" s="447"/>
      <c r="E40" s="462"/>
      <c r="F40" s="447"/>
      <c r="G40" s="447"/>
      <c r="H40" s="447"/>
      <c r="I40" s="447"/>
      <c r="J40" s="447"/>
      <c r="K40" s="447"/>
      <c r="L40" s="447"/>
      <c r="M40" s="447"/>
      <c r="N40" s="447"/>
      <c r="O40" s="471">
        <f t="shared" si="8"/>
        <v>0</v>
      </c>
      <c r="P40" s="460"/>
      <c r="Q40" s="452"/>
    </row>
    <row r="41" ht="15.75" customHeight="1">
      <c r="A41" s="447" t="s">
        <v>156</v>
      </c>
      <c r="B41" s="447"/>
      <c r="C41" s="447">
        <v>2019000.0</v>
      </c>
      <c r="D41" s="447">
        <v>7339.0</v>
      </c>
      <c r="E41" s="447">
        <v>149788.0</v>
      </c>
      <c r="F41" s="447">
        <v>100000.0</v>
      </c>
      <c r="G41" s="447"/>
      <c r="H41" s="447"/>
      <c r="I41" s="447"/>
      <c r="J41" s="447">
        <v>30.0</v>
      </c>
      <c r="K41" s="447"/>
      <c r="L41" s="447"/>
      <c r="M41" s="447"/>
      <c r="N41" s="447"/>
      <c r="O41" s="471">
        <f t="shared" si="8"/>
        <v>2276157</v>
      </c>
      <c r="P41" s="460"/>
      <c r="Q41" s="452"/>
    </row>
    <row r="42" ht="15.75" customHeight="1">
      <c r="A42" s="463" t="s">
        <v>43</v>
      </c>
      <c r="B42" s="463"/>
      <c r="C42" s="465">
        <v>1946731.0</v>
      </c>
      <c r="D42" s="465">
        <v>-76909.0</v>
      </c>
      <c r="E42" s="465">
        <v>-3101.0</v>
      </c>
      <c r="F42" s="465">
        <f t="shared" ref="F42:G42" si="9">F38-F39-F40+F41</f>
        <v>29493</v>
      </c>
      <c r="G42" s="465">
        <f t="shared" si="9"/>
        <v>-60071</v>
      </c>
      <c r="H42" s="465">
        <v>-51982.0</v>
      </c>
      <c r="I42" s="465">
        <f>I38-I39-I40+I41</f>
        <v>-117948</v>
      </c>
      <c r="J42" s="465">
        <v>-414709.0</v>
      </c>
      <c r="K42" s="465">
        <v>-223749.0</v>
      </c>
      <c r="L42" s="465">
        <v>-243903.0</v>
      </c>
      <c r="M42" s="465">
        <v>-237100.0</v>
      </c>
      <c r="N42" s="465">
        <v>-406190.0</v>
      </c>
      <c r="O42" s="470">
        <f>O38-O39-O40+O41</f>
        <v>140562</v>
      </c>
      <c r="P42" s="460">
        <f>O42/$O$5</f>
        <v>0.01509680138</v>
      </c>
      <c r="Q42" s="452"/>
    </row>
    <row r="43" ht="15.75" customHeight="1">
      <c r="A43" s="447" t="s">
        <v>44</v>
      </c>
      <c r="B43" s="447"/>
      <c r="C43" s="447">
        <v>11810.0</v>
      </c>
      <c r="D43" s="447"/>
      <c r="E43" s="447"/>
      <c r="F43" s="447"/>
      <c r="G43" s="447"/>
      <c r="H43" s="447"/>
      <c r="I43" s="447"/>
      <c r="J43" s="447"/>
      <c r="K43" s="447"/>
      <c r="L43" s="447"/>
      <c r="M43" s="447"/>
      <c r="N43" s="447"/>
      <c r="O43" s="471">
        <f t="shared" ref="O43:O44" si="10">SUM(C43:N43)</f>
        <v>11810</v>
      </c>
      <c r="P43" s="460"/>
      <c r="Q43" s="452"/>
    </row>
    <row r="44" ht="15.75" customHeight="1">
      <c r="A44" s="472" t="s">
        <v>45</v>
      </c>
      <c r="B44" s="472"/>
      <c r="C44" s="472"/>
      <c r="D44" s="472"/>
      <c r="E44" s="472"/>
      <c r="F44" s="472"/>
      <c r="G44" s="472"/>
      <c r="H44" s="472"/>
      <c r="I44" s="472"/>
      <c r="J44" s="472"/>
      <c r="K44" s="472"/>
      <c r="L44" s="472"/>
      <c r="M44" s="472"/>
      <c r="N44" s="472"/>
      <c r="O44" s="497">
        <f t="shared" si="10"/>
        <v>0</v>
      </c>
      <c r="P44" s="460"/>
      <c r="Q44" s="452"/>
      <c r="R44" s="440"/>
      <c r="S44" s="443"/>
      <c r="T44" s="444"/>
    </row>
    <row r="45" ht="15.75" customHeight="1">
      <c r="A45" s="463" t="s">
        <v>157</v>
      </c>
      <c r="B45" s="463"/>
      <c r="C45" s="465">
        <v>1958541.0</v>
      </c>
      <c r="D45" s="465">
        <v>-76909.0</v>
      </c>
      <c r="E45" s="465">
        <v>-3101.0</v>
      </c>
      <c r="F45" s="465">
        <f t="shared" ref="F45:G45" si="11">F42+F43-F44</f>
        <v>29493</v>
      </c>
      <c r="G45" s="465">
        <f t="shared" si="11"/>
        <v>-60071</v>
      </c>
      <c r="H45" s="465">
        <v>-51982.0</v>
      </c>
      <c r="I45" s="465">
        <f>I42+I43-I44</f>
        <v>-117948</v>
      </c>
      <c r="J45" s="465">
        <v>-414709.0</v>
      </c>
      <c r="K45" s="465">
        <v>-223749.0</v>
      </c>
      <c r="L45" s="465">
        <v>-243903.0</v>
      </c>
      <c r="M45" s="465">
        <v>-237100.0</v>
      </c>
      <c r="N45" s="465">
        <v>-406190.0</v>
      </c>
      <c r="O45" s="465">
        <f>O42+O43-O44</f>
        <v>152372</v>
      </c>
      <c r="P45" s="460">
        <f t="shared" ref="P45:P47" si="12">O45/$O$5</f>
        <v>0.01636523257</v>
      </c>
      <c r="Q45" s="452"/>
      <c r="R45" s="440"/>
      <c r="S45" s="443"/>
      <c r="T45" s="444"/>
    </row>
    <row r="46" ht="15.75" customHeight="1">
      <c r="A46" s="463" t="s">
        <v>158</v>
      </c>
      <c r="B46" s="477">
        <v>0.33</v>
      </c>
      <c r="C46" s="465"/>
      <c r="D46" s="465"/>
      <c r="E46" s="465"/>
      <c r="F46" s="465"/>
      <c r="G46" s="465"/>
      <c r="H46" s="465"/>
      <c r="I46" s="465"/>
      <c r="J46" s="465"/>
      <c r="K46" s="465"/>
      <c r="L46" s="465"/>
      <c r="M46" s="465"/>
      <c r="N46" s="465"/>
      <c r="O46" s="465">
        <f>O45*B46</f>
        <v>50282.76</v>
      </c>
      <c r="P46" s="460">
        <f t="shared" si="12"/>
        <v>0.005400526748</v>
      </c>
      <c r="Q46" s="452"/>
      <c r="R46" s="440"/>
      <c r="S46" s="443"/>
      <c r="T46" s="444"/>
    </row>
    <row r="47" ht="15.75" customHeight="1">
      <c r="A47" s="463" t="s">
        <v>159</v>
      </c>
      <c r="B47" s="463"/>
      <c r="C47" s="465"/>
      <c r="D47" s="465"/>
      <c r="E47" s="465"/>
      <c r="F47" s="465"/>
      <c r="G47" s="465"/>
      <c r="H47" s="465"/>
      <c r="I47" s="465"/>
      <c r="J47" s="465"/>
      <c r="K47" s="465"/>
      <c r="L47" s="465"/>
      <c r="M47" s="465"/>
      <c r="N47" s="465"/>
      <c r="O47" s="465">
        <f>O45-O46</f>
        <v>102089.24</v>
      </c>
      <c r="P47" s="460">
        <f t="shared" si="12"/>
        <v>0.01096470582</v>
      </c>
      <c r="Q47" s="452"/>
      <c r="R47" s="440"/>
      <c r="S47" s="443"/>
      <c r="T47" s="444"/>
    </row>
    <row r="48" ht="15.75" customHeight="1">
      <c r="A48" s="478"/>
      <c r="B48" s="452"/>
      <c r="C48" s="479"/>
      <c r="D48" s="479"/>
      <c r="E48" s="479"/>
      <c r="F48" s="479"/>
      <c r="G48" s="479"/>
      <c r="H48" s="479"/>
      <c r="I48" s="479"/>
      <c r="J48" s="479"/>
      <c r="K48" s="479"/>
      <c r="L48" s="479"/>
      <c r="M48" s="479"/>
      <c r="N48" s="479"/>
      <c r="O48" s="479"/>
      <c r="P48" s="452"/>
      <c r="Q48" s="452"/>
      <c r="R48" s="440"/>
      <c r="S48" s="443"/>
    </row>
    <row r="49" ht="15.75" customHeight="1">
      <c r="A49" s="478"/>
      <c r="B49" s="452"/>
      <c r="C49" s="457"/>
      <c r="D49" s="457"/>
      <c r="E49" s="457"/>
      <c r="F49" s="457"/>
      <c r="G49" s="457"/>
      <c r="H49" s="457"/>
      <c r="I49" s="457"/>
      <c r="J49" s="457"/>
      <c r="K49" s="457"/>
      <c r="L49" s="457"/>
      <c r="M49" s="457"/>
      <c r="N49" s="457"/>
      <c r="O49" s="457"/>
      <c r="P49" s="452"/>
      <c r="Q49" s="452"/>
    </row>
    <row r="50" ht="15.75" customHeight="1">
      <c r="A50" s="478" t="s">
        <v>116</v>
      </c>
      <c r="B50" s="508">
        <f>SUM(B4:B36)</f>
        <v>0</v>
      </c>
      <c r="C50" s="457"/>
      <c r="D50" s="457"/>
      <c r="E50" s="457"/>
      <c r="F50" s="457"/>
      <c r="G50" s="457"/>
      <c r="H50" s="457"/>
      <c r="I50" s="457"/>
      <c r="J50" s="457"/>
      <c r="K50" s="457"/>
      <c r="L50" s="457"/>
      <c r="M50" s="457"/>
      <c r="N50" s="457"/>
      <c r="O50" s="457"/>
      <c r="P50" s="452"/>
      <c r="Q50" s="452"/>
      <c r="R50" s="440" t="s">
        <v>76</v>
      </c>
    </row>
    <row r="51" ht="15.75" customHeight="1">
      <c r="A51" s="478" t="s">
        <v>258</v>
      </c>
      <c r="B51" s="508">
        <f>100%-B50</f>
        <v>1</v>
      </c>
      <c r="C51" s="457"/>
      <c r="D51" s="457"/>
      <c r="E51" s="457"/>
      <c r="F51" s="457"/>
      <c r="G51" s="457"/>
      <c r="H51" s="457"/>
      <c r="I51" s="457"/>
      <c r="J51" s="457"/>
      <c r="K51" s="457"/>
      <c r="L51" s="457"/>
      <c r="M51" s="457"/>
      <c r="N51" s="457"/>
      <c r="O51" s="457"/>
      <c r="P51" s="452"/>
      <c r="Q51" s="452"/>
      <c r="R51" s="440" t="s">
        <v>130</v>
      </c>
      <c r="S51" s="509">
        <f>O3</f>
        <v>9310714</v>
      </c>
    </row>
    <row r="52" ht="15.75" customHeight="1">
      <c r="A52" s="452"/>
      <c r="B52" s="452"/>
      <c r="C52" s="452"/>
      <c r="D52" s="452"/>
      <c r="E52" s="452"/>
      <c r="F52" s="452"/>
      <c r="G52" s="452"/>
      <c r="H52" s="452"/>
      <c r="I52" s="452"/>
      <c r="J52" s="452"/>
      <c r="K52" s="452"/>
      <c r="L52" s="452"/>
      <c r="M52" s="452"/>
      <c r="N52" s="452"/>
      <c r="O52" s="452"/>
      <c r="P52" s="452"/>
      <c r="Q52" s="452"/>
      <c r="R52" s="440" t="s">
        <v>259</v>
      </c>
      <c r="S52" s="509">
        <f t="shared" ref="S52:S53" si="13">S51*T52</f>
        <v>726235.692</v>
      </c>
      <c r="T52" s="510">
        <v>0.078</v>
      </c>
    </row>
    <row r="53" ht="15.75" customHeight="1">
      <c r="A53" s="452"/>
      <c r="C53" s="452"/>
      <c r="D53" s="452"/>
      <c r="E53" s="452"/>
      <c r="F53" s="452"/>
      <c r="G53" s="452"/>
      <c r="H53" s="452"/>
      <c r="I53" s="452"/>
      <c r="J53" s="452"/>
      <c r="K53" s="452"/>
      <c r="L53" s="452"/>
      <c r="M53" s="452"/>
      <c r="N53" s="452"/>
      <c r="O53" s="452"/>
      <c r="P53" s="452"/>
      <c r="Q53" s="452"/>
      <c r="R53" s="440" t="s">
        <v>260</v>
      </c>
      <c r="S53" s="509">
        <f t="shared" si="13"/>
        <v>435741.4152</v>
      </c>
      <c r="T53" s="511">
        <v>0.6</v>
      </c>
    </row>
    <row r="54" ht="15.75" customHeight="1">
      <c r="A54" s="452"/>
      <c r="C54" s="452"/>
      <c r="D54" s="452"/>
      <c r="E54" s="452"/>
      <c r="F54" s="452"/>
      <c r="G54" s="452"/>
      <c r="H54" s="452"/>
      <c r="I54" s="452"/>
      <c r="J54" s="452"/>
      <c r="K54" s="452"/>
      <c r="L54" s="452"/>
      <c r="M54" s="452"/>
      <c r="N54" s="452"/>
      <c r="O54" s="452"/>
      <c r="P54" s="452"/>
      <c r="Q54" s="452"/>
      <c r="R54" s="440" t="s">
        <v>261</v>
      </c>
      <c r="S54" s="509">
        <f>S52-S53</f>
        <v>290494.2768</v>
      </c>
    </row>
    <row r="55" ht="15.75" customHeight="1">
      <c r="A55" s="452" t="s">
        <v>262</v>
      </c>
      <c r="B55" s="452" t="s">
        <v>263</v>
      </c>
      <c r="C55" s="437">
        <v>2604212.0</v>
      </c>
      <c r="D55" s="437">
        <v>2946348.0</v>
      </c>
      <c r="E55" s="437">
        <v>2777697.0</v>
      </c>
      <c r="F55" s="447"/>
      <c r="G55" s="447"/>
      <c r="H55" s="447"/>
      <c r="I55" s="447"/>
      <c r="J55" s="447"/>
      <c r="K55" s="447"/>
      <c r="L55" s="447"/>
      <c r="M55" s="447"/>
      <c r="N55" s="447"/>
      <c r="O55" s="447"/>
      <c r="P55" s="452"/>
      <c r="Q55" s="452"/>
      <c r="R55" s="440" t="s">
        <v>264</v>
      </c>
      <c r="S55" s="443">
        <f>S54*22/78</f>
        <v>81934.2832</v>
      </c>
    </row>
    <row r="56" ht="15.75" customHeight="1">
      <c r="A56" s="452"/>
      <c r="B56" s="440"/>
      <c r="C56" s="447"/>
      <c r="D56" s="447"/>
      <c r="E56" s="447"/>
      <c r="F56" s="447"/>
      <c r="G56" s="447"/>
      <c r="H56" s="447"/>
      <c r="I56" s="447"/>
      <c r="J56" s="447"/>
      <c r="K56" s="447"/>
      <c r="L56" s="447"/>
      <c r="M56" s="447"/>
      <c r="N56" s="447"/>
      <c r="O56" s="447"/>
      <c r="P56" s="452"/>
      <c r="Q56" s="452"/>
      <c r="R56" s="440"/>
      <c r="S56" s="509"/>
    </row>
    <row r="57" ht="15.75" customHeight="1">
      <c r="A57" s="452"/>
      <c r="C57" s="452"/>
      <c r="D57" s="452"/>
      <c r="E57" s="452"/>
      <c r="F57" s="452"/>
      <c r="G57" s="452"/>
      <c r="H57" s="452"/>
      <c r="I57" s="452"/>
      <c r="J57" s="452"/>
      <c r="K57" s="452"/>
      <c r="L57" s="452"/>
      <c r="M57" s="452"/>
      <c r="N57" s="452"/>
      <c r="O57" s="452"/>
      <c r="P57" s="452"/>
      <c r="Q57" s="45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3:B53"/>
    <mergeCell ref="A54:B54"/>
    <mergeCell ref="A57:B57"/>
  </mergeCell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71"/>
    <col customWidth="1" min="2" max="17" width="14.43"/>
  </cols>
  <sheetData>
    <row r="1" ht="15.75" customHeight="1">
      <c r="A1" s="447" t="s">
        <v>288</v>
      </c>
      <c r="B1" s="448" t="s">
        <v>116</v>
      </c>
      <c r="C1" s="449" t="s">
        <v>182</v>
      </c>
      <c r="D1" s="449" t="s">
        <v>183</v>
      </c>
      <c r="E1" s="449" t="s">
        <v>184</v>
      </c>
      <c r="F1" s="447" t="s">
        <v>185</v>
      </c>
      <c r="G1" s="447" t="s">
        <v>186</v>
      </c>
      <c r="H1" s="447" t="s">
        <v>187</v>
      </c>
      <c r="I1" s="447" t="s">
        <v>188</v>
      </c>
      <c r="J1" s="447" t="s">
        <v>189</v>
      </c>
      <c r="K1" s="447" t="s">
        <v>190</v>
      </c>
      <c r="L1" s="447" t="s">
        <v>179</v>
      </c>
      <c r="M1" s="447" t="s">
        <v>180</v>
      </c>
      <c r="N1" s="447" t="s">
        <v>181</v>
      </c>
      <c r="O1" s="447" t="s">
        <v>129</v>
      </c>
      <c r="P1" s="452"/>
      <c r="Q1" s="452"/>
    </row>
    <row r="2" ht="15.75" customHeight="1">
      <c r="A2" s="453"/>
      <c r="B2" s="454"/>
      <c r="C2" s="455"/>
      <c r="D2" s="455"/>
      <c r="E2" s="455"/>
      <c r="F2" s="455"/>
      <c r="G2" s="455"/>
      <c r="H2" s="455"/>
      <c r="I2" s="455"/>
      <c r="J2" s="455"/>
      <c r="K2" s="455"/>
      <c r="L2" s="455"/>
      <c r="M2" s="455"/>
      <c r="N2" s="455"/>
      <c r="O2" s="456">
        <f t="shared" ref="O2:O4" si="2">SUM(C2:N2)</f>
        <v>0</v>
      </c>
      <c r="P2" s="457"/>
      <c r="Q2" s="452"/>
    </row>
    <row r="3" ht="15.75" customHeight="1">
      <c r="A3" s="458" t="s">
        <v>130</v>
      </c>
      <c r="B3" s="458"/>
      <c r="C3" s="458">
        <f t="shared" ref="C3:E3" si="1">C55+C56</f>
        <v>2701805</v>
      </c>
      <c r="D3" s="458">
        <f t="shared" si="1"/>
        <v>3043941</v>
      </c>
      <c r="E3" s="458">
        <f t="shared" si="1"/>
        <v>2875290</v>
      </c>
      <c r="F3" s="458">
        <v>2725869.0</v>
      </c>
      <c r="G3" s="458">
        <v>2767215.0</v>
      </c>
      <c r="H3" s="458">
        <v>3399649.0</v>
      </c>
      <c r="I3" s="458">
        <v>2741722.0</v>
      </c>
      <c r="J3" s="458">
        <v>2241953.0</v>
      </c>
      <c r="K3" s="458">
        <v>1115805.0</v>
      </c>
      <c r="L3" s="458">
        <v>698680.0</v>
      </c>
      <c r="M3" s="458">
        <v>745280.0</v>
      </c>
      <c r="N3" s="458">
        <v>736859.0</v>
      </c>
      <c r="O3" s="459">
        <f t="shared" si="2"/>
        <v>25794068</v>
      </c>
      <c r="P3" s="518">
        <f t="shared" ref="P3:P4" si="4">O3/$O$3</f>
        <v>1</v>
      </c>
      <c r="Q3" s="519"/>
      <c r="R3" s="443"/>
      <c r="S3" s="443"/>
      <c r="T3" s="443"/>
      <c r="U3" s="443"/>
      <c r="V3" s="443"/>
      <c r="W3" s="443"/>
      <c r="X3" s="443"/>
      <c r="Y3" s="443"/>
      <c r="Z3" s="443"/>
    </row>
    <row r="4" ht="15.75" customHeight="1">
      <c r="A4" s="447" t="s">
        <v>131</v>
      </c>
      <c r="B4" s="461"/>
      <c r="C4" s="492">
        <f>C3*$B$4</f>
        <v>0</v>
      </c>
      <c r="D4" s="492">
        <v>4800.0</v>
      </c>
      <c r="E4" s="492">
        <v>15750.0</v>
      </c>
      <c r="F4" s="492">
        <f t="shared" ref="F4:N4" si="3">F3*$B$4</f>
        <v>0</v>
      </c>
      <c r="G4" s="492">
        <f t="shared" si="3"/>
        <v>0</v>
      </c>
      <c r="H4" s="492">
        <f t="shared" si="3"/>
        <v>0</v>
      </c>
      <c r="I4" s="492">
        <f t="shared" si="3"/>
        <v>0</v>
      </c>
      <c r="J4" s="492">
        <f t="shared" si="3"/>
        <v>0</v>
      </c>
      <c r="K4" s="492">
        <f t="shared" si="3"/>
        <v>0</v>
      </c>
      <c r="L4" s="492">
        <f t="shared" si="3"/>
        <v>0</v>
      </c>
      <c r="M4" s="492">
        <f t="shared" si="3"/>
        <v>0</v>
      </c>
      <c r="N4" s="492">
        <f t="shared" si="3"/>
        <v>0</v>
      </c>
      <c r="O4" s="462">
        <f t="shared" si="2"/>
        <v>20550</v>
      </c>
      <c r="P4" s="460">
        <f t="shared" si="4"/>
        <v>0.000796694806</v>
      </c>
      <c r="Q4" s="452"/>
    </row>
    <row r="5" ht="15.75" customHeight="1">
      <c r="A5" s="463" t="s">
        <v>132</v>
      </c>
      <c r="B5" s="464"/>
      <c r="C5" s="465">
        <f t="shared" ref="C5:O5" si="5">C2+C3-C4</f>
        <v>2701805</v>
      </c>
      <c r="D5" s="465">
        <f t="shared" si="5"/>
        <v>3039141</v>
      </c>
      <c r="E5" s="465">
        <f t="shared" si="5"/>
        <v>2859540</v>
      </c>
      <c r="F5" s="465">
        <f t="shared" si="5"/>
        <v>2725869</v>
      </c>
      <c r="G5" s="465">
        <f t="shared" si="5"/>
        <v>2767215</v>
      </c>
      <c r="H5" s="465">
        <f t="shared" si="5"/>
        <v>3399649</v>
      </c>
      <c r="I5" s="465">
        <f t="shared" si="5"/>
        <v>2741722</v>
      </c>
      <c r="J5" s="465">
        <f t="shared" si="5"/>
        <v>2241953</v>
      </c>
      <c r="K5" s="465">
        <f t="shared" si="5"/>
        <v>1115805</v>
      </c>
      <c r="L5" s="465">
        <f t="shared" si="5"/>
        <v>698680</v>
      </c>
      <c r="M5" s="465">
        <f t="shared" si="5"/>
        <v>745280</v>
      </c>
      <c r="N5" s="465">
        <f t="shared" si="5"/>
        <v>736859</v>
      </c>
      <c r="O5" s="465">
        <f t="shared" si="5"/>
        <v>25773518</v>
      </c>
      <c r="P5" s="460"/>
      <c r="Q5" s="452"/>
    </row>
    <row r="6" ht="15.75" customHeight="1">
      <c r="A6" s="447"/>
      <c r="B6" s="447"/>
      <c r="C6" s="447"/>
      <c r="D6" s="447"/>
      <c r="E6" s="447"/>
      <c r="F6" s="447"/>
      <c r="G6" s="447"/>
      <c r="H6" s="447"/>
      <c r="I6" s="447"/>
      <c r="J6" s="447"/>
      <c r="K6" s="447"/>
      <c r="L6" s="447"/>
      <c r="M6" s="447"/>
      <c r="N6" s="447"/>
      <c r="O6" s="465">
        <f t="shared" ref="O6:O35" si="6">SUM(C6:N6)</f>
        <v>0</v>
      </c>
      <c r="P6" s="460"/>
      <c r="Q6" s="452"/>
    </row>
    <row r="7" ht="15.75" customHeight="1">
      <c r="A7" s="447" t="s">
        <v>133</v>
      </c>
      <c r="B7" s="447"/>
      <c r="C7" s="462">
        <v>50000.0</v>
      </c>
      <c r="D7" s="462">
        <v>50000.0</v>
      </c>
      <c r="E7" s="462">
        <v>50000.0</v>
      </c>
      <c r="F7" s="462">
        <v>50000.0</v>
      </c>
      <c r="G7" s="462">
        <v>50000.0</v>
      </c>
      <c r="H7" s="462">
        <v>50000.0</v>
      </c>
      <c r="I7" s="462">
        <v>50000.0</v>
      </c>
      <c r="J7" s="462">
        <v>50000.0</v>
      </c>
      <c r="K7" s="462">
        <v>50000.0</v>
      </c>
      <c r="L7" s="462">
        <v>50000.0</v>
      </c>
      <c r="M7" s="462">
        <v>50000.0</v>
      </c>
      <c r="N7" s="462">
        <v>0.0</v>
      </c>
      <c r="O7" s="462">
        <f t="shared" si="6"/>
        <v>550000</v>
      </c>
      <c r="P7" s="460">
        <f>O7/$O$5</f>
        <v>0.02133973329</v>
      </c>
      <c r="Q7" s="452"/>
    </row>
    <row r="8" ht="15.75" customHeight="1">
      <c r="A8" s="447" t="s">
        <v>134</v>
      </c>
      <c r="B8" s="447"/>
      <c r="C8" s="462"/>
      <c r="D8" s="462"/>
      <c r="E8" s="462"/>
      <c r="F8" s="462"/>
      <c r="G8" s="462"/>
      <c r="H8" s="462"/>
      <c r="I8" s="462"/>
      <c r="J8" s="462"/>
      <c r="K8" s="462"/>
      <c r="L8" s="462"/>
      <c r="M8" s="462"/>
      <c r="N8" s="462"/>
      <c r="O8" s="462">
        <f t="shared" si="6"/>
        <v>0</v>
      </c>
      <c r="P8" s="460"/>
      <c r="Q8" s="452"/>
    </row>
    <row r="9" ht="15.75" customHeight="1">
      <c r="A9" s="447" t="s">
        <v>135</v>
      </c>
      <c r="B9" s="461"/>
      <c r="C9" s="459">
        <v>2498602.0</v>
      </c>
      <c r="D9" s="459">
        <v>2517647.0</v>
      </c>
      <c r="E9" s="459">
        <v>2581636.0</v>
      </c>
      <c r="F9" s="459">
        <v>2121030.0</v>
      </c>
      <c r="G9" s="459">
        <v>2208553.0</v>
      </c>
      <c r="H9" s="459">
        <v>2897358.0</v>
      </c>
      <c r="I9" s="459">
        <v>2316424.0</v>
      </c>
      <c r="J9" s="459">
        <v>2171650.0</v>
      </c>
      <c r="K9" s="459">
        <v>1335048.0</v>
      </c>
      <c r="L9" s="459">
        <v>840778.0</v>
      </c>
      <c r="M9" s="459">
        <v>661990.0</v>
      </c>
      <c r="N9" s="459">
        <v>714259.0</v>
      </c>
      <c r="O9" s="459">
        <f t="shared" si="6"/>
        <v>22864975</v>
      </c>
      <c r="P9" s="460">
        <f>O9/$O$5</f>
        <v>0.887149942</v>
      </c>
      <c r="Q9" s="452"/>
    </row>
    <row r="10" ht="15.75" customHeight="1">
      <c r="A10" s="447" t="s">
        <v>29</v>
      </c>
      <c r="B10" s="461">
        <v>0.0</v>
      </c>
      <c r="C10" s="462">
        <v>66590.0</v>
      </c>
      <c r="D10" s="462">
        <v>-1149.0</v>
      </c>
      <c r="E10" s="462">
        <v>-868.0</v>
      </c>
      <c r="F10" s="462">
        <v>-640.0</v>
      </c>
      <c r="G10" s="462">
        <v>-845.0</v>
      </c>
      <c r="H10" s="462">
        <v>-830.0</v>
      </c>
      <c r="I10" s="462">
        <v>-705.0</v>
      </c>
      <c r="J10" s="462">
        <v>-683.0</v>
      </c>
      <c r="K10" s="462">
        <v>-640.0</v>
      </c>
      <c r="L10" s="462">
        <v>-598.0</v>
      </c>
      <c r="M10" s="462">
        <v>-633.0</v>
      </c>
      <c r="N10" s="462">
        <v>-744.0</v>
      </c>
      <c r="O10" s="462">
        <f t="shared" si="6"/>
        <v>58255</v>
      </c>
      <c r="P10" s="460"/>
      <c r="Q10" s="452"/>
    </row>
    <row r="11" ht="15.75" customHeight="1">
      <c r="A11" s="447" t="s">
        <v>30</v>
      </c>
      <c r="B11" s="447"/>
      <c r="C11" s="447"/>
      <c r="D11" s="447">
        <v>27778.0</v>
      </c>
      <c r="E11" s="447"/>
      <c r="F11" s="447"/>
      <c r="G11" s="447"/>
      <c r="H11" s="447"/>
      <c r="I11" s="447"/>
      <c r="J11" s="447"/>
      <c r="K11" s="447"/>
      <c r="L11" s="447"/>
      <c r="M11" s="447"/>
      <c r="N11" s="447"/>
      <c r="O11" s="471">
        <f t="shared" si="6"/>
        <v>27778</v>
      </c>
      <c r="P11" s="460"/>
      <c r="Q11" s="452"/>
    </row>
    <row r="12" ht="15.75" customHeight="1">
      <c r="A12" s="447" t="s">
        <v>136</v>
      </c>
      <c r="B12" s="447"/>
      <c r="C12" s="462"/>
      <c r="D12" s="462"/>
      <c r="E12" s="462"/>
      <c r="F12" s="462"/>
      <c r="G12" s="462"/>
      <c r="H12" s="462"/>
      <c r="I12" s="462"/>
      <c r="J12" s="462"/>
      <c r="K12" s="462"/>
      <c r="L12" s="462"/>
      <c r="M12" s="462"/>
      <c r="N12" s="462"/>
      <c r="O12" s="462">
        <f t="shared" si="6"/>
        <v>0</v>
      </c>
      <c r="P12" s="460"/>
      <c r="Q12" s="452"/>
    </row>
    <row r="13" ht="15.75" customHeight="1">
      <c r="A13" s="447" t="s">
        <v>137</v>
      </c>
      <c r="B13" s="461"/>
      <c r="C13" s="462"/>
      <c r="D13" s="462"/>
      <c r="E13" s="462"/>
      <c r="F13" s="462"/>
      <c r="G13" s="462"/>
      <c r="H13" s="462"/>
      <c r="I13" s="462"/>
      <c r="J13" s="462"/>
      <c r="K13" s="462"/>
      <c r="L13" s="462"/>
      <c r="M13" s="462"/>
      <c r="N13" s="462"/>
      <c r="O13" s="462">
        <f t="shared" si="6"/>
        <v>0</v>
      </c>
      <c r="P13" s="460"/>
      <c r="Q13" s="452"/>
    </row>
    <row r="14" ht="15.75" customHeight="1">
      <c r="A14" s="447" t="s">
        <v>138</v>
      </c>
      <c r="B14" s="447"/>
      <c r="C14" s="462">
        <v>0.0</v>
      </c>
      <c r="D14" s="462">
        <v>75371.0</v>
      </c>
      <c r="E14" s="462">
        <v>77407.0</v>
      </c>
      <c r="F14" s="462">
        <v>93386.0</v>
      </c>
      <c r="G14" s="462">
        <v>65091.0</v>
      </c>
      <c r="H14" s="462">
        <v>77818.0</v>
      </c>
      <c r="I14" s="462">
        <v>68536.0</v>
      </c>
      <c r="J14" s="462">
        <v>81510.0</v>
      </c>
      <c r="K14" s="462">
        <f>29455-3205</f>
        <v>26250</v>
      </c>
      <c r="L14" s="462">
        <v>11909.0</v>
      </c>
      <c r="M14" s="462">
        <v>21909.0</v>
      </c>
      <c r="N14" s="462">
        <v>20545.0</v>
      </c>
      <c r="O14" s="462">
        <f t="shared" si="6"/>
        <v>619732</v>
      </c>
      <c r="P14" s="460"/>
      <c r="Q14" s="452"/>
    </row>
    <row r="15" ht="15.75" customHeight="1">
      <c r="A15" s="447" t="s">
        <v>139</v>
      </c>
      <c r="B15" s="447"/>
      <c r="C15" s="462">
        <v>0.0</v>
      </c>
      <c r="D15" s="462">
        <v>26080.0</v>
      </c>
      <c r="E15" s="462">
        <v>11282.0</v>
      </c>
      <c r="F15" s="462">
        <v>12539.0</v>
      </c>
      <c r="G15" s="462">
        <v>14486.0</v>
      </c>
      <c r="H15" s="462">
        <v>15649.0</v>
      </c>
      <c r="I15" s="462">
        <v>14232.0</v>
      </c>
      <c r="J15" s="462">
        <v>14928.0</v>
      </c>
      <c r="K15" s="462">
        <v>15990.0</v>
      </c>
      <c r="L15" s="462">
        <v>21101.0</v>
      </c>
      <c r="M15" s="462"/>
      <c r="N15" s="462">
        <v>22987.0</v>
      </c>
      <c r="O15" s="462">
        <f t="shared" si="6"/>
        <v>169274</v>
      </c>
      <c r="P15" s="460">
        <f>O15/$O$5</f>
        <v>0.006567749114</v>
      </c>
      <c r="Q15" s="452"/>
    </row>
    <row r="16" ht="15.75" customHeight="1">
      <c r="A16" s="447" t="s">
        <v>255</v>
      </c>
      <c r="B16" s="447"/>
      <c r="C16" s="462"/>
      <c r="D16" s="462"/>
      <c r="E16" s="462"/>
      <c r="F16" s="462"/>
      <c r="G16" s="462"/>
      <c r="H16" s="462"/>
      <c r="I16" s="462"/>
      <c r="J16" s="462"/>
      <c r="K16" s="462"/>
      <c r="L16" s="462"/>
      <c r="M16" s="462"/>
      <c r="N16" s="462"/>
      <c r="O16" s="462">
        <f t="shared" si="6"/>
        <v>0</v>
      </c>
      <c r="P16" s="460"/>
      <c r="Q16" s="452"/>
    </row>
    <row r="17" ht="15.75" customHeight="1">
      <c r="A17" s="447" t="s">
        <v>141</v>
      </c>
      <c r="B17" s="447"/>
      <c r="C17" s="462">
        <v>900.0</v>
      </c>
      <c r="D17" s="462">
        <v>13426.0</v>
      </c>
      <c r="E17" s="462">
        <v>65947.0</v>
      </c>
      <c r="F17" s="462">
        <v>65731.0</v>
      </c>
      <c r="G17" s="462">
        <f>60230-917</f>
        <v>59313</v>
      </c>
      <c r="H17" s="462">
        <v>53402.0</v>
      </c>
      <c r="I17" s="462">
        <v>41307.0</v>
      </c>
      <c r="J17" s="462">
        <v>46737.0</v>
      </c>
      <c r="K17" s="462">
        <v>64463.0</v>
      </c>
      <c r="L17" s="462">
        <v>0.0</v>
      </c>
      <c r="M17" s="462"/>
      <c r="N17" s="462"/>
      <c r="O17" s="462">
        <f t="shared" si="6"/>
        <v>411226</v>
      </c>
      <c r="P17" s="460">
        <f>O17/$O$5</f>
        <v>0.01595536938</v>
      </c>
      <c r="Q17" s="452"/>
    </row>
    <row r="18" ht="15.75" customHeight="1">
      <c r="A18" s="447" t="s">
        <v>142</v>
      </c>
      <c r="B18" s="447"/>
      <c r="C18" s="462">
        <v>78350.0</v>
      </c>
      <c r="D18" s="462">
        <v>99412.0</v>
      </c>
      <c r="E18" s="462">
        <v>0.0</v>
      </c>
      <c r="F18" s="462">
        <v>9710.0</v>
      </c>
      <c r="G18" s="462">
        <v>8383.0</v>
      </c>
      <c r="H18" s="462">
        <v>0.0</v>
      </c>
      <c r="I18" s="462">
        <v>0.0</v>
      </c>
      <c r="J18" s="462">
        <v>-431.0</v>
      </c>
      <c r="K18" s="462">
        <v>0.0</v>
      </c>
      <c r="L18" s="462">
        <v>0.0</v>
      </c>
      <c r="M18" s="462"/>
      <c r="N18" s="462"/>
      <c r="O18" s="462">
        <f t="shared" si="6"/>
        <v>195424</v>
      </c>
      <c r="P18" s="460"/>
      <c r="Q18" s="452"/>
    </row>
    <row r="19" ht="15.75" customHeight="1">
      <c r="A19" s="447" t="s">
        <v>143</v>
      </c>
      <c r="B19" s="447"/>
      <c r="C19" s="462"/>
      <c r="D19" s="462"/>
      <c r="E19" s="462">
        <v>24435.0</v>
      </c>
      <c r="F19" s="462"/>
      <c r="G19" s="462"/>
      <c r="H19" s="462">
        <v>22728.0</v>
      </c>
      <c r="I19" s="462">
        <v>6405.0</v>
      </c>
      <c r="J19" s="462">
        <v>14263.0</v>
      </c>
      <c r="K19" s="462">
        <v>3318.0</v>
      </c>
      <c r="L19" s="462"/>
      <c r="M19" s="462"/>
      <c r="N19" s="462"/>
      <c r="O19" s="462">
        <f t="shared" si="6"/>
        <v>71149</v>
      </c>
      <c r="P19" s="460">
        <f>O19/$O$5</f>
        <v>0.002760546698</v>
      </c>
      <c r="Q19" s="452"/>
    </row>
    <row r="20" ht="15.75" customHeight="1">
      <c r="A20" s="447" t="s">
        <v>144</v>
      </c>
      <c r="B20" s="447"/>
      <c r="C20" s="462"/>
      <c r="D20" s="462"/>
      <c r="E20" s="462"/>
      <c r="F20" s="462"/>
      <c r="G20" s="462"/>
      <c r="H20" s="462"/>
      <c r="I20" s="462"/>
      <c r="J20" s="462"/>
      <c r="K20" s="462"/>
      <c r="L20" s="462"/>
      <c r="M20" s="462"/>
      <c r="N20" s="462"/>
      <c r="O20" s="462">
        <f t="shared" si="6"/>
        <v>0</v>
      </c>
      <c r="P20" s="460"/>
      <c r="Q20" s="452"/>
    </row>
    <row r="21" ht="15.75" customHeight="1">
      <c r="A21" s="447" t="s">
        <v>145</v>
      </c>
      <c r="B21" s="447"/>
      <c r="C21" s="462"/>
      <c r="D21" s="462"/>
      <c r="E21" s="462"/>
      <c r="F21" s="462"/>
      <c r="G21" s="462"/>
      <c r="H21" s="462"/>
      <c r="I21" s="462"/>
      <c r="J21" s="462"/>
      <c r="K21" s="462"/>
      <c r="L21" s="462"/>
      <c r="M21" s="462"/>
      <c r="N21" s="462"/>
      <c r="O21" s="462">
        <f t="shared" si="6"/>
        <v>0</v>
      </c>
      <c r="P21" s="460"/>
      <c r="Q21" s="452"/>
    </row>
    <row r="22" ht="15.75" customHeight="1">
      <c r="A22" s="447" t="s">
        <v>33</v>
      </c>
      <c r="B22" s="447"/>
      <c r="C22" s="462"/>
      <c r="D22" s="462"/>
      <c r="E22" s="462"/>
      <c r="F22" s="462"/>
      <c r="G22" s="462"/>
      <c r="H22" s="462"/>
      <c r="I22" s="462"/>
      <c r="J22" s="462"/>
      <c r="K22" s="462"/>
      <c r="L22" s="462"/>
      <c r="M22" s="462"/>
      <c r="N22" s="462"/>
      <c r="O22" s="462">
        <f t="shared" si="6"/>
        <v>0</v>
      </c>
      <c r="P22" s="460"/>
      <c r="Q22" s="452"/>
    </row>
    <row r="23" ht="15.75" customHeight="1">
      <c r="A23" s="447" t="s">
        <v>146</v>
      </c>
      <c r="B23" s="447"/>
      <c r="C23" s="462"/>
      <c r="D23" s="462"/>
      <c r="E23" s="462"/>
      <c r="F23" s="462"/>
      <c r="G23" s="462"/>
      <c r="H23" s="462"/>
      <c r="I23" s="462"/>
      <c r="J23" s="462"/>
      <c r="K23" s="462"/>
      <c r="L23" s="462"/>
      <c r="M23" s="462"/>
      <c r="N23" s="462"/>
      <c r="O23" s="462">
        <f t="shared" si="6"/>
        <v>0</v>
      </c>
      <c r="P23" s="460"/>
      <c r="Q23" s="452"/>
    </row>
    <row r="24" ht="15.75" customHeight="1">
      <c r="A24" s="447" t="s">
        <v>147</v>
      </c>
      <c r="B24" s="447"/>
      <c r="C24" s="462"/>
      <c r="D24" s="462"/>
      <c r="E24" s="462"/>
      <c r="F24" s="462"/>
      <c r="G24" s="462"/>
      <c r="H24" s="462"/>
      <c r="I24" s="462"/>
      <c r="J24" s="462"/>
      <c r="K24" s="462"/>
      <c r="L24" s="462"/>
      <c r="M24" s="462"/>
      <c r="N24" s="462"/>
      <c r="O24" s="462">
        <f t="shared" si="6"/>
        <v>0</v>
      </c>
      <c r="P24" s="460"/>
      <c r="Q24" s="452"/>
    </row>
    <row r="25" ht="15.75" customHeight="1">
      <c r="A25" s="447" t="s">
        <v>35</v>
      </c>
      <c r="B25" s="467"/>
      <c r="C25" s="467"/>
      <c r="D25" s="447"/>
      <c r="E25" s="447"/>
      <c r="F25" s="447"/>
      <c r="G25" s="447"/>
      <c r="H25" s="447"/>
      <c r="I25" s="447"/>
      <c r="J25" s="447"/>
      <c r="K25" s="447"/>
      <c r="L25" s="447"/>
      <c r="M25" s="447"/>
      <c r="N25" s="447">
        <v>11810.0</v>
      </c>
      <c r="O25" s="471">
        <f t="shared" si="6"/>
        <v>11810</v>
      </c>
      <c r="P25" s="460"/>
      <c r="Q25" s="452"/>
    </row>
    <row r="26" ht="15.75" customHeight="1">
      <c r="A26" s="447" t="s">
        <v>148</v>
      </c>
      <c r="B26" s="461">
        <v>0.0</v>
      </c>
      <c r="C26" s="492"/>
      <c r="D26" s="492"/>
      <c r="E26" s="492"/>
      <c r="F26" s="492"/>
      <c r="G26" s="492"/>
      <c r="H26" s="492"/>
      <c r="I26" s="492"/>
      <c r="J26" s="492"/>
      <c r="K26" s="492"/>
      <c r="L26" s="492"/>
      <c r="M26" s="492"/>
      <c r="N26" s="492"/>
      <c r="O26" s="462">
        <f t="shared" si="6"/>
        <v>0</v>
      </c>
      <c r="P26" s="460"/>
      <c r="Q26" s="452"/>
    </row>
    <row r="27" ht="15.75" customHeight="1">
      <c r="A27" s="447" t="s">
        <v>34</v>
      </c>
      <c r="B27" s="461">
        <v>0.0</v>
      </c>
      <c r="C27" s="492"/>
      <c r="D27" s="492"/>
      <c r="E27" s="492"/>
      <c r="F27" s="492"/>
      <c r="G27" s="492"/>
      <c r="H27" s="492"/>
      <c r="I27" s="492">
        <v>12673.0</v>
      </c>
      <c r="J27" s="492"/>
      <c r="K27" s="492">
        <v>27273.0</v>
      </c>
      <c r="L27" s="492"/>
      <c r="M27" s="492"/>
      <c r="N27" s="492"/>
      <c r="O27" s="462">
        <f t="shared" si="6"/>
        <v>39946</v>
      </c>
      <c r="P27" s="460">
        <f>O27/$O$5</f>
        <v>0.001549885429</v>
      </c>
      <c r="Q27" s="452"/>
    </row>
    <row r="28" ht="15.75" customHeight="1">
      <c r="A28" s="447" t="s">
        <v>149</v>
      </c>
      <c r="B28" s="467"/>
      <c r="C28" s="467"/>
      <c r="D28" s="447"/>
      <c r="E28" s="447"/>
      <c r="F28" s="447"/>
      <c r="G28" s="447"/>
      <c r="H28" s="447"/>
      <c r="I28" s="447"/>
      <c r="J28" s="447"/>
      <c r="K28" s="447"/>
      <c r="L28" s="447"/>
      <c r="M28" s="447"/>
      <c r="N28" s="447"/>
      <c r="O28" s="471">
        <f t="shared" si="6"/>
        <v>0</v>
      </c>
      <c r="P28" s="460"/>
      <c r="Q28" s="452"/>
    </row>
    <row r="29" ht="15.75" customHeight="1">
      <c r="A29" s="447" t="s">
        <v>150</v>
      </c>
      <c r="B29" s="468"/>
      <c r="C29" s="492">
        <v>20221.0</v>
      </c>
      <c r="D29" s="462">
        <v>26675.0</v>
      </c>
      <c r="E29" s="462">
        <v>46000.0</v>
      </c>
      <c r="F29" s="462">
        <v>9091.0</v>
      </c>
      <c r="G29" s="462">
        <v>98000.0</v>
      </c>
      <c r="H29" s="462">
        <v>1800.0</v>
      </c>
      <c r="I29" s="462">
        <v>-16.0</v>
      </c>
      <c r="J29" s="462">
        <v>46000.0</v>
      </c>
      <c r="K29" s="462">
        <v>43000.0</v>
      </c>
      <c r="L29" s="462"/>
      <c r="M29" s="462"/>
      <c r="N29" s="462"/>
      <c r="O29" s="462">
        <f t="shared" si="6"/>
        <v>290771</v>
      </c>
      <c r="P29" s="460"/>
      <c r="Q29" s="452"/>
    </row>
    <row r="30" ht="15.75" customHeight="1">
      <c r="A30" s="447" t="s">
        <v>36</v>
      </c>
      <c r="B30" s="461">
        <v>0.0</v>
      </c>
      <c r="C30" s="462">
        <v>39080.0</v>
      </c>
      <c r="D30" s="462">
        <v>7300.0</v>
      </c>
      <c r="E30" s="462">
        <v>6900.0</v>
      </c>
      <c r="F30" s="462">
        <v>7609.0</v>
      </c>
      <c r="G30" s="462">
        <v>6100.0</v>
      </c>
      <c r="H30" s="462">
        <v>6500.0</v>
      </c>
      <c r="I30" s="462">
        <v>6100.0</v>
      </c>
      <c r="J30" s="462">
        <v>5900.0</v>
      </c>
      <c r="K30" s="462">
        <v>6800.0</v>
      </c>
      <c r="L30" s="462">
        <v>10200.0</v>
      </c>
      <c r="M30" s="462">
        <v>6400.0</v>
      </c>
      <c r="N30" s="462">
        <v>6100.0</v>
      </c>
      <c r="O30" s="462">
        <f t="shared" si="6"/>
        <v>114989</v>
      </c>
      <c r="P30" s="460"/>
      <c r="Q30" s="452"/>
    </row>
    <row r="31" ht="15.75" customHeight="1">
      <c r="A31" s="447" t="s">
        <v>151</v>
      </c>
      <c r="B31" s="447"/>
      <c r="C31" s="462"/>
      <c r="D31" s="462"/>
      <c r="E31" s="462"/>
      <c r="F31" s="462"/>
      <c r="G31" s="462"/>
      <c r="H31" s="462"/>
      <c r="I31" s="462"/>
      <c r="J31" s="462"/>
      <c r="K31" s="462"/>
      <c r="L31" s="462"/>
      <c r="M31" s="462"/>
      <c r="N31" s="462"/>
      <c r="O31" s="462">
        <f t="shared" si="6"/>
        <v>0</v>
      </c>
      <c r="P31" s="460"/>
      <c r="Q31" s="452"/>
    </row>
    <row r="32" ht="15.75" customHeight="1">
      <c r="A32" s="447" t="s">
        <v>152</v>
      </c>
      <c r="B32" s="461"/>
      <c r="C32" s="462"/>
      <c r="D32" s="462">
        <v>1800.0</v>
      </c>
      <c r="E32" s="462"/>
      <c r="F32" s="462"/>
      <c r="G32" s="462">
        <v>3300.0</v>
      </c>
      <c r="H32" s="462"/>
      <c r="I32" s="462"/>
      <c r="J32" s="462"/>
      <c r="K32" s="462"/>
      <c r="L32" s="462"/>
      <c r="M32" s="462"/>
      <c r="N32" s="462"/>
      <c r="O32" s="462">
        <f t="shared" si="6"/>
        <v>5100</v>
      </c>
      <c r="P32" s="460"/>
      <c r="Q32" s="452"/>
    </row>
    <row r="33" ht="15.75" customHeight="1">
      <c r="A33" s="447" t="s">
        <v>256</v>
      </c>
      <c r="B33" s="461">
        <v>0.0</v>
      </c>
      <c r="C33" s="462"/>
      <c r="D33" s="462"/>
      <c r="E33" s="462"/>
      <c r="F33" s="462"/>
      <c r="G33" s="462"/>
      <c r="H33" s="462"/>
      <c r="I33" s="462"/>
      <c r="J33" s="462"/>
      <c r="K33" s="462"/>
      <c r="L33" s="462"/>
      <c r="M33" s="462"/>
      <c r="N33" s="462"/>
      <c r="O33" s="462">
        <f t="shared" si="6"/>
        <v>0</v>
      </c>
      <c r="P33" s="460"/>
      <c r="Q33" s="452"/>
    </row>
    <row r="34" ht="15.75" customHeight="1">
      <c r="A34" s="447" t="s">
        <v>257</v>
      </c>
      <c r="B34" s="461"/>
      <c r="C34" s="462">
        <v>50000.0</v>
      </c>
      <c r="D34" s="462">
        <v>50000.0</v>
      </c>
      <c r="E34" s="462">
        <v>110000.0</v>
      </c>
      <c r="F34" s="462">
        <v>50000.0</v>
      </c>
      <c r="G34" s="462">
        <v>50000.0</v>
      </c>
      <c r="H34" s="462">
        <v>50000.0</v>
      </c>
      <c r="I34" s="462">
        <v>50000.0</v>
      </c>
      <c r="J34" s="462">
        <v>50000.0</v>
      </c>
      <c r="K34" s="462">
        <v>50000.0</v>
      </c>
      <c r="L34" s="462">
        <v>50000.0</v>
      </c>
      <c r="M34" s="462">
        <v>50000.0</v>
      </c>
      <c r="N34" s="462">
        <v>50000.0</v>
      </c>
      <c r="O34" s="462">
        <f t="shared" si="6"/>
        <v>660000</v>
      </c>
      <c r="P34" s="460">
        <f>O34/$O$5</f>
        <v>0.02560767994</v>
      </c>
      <c r="Q34" s="452"/>
    </row>
    <row r="35" ht="15.75" customHeight="1">
      <c r="A35" s="447" t="s">
        <v>241</v>
      </c>
      <c r="B35" s="447"/>
      <c r="C35" s="462"/>
      <c r="D35" s="462"/>
      <c r="E35" s="462"/>
      <c r="F35" s="462"/>
      <c r="G35" s="462"/>
      <c r="H35" s="462"/>
      <c r="I35" s="462"/>
      <c r="J35" s="462">
        <v>31000.0</v>
      </c>
      <c r="K35" s="462"/>
      <c r="L35" s="462"/>
      <c r="M35" s="462"/>
      <c r="N35" s="462"/>
      <c r="O35" s="462">
        <f t="shared" si="6"/>
        <v>31000</v>
      </c>
      <c r="P35" s="460"/>
      <c r="Q35" s="452"/>
    </row>
    <row r="36" ht="15.75" customHeight="1">
      <c r="A36" s="447"/>
      <c r="B36" s="447"/>
      <c r="C36" s="447"/>
      <c r="D36" s="447"/>
      <c r="E36" s="447"/>
      <c r="F36" s="447"/>
      <c r="G36" s="447"/>
      <c r="H36" s="447"/>
      <c r="I36" s="447"/>
      <c r="J36" s="447"/>
      <c r="K36" s="447"/>
      <c r="L36" s="447"/>
      <c r="M36" s="447"/>
      <c r="N36" s="447"/>
      <c r="O36" s="471"/>
      <c r="P36" s="460"/>
      <c r="Q36" s="452"/>
    </row>
    <row r="37" ht="15.75" customHeight="1">
      <c r="A37" s="447" t="s">
        <v>153</v>
      </c>
      <c r="B37" s="447"/>
      <c r="C37" s="462">
        <f t="shared" ref="C37:O37" si="7">SUM(C7:C36)</f>
        <v>2803743</v>
      </c>
      <c r="D37" s="462">
        <f t="shared" si="7"/>
        <v>2894340</v>
      </c>
      <c r="E37" s="462">
        <f t="shared" si="7"/>
        <v>2972739</v>
      </c>
      <c r="F37" s="462">
        <f t="shared" si="7"/>
        <v>2418456</v>
      </c>
      <c r="G37" s="462">
        <f t="shared" si="7"/>
        <v>2562381</v>
      </c>
      <c r="H37" s="462">
        <f t="shared" si="7"/>
        <v>3174425</v>
      </c>
      <c r="I37" s="462">
        <f t="shared" si="7"/>
        <v>2564956</v>
      </c>
      <c r="J37" s="462">
        <f t="shared" si="7"/>
        <v>2510874</v>
      </c>
      <c r="K37" s="462">
        <f t="shared" si="7"/>
        <v>1621502</v>
      </c>
      <c r="L37" s="462">
        <f t="shared" si="7"/>
        <v>983390</v>
      </c>
      <c r="M37" s="462">
        <f t="shared" si="7"/>
        <v>789666</v>
      </c>
      <c r="N37" s="462">
        <f t="shared" si="7"/>
        <v>824957</v>
      </c>
      <c r="O37" s="462">
        <f t="shared" si="7"/>
        <v>26121429</v>
      </c>
      <c r="P37" s="460">
        <f t="shared" ref="P37:P38" si="9">O37/$O$5</f>
        <v>1.013498778</v>
      </c>
      <c r="Q37" s="452"/>
    </row>
    <row r="38" ht="15.75" customHeight="1">
      <c r="A38" s="463" t="s">
        <v>40</v>
      </c>
      <c r="B38" s="463"/>
      <c r="C38" s="465">
        <f t="shared" ref="C38:O38" si="8">C5-C37</f>
        <v>-101938</v>
      </c>
      <c r="D38" s="465">
        <f t="shared" si="8"/>
        <v>144801</v>
      </c>
      <c r="E38" s="465">
        <f t="shared" si="8"/>
        <v>-113199</v>
      </c>
      <c r="F38" s="465">
        <f t="shared" si="8"/>
        <v>307413</v>
      </c>
      <c r="G38" s="465">
        <f t="shared" si="8"/>
        <v>204834</v>
      </c>
      <c r="H38" s="465">
        <f t="shared" si="8"/>
        <v>225224</v>
      </c>
      <c r="I38" s="465">
        <f t="shared" si="8"/>
        <v>176766</v>
      </c>
      <c r="J38" s="465">
        <f t="shared" si="8"/>
        <v>-268921</v>
      </c>
      <c r="K38" s="465">
        <f t="shared" si="8"/>
        <v>-505697</v>
      </c>
      <c r="L38" s="465">
        <f t="shared" si="8"/>
        <v>-284710</v>
      </c>
      <c r="M38" s="465">
        <f t="shared" si="8"/>
        <v>-44386</v>
      </c>
      <c r="N38" s="465">
        <f t="shared" si="8"/>
        <v>-88098</v>
      </c>
      <c r="O38" s="465">
        <f t="shared" si="8"/>
        <v>-347911</v>
      </c>
      <c r="P38" s="460">
        <f t="shared" si="9"/>
        <v>-0.01349877809</v>
      </c>
      <c r="Q38" s="452"/>
    </row>
    <row r="39" ht="15.75" customHeight="1">
      <c r="A39" s="447" t="s">
        <v>154</v>
      </c>
      <c r="B39" s="447"/>
      <c r="C39" s="462"/>
      <c r="D39" s="462"/>
      <c r="E39" s="462"/>
      <c r="F39" s="462"/>
      <c r="G39" s="462"/>
      <c r="H39" s="462"/>
      <c r="I39" s="462"/>
      <c r="J39" s="462"/>
      <c r="K39" s="462"/>
      <c r="L39" s="462"/>
      <c r="M39" s="462"/>
      <c r="N39" s="462"/>
      <c r="O39" s="462">
        <f t="shared" ref="O39:O41" si="10">SUM(C39:N39)</f>
        <v>0</v>
      </c>
      <c r="P39" s="460"/>
      <c r="Q39" s="452"/>
    </row>
    <row r="40" ht="15.75" customHeight="1">
      <c r="A40" s="447" t="s">
        <v>155</v>
      </c>
      <c r="B40" s="447"/>
      <c r="C40" s="447"/>
      <c r="D40" s="447"/>
      <c r="E40" s="462"/>
      <c r="F40" s="447"/>
      <c r="G40" s="447"/>
      <c r="H40" s="447"/>
      <c r="I40" s="447"/>
      <c r="J40" s="447"/>
      <c r="K40" s="447"/>
      <c r="L40" s="447"/>
      <c r="M40" s="447"/>
      <c r="N40" s="447">
        <v>364.0</v>
      </c>
      <c r="O40" s="471">
        <f t="shared" si="10"/>
        <v>364</v>
      </c>
      <c r="P40" s="460"/>
      <c r="Q40" s="452"/>
    </row>
    <row r="41" ht="15.75" customHeight="1">
      <c r="A41" s="447" t="s">
        <v>156</v>
      </c>
      <c r="B41" s="447"/>
      <c r="C41" s="447"/>
      <c r="D41" s="447">
        <v>12.0</v>
      </c>
      <c r="E41" s="447"/>
      <c r="F41" s="447"/>
      <c r="G41" s="447"/>
      <c r="H41" s="447"/>
      <c r="I41" s="447"/>
      <c r="J41" s="447">
        <v>13.0</v>
      </c>
      <c r="K41" s="447"/>
      <c r="L41" s="447"/>
      <c r="M41" s="447"/>
      <c r="N41" s="447"/>
      <c r="O41" s="471">
        <f t="shared" si="10"/>
        <v>25</v>
      </c>
      <c r="P41" s="460"/>
      <c r="Q41" s="452"/>
    </row>
    <row r="42" ht="15.75" customHeight="1">
      <c r="A42" s="463" t="s">
        <v>43</v>
      </c>
      <c r="B42" s="463"/>
      <c r="C42" s="465">
        <f t="shared" ref="C42:O42" si="11">C38-C39-C40+C41</f>
        <v>-101938</v>
      </c>
      <c r="D42" s="465">
        <f t="shared" si="11"/>
        <v>144813</v>
      </c>
      <c r="E42" s="465">
        <f t="shared" si="11"/>
        <v>-113199</v>
      </c>
      <c r="F42" s="465">
        <f t="shared" si="11"/>
        <v>307413</v>
      </c>
      <c r="G42" s="465">
        <f t="shared" si="11"/>
        <v>204834</v>
      </c>
      <c r="H42" s="465">
        <f t="shared" si="11"/>
        <v>225224</v>
      </c>
      <c r="I42" s="465">
        <f t="shared" si="11"/>
        <v>176766</v>
      </c>
      <c r="J42" s="465">
        <f t="shared" si="11"/>
        <v>-268908</v>
      </c>
      <c r="K42" s="465">
        <f t="shared" si="11"/>
        <v>-505697</v>
      </c>
      <c r="L42" s="465">
        <f t="shared" si="11"/>
        <v>-284710</v>
      </c>
      <c r="M42" s="465">
        <f t="shared" si="11"/>
        <v>-44386</v>
      </c>
      <c r="N42" s="465">
        <f t="shared" si="11"/>
        <v>-88462</v>
      </c>
      <c r="O42" s="470">
        <f t="shared" si="11"/>
        <v>-348250</v>
      </c>
      <c r="P42" s="460">
        <f>O42/$O$5</f>
        <v>-0.01351193112</v>
      </c>
      <c r="Q42" s="452"/>
    </row>
    <row r="43" ht="15.75" customHeight="1">
      <c r="A43" s="447" t="s">
        <v>44</v>
      </c>
      <c r="B43" s="447"/>
      <c r="C43" s="447"/>
      <c r="D43" s="447"/>
      <c r="E43" s="447"/>
      <c r="F43" s="447"/>
      <c r="G43" s="447"/>
      <c r="H43" s="447"/>
      <c r="I43" s="447"/>
      <c r="J43" s="447"/>
      <c r="K43" s="447"/>
      <c r="L43" s="447"/>
      <c r="M43" s="447"/>
      <c r="N43" s="447"/>
      <c r="O43" s="471">
        <f t="shared" ref="O43:O44" si="12">SUM(C43:N43)</f>
        <v>0</v>
      </c>
      <c r="P43" s="460"/>
      <c r="Q43" s="452"/>
    </row>
    <row r="44" ht="15.75" customHeight="1">
      <c r="A44" s="472" t="s">
        <v>45</v>
      </c>
      <c r="B44" s="472"/>
      <c r="C44" s="472">
        <v>4400.0</v>
      </c>
      <c r="D44" s="472"/>
      <c r="E44" s="472"/>
      <c r="F44" s="472"/>
      <c r="G44" s="472"/>
      <c r="H44" s="472"/>
      <c r="I44" s="472"/>
      <c r="J44" s="472"/>
      <c r="K44" s="472"/>
      <c r="L44" s="472"/>
      <c r="M44" s="472"/>
      <c r="N44" s="472"/>
      <c r="O44" s="497">
        <f t="shared" si="12"/>
        <v>4400</v>
      </c>
      <c r="P44" s="460"/>
      <c r="Q44" s="452"/>
    </row>
    <row r="45" ht="15.75" customHeight="1">
      <c r="A45" s="463" t="s">
        <v>157</v>
      </c>
      <c r="B45" s="463"/>
      <c r="C45" s="465">
        <f t="shared" ref="C45:O45" si="13">C42+C43-C44</f>
        <v>-106338</v>
      </c>
      <c r="D45" s="465">
        <f t="shared" si="13"/>
        <v>144813</v>
      </c>
      <c r="E45" s="465">
        <f t="shared" si="13"/>
        <v>-113199</v>
      </c>
      <c r="F45" s="465">
        <f t="shared" si="13"/>
        <v>307413</v>
      </c>
      <c r="G45" s="465">
        <f t="shared" si="13"/>
        <v>204834</v>
      </c>
      <c r="H45" s="465">
        <f t="shared" si="13"/>
        <v>225224</v>
      </c>
      <c r="I45" s="465">
        <f t="shared" si="13"/>
        <v>176766</v>
      </c>
      <c r="J45" s="465">
        <f t="shared" si="13"/>
        <v>-268908</v>
      </c>
      <c r="K45" s="465">
        <f t="shared" si="13"/>
        <v>-505697</v>
      </c>
      <c r="L45" s="465">
        <f t="shared" si="13"/>
        <v>-284710</v>
      </c>
      <c r="M45" s="465">
        <f t="shared" si="13"/>
        <v>-44386</v>
      </c>
      <c r="N45" s="465">
        <f t="shared" si="13"/>
        <v>-88462</v>
      </c>
      <c r="O45" s="465">
        <f t="shared" si="13"/>
        <v>-352650</v>
      </c>
      <c r="P45" s="460">
        <f t="shared" ref="P45:P47" si="14">O45/$O$5</f>
        <v>-0.01368264899</v>
      </c>
      <c r="Q45" s="452"/>
    </row>
    <row r="46" ht="15.75" customHeight="1">
      <c r="A46" s="463" t="s">
        <v>158</v>
      </c>
      <c r="B46" s="477">
        <v>0.33</v>
      </c>
      <c r="C46" s="465"/>
      <c r="D46" s="465"/>
      <c r="E46" s="465"/>
      <c r="F46" s="465"/>
      <c r="G46" s="465"/>
      <c r="H46" s="465"/>
      <c r="I46" s="465"/>
      <c r="J46" s="465"/>
      <c r="K46" s="465"/>
      <c r="L46" s="465"/>
      <c r="M46" s="465"/>
      <c r="N46" s="465"/>
      <c r="O46" s="465"/>
      <c r="P46" s="460">
        <f t="shared" si="14"/>
        <v>0</v>
      </c>
      <c r="Q46" s="452"/>
    </row>
    <row r="47" ht="15.75" customHeight="1">
      <c r="A47" s="463" t="s">
        <v>159</v>
      </c>
      <c r="B47" s="463"/>
      <c r="C47" s="465"/>
      <c r="D47" s="465"/>
      <c r="E47" s="465"/>
      <c r="F47" s="465"/>
      <c r="G47" s="465"/>
      <c r="H47" s="465"/>
      <c r="I47" s="465"/>
      <c r="J47" s="465"/>
      <c r="K47" s="465"/>
      <c r="L47" s="465"/>
      <c r="M47" s="465"/>
      <c r="N47" s="465"/>
      <c r="O47" s="465">
        <f>O45-O46</f>
        <v>-352650</v>
      </c>
      <c r="P47" s="460">
        <f t="shared" si="14"/>
        <v>-0.01368264899</v>
      </c>
      <c r="Q47" s="452"/>
    </row>
    <row r="48" ht="15.75" customHeight="1">
      <c r="A48" s="478"/>
      <c r="B48" s="452"/>
      <c r="C48" s="479"/>
      <c r="D48" s="479"/>
      <c r="E48" s="479"/>
      <c r="F48" s="479"/>
      <c r="G48" s="479"/>
      <c r="H48" s="479"/>
      <c r="I48" s="479"/>
      <c r="J48" s="479"/>
      <c r="K48" s="479"/>
      <c r="L48" s="479"/>
      <c r="M48" s="479"/>
      <c r="N48" s="479"/>
      <c r="O48" s="479"/>
      <c r="P48" s="452"/>
      <c r="Q48" s="452"/>
    </row>
    <row r="49" ht="15.75" customHeight="1">
      <c r="A49" s="478"/>
      <c r="B49" s="452"/>
      <c r="C49" s="457"/>
      <c r="D49" s="457"/>
      <c r="E49" s="457"/>
      <c r="F49" s="457"/>
      <c r="G49" s="457"/>
      <c r="H49" s="457"/>
      <c r="I49" s="457"/>
      <c r="J49" s="457"/>
      <c r="K49" s="457"/>
      <c r="L49" s="457"/>
      <c r="M49" s="457"/>
      <c r="N49" s="457"/>
      <c r="O49" s="457"/>
      <c r="P49" s="452"/>
      <c r="Q49" s="452"/>
    </row>
    <row r="50" ht="15.75" customHeight="1">
      <c r="A50" s="478" t="s">
        <v>116</v>
      </c>
      <c r="B50" s="508">
        <f>SUM(B4:B36)</f>
        <v>0</v>
      </c>
      <c r="C50" s="457"/>
      <c r="D50" s="457"/>
      <c r="E50" s="457"/>
      <c r="F50" s="457"/>
      <c r="G50" s="457"/>
      <c r="H50" s="457"/>
      <c r="I50" s="457"/>
      <c r="J50" s="457"/>
      <c r="K50" s="457"/>
      <c r="L50" s="457"/>
      <c r="M50" s="457"/>
      <c r="N50" s="457"/>
      <c r="O50" s="457"/>
      <c r="P50" s="452"/>
      <c r="Q50" s="452"/>
    </row>
    <row r="51" ht="15.75" customHeight="1">
      <c r="A51" s="478" t="s">
        <v>258</v>
      </c>
      <c r="B51" s="508">
        <f>100%-B50</f>
        <v>1</v>
      </c>
      <c r="C51" s="457"/>
      <c r="D51" s="457"/>
      <c r="E51" s="457"/>
      <c r="F51" s="457"/>
      <c r="G51" s="457"/>
      <c r="H51" s="457"/>
      <c r="I51" s="457"/>
      <c r="J51" s="457"/>
      <c r="K51" s="457"/>
      <c r="L51" s="457"/>
      <c r="M51" s="457"/>
      <c r="N51" s="457"/>
      <c r="O51" s="457"/>
      <c r="P51" s="452"/>
      <c r="Q51" s="452"/>
    </row>
    <row r="52" ht="15.75" customHeight="1">
      <c r="A52" s="452"/>
      <c r="B52" s="452"/>
      <c r="C52" s="452"/>
      <c r="D52" s="452"/>
      <c r="E52" s="452"/>
      <c r="F52" s="452"/>
      <c r="G52" s="452"/>
      <c r="H52" s="452"/>
      <c r="I52" s="452"/>
      <c r="J52" s="452"/>
      <c r="K52" s="452"/>
      <c r="L52" s="452"/>
      <c r="M52" s="452"/>
      <c r="N52" s="452"/>
      <c r="O52" s="452"/>
      <c r="P52" s="452"/>
      <c r="Q52" s="452"/>
    </row>
    <row r="53" ht="15.75" customHeight="1">
      <c r="A53" s="452"/>
      <c r="C53" s="452"/>
      <c r="D53" s="452"/>
      <c r="E53" s="452"/>
      <c r="F53" s="452"/>
      <c r="G53" s="452"/>
      <c r="H53" s="452"/>
      <c r="I53" s="452"/>
      <c r="J53" s="452"/>
      <c r="K53" s="452"/>
      <c r="L53" s="452"/>
      <c r="M53" s="452"/>
      <c r="N53" s="452"/>
      <c r="O53" s="452"/>
      <c r="P53" s="452"/>
      <c r="Q53" s="452"/>
    </row>
    <row r="54" ht="15.75" customHeight="1">
      <c r="A54" s="452"/>
      <c r="C54" s="452"/>
      <c r="D54" s="452"/>
      <c r="E54" s="452"/>
      <c r="F54" s="452"/>
      <c r="G54" s="452"/>
      <c r="H54" s="452"/>
      <c r="I54" s="452"/>
      <c r="J54" s="452"/>
      <c r="K54" s="452"/>
      <c r="L54" s="452"/>
      <c r="M54" s="452"/>
      <c r="N54" s="452"/>
      <c r="O54" s="452"/>
      <c r="P54" s="452"/>
      <c r="Q54" s="452"/>
    </row>
    <row r="55" ht="15.75" customHeight="1">
      <c r="A55" s="452" t="s">
        <v>262</v>
      </c>
      <c r="B55" s="452" t="s">
        <v>263</v>
      </c>
      <c r="C55" s="437">
        <v>2604212.0</v>
      </c>
      <c r="D55" s="437">
        <v>2946348.0</v>
      </c>
      <c r="E55" s="437">
        <v>2777697.0</v>
      </c>
      <c r="F55" s="447"/>
      <c r="G55" s="447"/>
      <c r="H55" s="447"/>
      <c r="I55" s="447"/>
      <c r="J55" s="447"/>
      <c r="K55" s="447"/>
      <c r="L55" s="447"/>
      <c r="M55" s="447"/>
      <c r="N55" s="447"/>
      <c r="O55" s="447"/>
      <c r="P55" s="452"/>
      <c r="Q55" s="452"/>
    </row>
    <row r="56" ht="15.75" customHeight="1">
      <c r="A56" s="452"/>
      <c r="B56" s="440" t="s">
        <v>301</v>
      </c>
      <c r="C56" s="447">
        <f>92593+5000</f>
        <v>97593</v>
      </c>
      <c r="D56" s="447">
        <v>97593.0</v>
      </c>
      <c r="E56" s="447">
        <v>97593.0</v>
      </c>
      <c r="F56" s="447"/>
      <c r="G56" s="447"/>
      <c r="H56" s="447"/>
      <c r="I56" s="447"/>
      <c r="J56" s="447"/>
      <c r="K56" s="447"/>
      <c r="L56" s="447"/>
      <c r="M56" s="447"/>
      <c r="N56" s="447"/>
      <c r="O56" s="447"/>
      <c r="P56" s="452"/>
      <c r="Q56" s="452"/>
    </row>
    <row r="57" ht="15.75" customHeight="1">
      <c r="A57" s="452"/>
      <c r="C57" s="452"/>
      <c r="D57" s="452"/>
      <c r="E57" s="452"/>
      <c r="F57" s="452"/>
      <c r="G57" s="452"/>
      <c r="H57" s="452"/>
      <c r="I57" s="452"/>
      <c r="J57" s="452"/>
      <c r="K57" s="452"/>
      <c r="L57" s="452"/>
      <c r="M57" s="452"/>
      <c r="N57" s="452"/>
      <c r="O57" s="452"/>
      <c r="P57" s="452"/>
      <c r="Q57" s="45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3:B53"/>
    <mergeCell ref="A54:B54"/>
    <mergeCell ref="A57:B57"/>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71"/>
    <col customWidth="1" min="2" max="17" width="14.43"/>
  </cols>
  <sheetData>
    <row r="1" ht="15.75" customHeight="1">
      <c r="A1" s="447" t="s">
        <v>302</v>
      </c>
      <c r="B1" s="448" t="s">
        <v>116</v>
      </c>
      <c r="C1" s="449" t="s">
        <v>182</v>
      </c>
      <c r="D1" s="449" t="s">
        <v>183</v>
      </c>
      <c r="E1" s="449" t="s">
        <v>184</v>
      </c>
      <c r="F1" s="447" t="s">
        <v>185</v>
      </c>
      <c r="G1" s="447" t="s">
        <v>186</v>
      </c>
      <c r="H1" s="447" t="s">
        <v>187</v>
      </c>
      <c r="I1" s="447" t="s">
        <v>188</v>
      </c>
      <c r="J1" s="447" t="s">
        <v>189</v>
      </c>
      <c r="K1" s="447" t="s">
        <v>190</v>
      </c>
      <c r="L1" s="447" t="s">
        <v>179</v>
      </c>
      <c r="M1" s="447" t="s">
        <v>180</v>
      </c>
      <c r="N1" s="447" t="s">
        <v>181</v>
      </c>
      <c r="O1" s="447" t="s">
        <v>129</v>
      </c>
      <c r="P1" s="452"/>
      <c r="Q1" s="452"/>
    </row>
    <row r="2" ht="15.75" customHeight="1">
      <c r="A2" s="453"/>
      <c r="B2" s="454"/>
      <c r="C2" s="455"/>
      <c r="D2" s="455"/>
      <c r="E2" s="455"/>
      <c r="F2" s="455"/>
      <c r="G2" s="455"/>
      <c r="H2" s="455"/>
      <c r="I2" s="455"/>
      <c r="J2" s="455"/>
      <c r="K2" s="455"/>
      <c r="L2" s="455"/>
      <c r="M2" s="455"/>
      <c r="N2" s="455"/>
      <c r="O2" s="456">
        <f t="shared" ref="O2:O4" si="1">SUM(C2:N2)</f>
        <v>0</v>
      </c>
      <c r="P2" s="457"/>
      <c r="Q2" s="452"/>
    </row>
    <row r="3" ht="15.75" customHeight="1">
      <c r="A3" s="447" t="s">
        <v>130</v>
      </c>
      <c r="B3" s="447"/>
      <c r="C3" s="458">
        <v>2917948.0</v>
      </c>
      <c r="D3" s="458">
        <v>3287455.0</v>
      </c>
      <c r="E3" s="458">
        <v>3105313.0</v>
      </c>
      <c r="F3" s="458">
        <v>2998456.0</v>
      </c>
      <c r="G3" s="458">
        <v>3043937.0</v>
      </c>
      <c r="H3" s="458">
        <v>3739614.0</v>
      </c>
      <c r="I3" s="458">
        <v>3015894.0</v>
      </c>
      <c r="J3" s="458">
        <v>2466148.0</v>
      </c>
      <c r="K3" s="458">
        <v>1227385.0</v>
      </c>
      <c r="L3" s="458">
        <v>781748.0</v>
      </c>
      <c r="M3" s="458">
        <v>819808.0</v>
      </c>
      <c r="N3" s="458">
        <v>810545.0</v>
      </c>
      <c r="O3" s="459">
        <f t="shared" si="1"/>
        <v>28214251</v>
      </c>
      <c r="P3" s="460">
        <f t="shared" ref="P3:P4" si="3">O3/$O$3</f>
        <v>1</v>
      </c>
      <c r="Q3" s="452"/>
    </row>
    <row r="4" ht="15.75" customHeight="1">
      <c r="A4" s="447" t="s">
        <v>131</v>
      </c>
      <c r="B4" s="461"/>
      <c r="C4" s="492"/>
      <c r="D4" s="492">
        <v>5184.0</v>
      </c>
      <c r="E4" s="492">
        <v>17010.0</v>
      </c>
      <c r="F4" s="492"/>
      <c r="G4" s="492"/>
      <c r="H4" s="492"/>
      <c r="I4" s="492"/>
      <c r="J4" s="492"/>
      <c r="K4" s="492"/>
      <c r="L4" s="492"/>
      <c r="M4" s="492">
        <f t="shared" ref="M4:N4" si="2">M3*$B$4</f>
        <v>0</v>
      </c>
      <c r="N4" s="492">
        <f t="shared" si="2"/>
        <v>0</v>
      </c>
      <c r="O4" s="462">
        <f t="shared" si="1"/>
        <v>22194</v>
      </c>
      <c r="P4" s="460">
        <f t="shared" si="3"/>
        <v>0.0007866237527</v>
      </c>
      <c r="Q4" s="452"/>
    </row>
    <row r="5" ht="15.75" customHeight="1">
      <c r="A5" s="463" t="s">
        <v>132</v>
      </c>
      <c r="B5" s="464"/>
      <c r="C5" s="465">
        <f t="shared" ref="C5:O5" si="4">C2+C3-C4</f>
        <v>2917948</v>
      </c>
      <c r="D5" s="465">
        <f t="shared" si="4"/>
        <v>3282271</v>
      </c>
      <c r="E5" s="465">
        <f t="shared" si="4"/>
        <v>3088303</v>
      </c>
      <c r="F5" s="465">
        <f t="shared" si="4"/>
        <v>2998456</v>
      </c>
      <c r="G5" s="465">
        <f t="shared" si="4"/>
        <v>3043937</v>
      </c>
      <c r="H5" s="465">
        <f t="shared" si="4"/>
        <v>3739614</v>
      </c>
      <c r="I5" s="465">
        <f t="shared" si="4"/>
        <v>3015894</v>
      </c>
      <c r="J5" s="465">
        <f t="shared" si="4"/>
        <v>2466148</v>
      </c>
      <c r="K5" s="465">
        <f t="shared" si="4"/>
        <v>1227385</v>
      </c>
      <c r="L5" s="465">
        <f t="shared" si="4"/>
        <v>781748</v>
      </c>
      <c r="M5" s="465">
        <f t="shared" si="4"/>
        <v>819808</v>
      </c>
      <c r="N5" s="465">
        <f t="shared" si="4"/>
        <v>810545</v>
      </c>
      <c r="O5" s="465">
        <f t="shared" si="4"/>
        <v>28192057</v>
      </c>
      <c r="P5" s="460"/>
      <c r="Q5" s="452"/>
    </row>
    <row r="6" ht="15.75" customHeight="1">
      <c r="A6" s="447"/>
      <c r="B6" s="447"/>
      <c r="C6" s="447"/>
      <c r="D6" s="447"/>
      <c r="E6" s="447"/>
      <c r="F6" s="447"/>
      <c r="G6" s="447"/>
      <c r="H6" s="447"/>
      <c r="I6" s="447"/>
      <c r="J6" s="447"/>
      <c r="K6" s="447"/>
      <c r="L6" s="447"/>
      <c r="M6" s="447"/>
      <c r="N6" s="447"/>
      <c r="O6" s="465">
        <f t="shared" ref="O6:O35" si="5">SUM(C6:N6)</f>
        <v>0</v>
      </c>
      <c r="P6" s="460"/>
      <c r="Q6" s="452"/>
    </row>
    <row r="7" ht="15.75" customHeight="1">
      <c r="A7" s="447" t="s">
        <v>133</v>
      </c>
      <c r="B7" s="447"/>
      <c r="C7" s="462">
        <v>50000.0</v>
      </c>
      <c r="D7" s="462">
        <v>50000.0</v>
      </c>
      <c r="E7" s="462">
        <v>50000.0</v>
      </c>
      <c r="F7" s="462">
        <v>50000.0</v>
      </c>
      <c r="G7" s="462">
        <v>50000.0</v>
      </c>
      <c r="H7" s="462">
        <v>50000.0</v>
      </c>
      <c r="I7" s="462">
        <v>50000.0</v>
      </c>
      <c r="J7" s="462">
        <v>50000.0</v>
      </c>
      <c r="K7" s="462">
        <v>50000.0</v>
      </c>
      <c r="L7" s="462">
        <v>50000.0</v>
      </c>
      <c r="M7" s="462">
        <v>50000.0</v>
      </c>
      <c r="N7" s="462">
        <v>0.0</v>
      </c>
      <c r="O7" s="462">
        <f t="shared" si="5"/>
        <v>550000</v>
      </c>
      <c r="P7" s="460">
        <f>O7/$O$5</f>
        <v>0.01950904115</v>
      </c>
      <c r="Q7" s="452"/>
    </row>
    <row r="8" ht="15.75" customHeight="1">
      <c r="A8" s="447" t="s">
        <v>134</v>
      </c>
      <c r="B8" s="447"/>
      <c r="C8" s="462">
        <v>2498602.0</v>
      </c>
      <c r="D8" s="462">
        <v>2517647.0</v>
      </c>
      <c r="E8" s="462">
        <v>2581636.0</v>
      </c>
      <c r="F8" s="462">
        <v>2121030.0</v>
      </c>
      <c r="G8" s="462">
        <v>2208553.0</v>
      </c>
      <c r="H8" s="462">
        <v>2897358.0</v>
      </c>
      <c r="I8" s="462">
        <v>2316424.0</v>
      </c>
      <c r="J8" s="462">
        <v>2171650.0</v>
      </c>
      <c r="K8" s="462">
        <v>1335048.0</v>
      </c>
      <c r="L8" s="462">
        <v>840778.0</v>
      </c>
      <c r="M8" s="462">
        <v>661990.0</v>
      </c>
      <c r="N8" s="462">
        <v>714259.0</v>
      </c>
      <c r="O8" s="462">
        <f t="shared" si="5"/>
        <v>22864975</v>
      </c>
      <c r="P8" s="460"/>
      <c r="Q8" s="452"/>
    </row>
    <row r="9" ht="15.75" customHeight="1">
      <c r="A9" s="447" t="s">
        <v>135</v>
      </c>
      <c r="B9" s="461"/>
      <c r="C9" s="459"/>
      <c r="D9" s="459"/>
      <c r="E9" s="459"/>
      <c r="F9" s="459"/>
      <c r="G9" s="459"/>
      <c r="H9" s="459"/>
      <c r="I9" s="459"/>
      <c r="J9" s="459"/>
      <c r="K9" s="459"/>
      <c r="L9" s="459"/>
      <c r="M9" s="459"/>
      <c r="N9" s="459"/>
      <c r="O9" s="459">
        <f t="shared" si="5"/>
        <v>0</v>
      </c>
      <c r="P9" s="460">
        <f>O9/$O$5</f>
        <v>0</v>
      </c>
      <c r="Q9" s="452"/>
    </row>
    <row r="10" ht="15.75" customHeight="1">
      <c r="A10" s="447" t="s">
        <v>29</v>
      </c>
      <c r="B10" s="461">
        <v>0.0</v>
      </c>
      <c r="C10" s="462">
        <v>66590.0</v>
      </c>
      <c r="D10" s="462">
        <v>-1149.0</v>
      </c>
      <c r="E10" s="462">
        <v>-868.0</v>
      </c>
      <c r="F10" s="462">
        <v>-640.0</v>
      </c>
      <c r="G10" s="462">
        <v>-845.0</v>
      </c>
      <c r="H10" s="462">
        <v>-830.0</v>
      </c>
      <c r="I10" s="462">
        <v>-705.0</v>
      </c>
      <c r="J10" s="462">
        <v>-683.0</v>
      </c>
      <c r="K10" s="462">
        <v>-640.0</v>
      </c>
      <c r="L10" s="462">
        <v>-598.0</v>
      </c>
      <c r="M10" s="462">
        <v>-633.0</v>
      </c>
      <c r="N10" s="462">
        <v>-744.0</v>
      </c>
      <c r="O10" s="462">
        <f t="shared" si="5"/>
        <v>58255</v>
      </c>
      <c r="P10" s="460"/>
      <c r="Q10" s="452"/>
    </row>
    <row r="11" ht="15.75" customHeight="1">
      <c r="A11" s="447" t="s">
        <v>30</v>
      </c>
      <c r="B11" s="447"/>
      <c r="C11" s="447"/>
      <c r="D11" s="447">
        <v>30000.0</v>
      </c>
      <c r="E11" s="447"/>
      <c r="F11" s="447"/>
      <c r="G11" s="447"/>
      <c r="H11" s="447"/>
      <c r="I11" s="447"/>
      <c r="J11" s="447"/>
      <c r="K11" s="447"/>
      <c r="L11" s="447"/>
      <c r="M11" s="447"/>
      <c r="N11" s="447"/>
      <c r="O11" s="471">
        <f t="shared" si="5"/>
        <v>30000</v>
      </c>
      <c r="P11" s="460"/>
      <c r="Q11" s="452"/>
    </row>
    <row r="12" ht="15.75" customHeight="1">
      <c r="A12" s="447" t="s">
        <v>136</v>
      </c>
      <c r="B12" s="447"/>
      <c r="C12" s="462"/>
      <c r="D12" s="462"/>
      <c r="E12" s="462"/>
      <c r="F12" s="462"/>
      <c r="G12" s="462"/>
      <c r="H12" s="462"/>
      <c r="I12" s="462"/>
      <c r="J12" s="462"/>
      <c r="K12" s="462"/>
      <c r="L12" s="462"/>
      <c r="M12" s="462"/>
      <c r="N12" s="462"/>
      <c r="O12" s="462">
        <f t="shared" si="5"/>
        <v>0</v>
      </c>
      <c r="P12" s="460"/>
      <c r="Q12" s="452"/>
    </row>
    <row r="13" ht="15.75" customHeight="1">
      <c r="A13" s="447" t="s">
        <v>137</v>
      </c>
      <c r="B13" s="461"/>
      <c r="C13" s="462"/>
      <c r="D13" s="462"/>
      <c r="E13" s="462"/>
      <c r="F13" s="462"/>
      <c r="G13" s="462"/>
      <c r="H13" s="462"/>
      <c r="I13" s="462"/>
      <c r="J13" s="462"/>
      <c r="K13" s="462"/>
      <c r="L13" s="462"/>
      <c r="M13" s="462"/>
      <c r="N13" s="462"/>
      <c r="O13" s="462">
        <f t="shared" si="5"/>
        <v>0</v>
      </c>
      <c r="P13" s="460"/>
      <c r="Q13" s="452"/>
    </row>
    <row r="14" ht="15.75" customHeight="1">
      <c r="A14" s="447" t="s">
        <v>138</v>
      </c>
      <c r="B14" s="447"/>
      <c r="C14" s="462">
        <v>0.0</v>
      </c>
      <c r="D14" s="462">
        <v>81400.0</v>
      </c>
      <c r="E14" s="462">
        <v>83600.0</v>
      </c>
      <c r="F14" s="462">
        <v>102725.0</v>
      </c>
      <c r="G14" s="462">
        <v>71600.0</v>
      </c>
      <c r="H14" s="462">
        <v>85600.0</v>
      </c>
      <c r="I14" s="462">
        <v>75390.0</v>
      </c>
      <c r="J14" s="462">
        <v>89660.0</v>
      </c>
      <c r="K14" s="462">
        <v>28874.0</v>
      </c>
      <c r="L14" s="462">
        <v>13100.0</v>
      </c>
      <c r="M14" s="462">
        <v>24100.0</v>
      </c>
      <c r="N14" s="462">
        <v>22600.0</v>
      </c>
      <c r="O14" s="462">
        <f t="shared" si="5"/>
        <v>678649</v>
      </c>
      <c r="P14" s="460"/>
      <c r="Q14" s="452"/>
    </row>
    <row r="15" ht="15.75" customHeight="1">
      <c r="A15" s="447" t="s">
        <v>139</v>
      </c>
      <c r="B15" s="447"/>
      <c r="C15" s="462">
        <v>0.0</v>
      </c>
      <c r="D15" s="462">
        <v>28166.0</v>
      </c>
      <c r="E15" s="462">
        <v>12185.0</v>
      </c>
      <c r="F15" s="462">
        <v>13793.0</v>
      </c>
      <c r="G15" s="462">
        <v>15935.0</v>
      </c>
      <c r="H15" s="462">
        <v>17214.0</v>
      </c>
      <c r="I15" s="462">
        <v>15655.0</v>
      </c>
      <c r="J15" s="462">
        <v>16421.0</v>
      </c>
      <c r="K15" s="462">
        <v>17589.0</v>
      </c>
      <c r="L15" s="462">
        <v>23212.0</v>
      </c>
      <c r="M15" s="462"/>
      <c r="N15" s="462">
        <v>25286.0</v>
      </c>
      <c r="O15" s="462">
        <f t="shared" si="5"/>
        <v>185456</v>
      </c>
      <c r="P15" s="460">
        <f>O15/$O$5</f>
        <v>0.00657830679</v>
      </c>
      <c r="Q15" s="452"/>
    </row>
    <row r="16" ht="15.75" customHeight="1">
      <c r="A16" s="447" t="s">
        <v>255</v>
      </c>
      <c r="B16" s="447"/>
      <c r="C16" s="462"/>
      <c r="D16" s="462"/>
      <c r="E16" s="462"/>
      <c r="F16" s="462"/>
      <c r="G16" s="462"/>
      <c r="H16" s="462"/>
      <c r="I16" s="462"/>
      <c r="J16" s="462"/>
      <c r="K16" s="462"/>
      <c r="L16" s="462"/>
      <c r="M16" s="462"/>
      <c r="N16" s="462"/>
      <c r="O16" s="462">
        <f t="shared" si="5"/>
        <v>0</v>
      </c>
      <c r="P16" s="460"/>
      <c r="Q16" s="452"/>
    </row>
    <row r="17" ht="15.75" customHeight="1">
      <c r="A17" s="447" t="s">
        <v>141</v>
      </c>
      <c r="B17" s="447"/>
      <c r="C17" s="462">
        <v>972.0</v>
      </c>
      <c r="D17" s="462">
        <v>14500.0</v>
      </c>
      <c r="E17" s="462">
        <v>71222.0</v>
      </c>
      <c r="F17" s="462">
        <v>72304.0</v>
      </c>
      <c r="G17" s="462">
        <v>65245.0</v>
      </c>
      <c r="H17" s="462">
        <v>58741.0</v>
      </c>
      <c r="I17" s="462">
        <v>45438.0</v>
      </c>
      <c r="J17" s="462">
        <v>51412.0</v>
      </c>
      <c r="K17" s="462">
        <v>70909.0</v>
      </c>
      <c r="L17" s="462"/>
      <c r="M17" s="462"/>
      <c r="N17" s="462"/>
      <c r="O17" s="462">
        <f t="shared" si="5"/>
        <v>450743</v>
      </c>
      <c r="P17" s="460">
        <f>O17/$O$5</f>
        <v>0.0159882977</v>
      </c>
      <c r="Q17" s="452"/>
    </row>
    <row r="18" ht="15.75" customHeight="1">
      <c r="A18" s="447" t="s">
        <v>142</v>
      </c>
      <c r="B18" s="447"/>
      <c r="C18" s="462">
        <v>84615.0</v>
      </c>
      <c r="D18" s="462">
        <v>107356.0</v>
      </c>
      <c r="E18" s="462">
        <v>0.0</v>
      </c>
      <c r="F18" s="462">
        <v>10681.0</v>
      </c>
      <c r="G18" s="462">
        <v>9221.0</v>
      </c>
      <c r="H18" s="462">
        <v>0.0</v>
      </c>
      <c r="I18" s="462">
        <v>0.0</v>
      </c>
      <c r="J18" s="462">
        <v>-474.0</v>
      </c>
      <c r="K18" s="462"/>
      <c r="L18" s="462"/>
      <c r="M18" s="462"/>
      <c r="N18" s="462"/>
      <c r="O18" s="462">
        <f t="shared" si="5"/>
        <v>211399</v>
      </c>
      <c r="P18" s="460"/>
      <c r="Q18" s="452"/>
    </row>
    <row r="19" ht="15.75" customHeight="1">
      <c r="A19" s="447" t="s">
        <v>143</v>
      </c>
      <c r="B19" s="447"/>
      <c r="C19" s="462"/>
      <c r="D19" s="462"/>
      <c r="E19" s="462">
        <v>26390.0</v>
      </c>
      <c r="F19" s="462"/>
      <c r="G19" s="462"/>
      <c r="H19" s="462">
        <v>25001.0</v>
      </c>
      <c r="I19" s="462">
        <v>7046.0</v>
      </c>
      <c r="J19" s="462">
        <v>15690.0</v>
      </c>
      <c r="K19" s="462">
        <v>3650.0</v>
      </c>
      <c r="L19" s="462"/>
      <c r="M19" s="462"/>
      <c r="N19" s="462"/>
      <c r="O19" s="462">
        <f t="shared" si="5"/>
        <v>77777</v>
      </c>
      <c r="P19" s="460">
        <f>O19/$O$5</f>
        <v>0.002758826715</v>
      </c>
      <c r="Q19" s="452"/>
    </row>
    <row r="20" ht="15.75" customHeight="1">
      <c r="A20" s="447" t="s">
        <v>144</v>
      </c>
      <c r="B20" s="447"/>
      <c r="C20" s="462"/>
      <c r="D20" s="462"/>
      <c r="E20" s="462"/>
      <c r="F20" s="462"/>
      <c r="G20" s="462"/>
      <c r="H20" s="462"/>
      <c r="I20" s="462"/>
      <c r="J20" s="462"/>
      <c r="K20" s="462"/>
      <c r="L20" s="462"/>
      <c r="M20" s="462"/>
      <c r="N20" s="462"/>
      <c r="O20" s="462">
        <f t="shared" si="5"/>
        <v>0</v>
      </c>
      <c r="P20" s="460"/>
      <c r="Q20" s="452"/>
    </row>
    <row r="21" ht="15.75" customHeight="1">
      <c r="A21" s="447" t="s">
        <v>145</v>
      </c>
      <c r="B21" s="447"/>
      <c r="C21" s="462"/>
      <c r="D21" s="462"/>
      <c r="E21" s="462"/>
      <c r="F21" s="462"/>
      <c r="G21" s="462"/>
      <c r="H21" s="462"/>
      <c r="I21" s="462"/>
      <c r="J21" s="462"/>
      <c r="K21" s="462"/>
      <c r="L21" s="462"/>
      <c r="M21" s="462"/>
      <c r="N21" s="462"/>
      <c r="O21" s="462">
        <f t="shared" si="5"/>
        <v>0</v>
      </c>
      <c r="P21" s="460"/>
      <c r="Q21" s="452"/>
    </row>
    <row r="22" ht="15.75" customHeight="1">
      <c r="A22" s="447" t="s">
        <v>33</v>
      </c>
      <c r="B22" s="447"/>
      <c r="C22" s="462"/>
      <c r="D22" s="462"/>
      <c r="E22" s="462"/>
      <c r="F22" s="462"/>
      <c r="G22" s="462"/>
      <c r="H22" s="462"/>
      <c r="I22" s="462"/>
      <c r="J22" s="462"/>
      <c r="K22" s="462"/>
      <c r="L22" s="462"/>
      <c r="M22" s="462"/>
      <c r="N22" s="462"/>
      <c r="O22" s="462">
        <f t="shared" si="5"/>
        <v>0</v>
      </c>
      <c r="P22" s="460"/>
      <c r="Q22" s="452"/>
    </row>
    <row r="23" ht="15.75" customHeight="1">
      <c r="A23" s="447" t="s">
        <v>146</v>
      </c>
      <c r="B23" s="447"/>
      <c r="C23" s="462"/>
      <c r="D23" s="462"/>
      <c r="E23" s="462"/>
      <c r="F23" s="462"/>
      <c r="G23" s="462"/>
      <c r="H23" s="462"/>
      <c r="I23" s="462"/>
      <c r="J23" s="462"/>
      <c r="K23" s="462"/>
      <c r="L23" s="462"/>
      <c r="M23" s="462"/>
      <c r="N23" s="462"/>
      <c r="O23" s="462">
        <f t="shared" si="5"/>
        <v>0</v>
      </c>
      <c r="P23" s="460"/>
      <c r="Q23" s="452"/>
    </row>
    <row r="24" ht="15.75" customHeight="1">
      <c r="A24" s="447" t="s">
        <v>147</v>
      </c>
      <c r="B24" s="447"/>
      <c r="C24" s="462"/>
      <c r="D24" s="462"/>
      <c r="E24" s="462"/>
      <c r="F24" s="462"/>
      <c r="G24" s="462"/>
      <c r="H24" s="462"/>
      <c r="I24" s="462"/>
      <c r="J24" s="462"/>
      <c r="K24" s="462"/>
      <c r="L24" s="462"/>
      <c r="M24" s="462"/>
      <c r="N24" s="462"/>
      <c r="O24" s="462">
        <f t="shared" si="5"/>
        <v>0</v>
      </c>
      <c r="P24" s="460"/>
      <c r="Q24" s="452"/>
    </row>
    <row r="25" ht="15.75" customHeight="1">
      <c r="A25" s="447" t="s">
        <v>35</v>
      </c>
      <c r="B25" s="467"/>
      <c r="C25" s="467"/>
      <c r="D25" s="447"/>
      <c r="E25" s="447"/>
      <c r="F25" s="447"/>
      <c r="G25" s="447"/>
      <c r="H25" s="447"/>
      <c r="I25" s="447"/>
      <c r="J25" s="447"/>
      <c r="K25" s="447"/>
      <c r="L25" s="447"/>
      <c r="M25" s="447"/>
      <c r="N25" s="447">
        <v>11810.0</v>
      </c>
      <c r="O25" s="471">
        <f t="shared" si="5"/>
        <v>11810</v>
      </c>
      <c r="P25" s="460"/>
      <c r="Q25" s="452"/>
    </row>
    <row r="26" ht="15.75" customHeight="1">
      <c r="A26" s="447" t="s">
        <v>148</v>
      </c>
      <c r="B26" s="461">
        <v>0.0</v>
      </c>
      <c r="C26" s="492"/>
      <c r="D26" s="492"/>
      <c r="E26" s="492"/>
      <c r="F26" s="492"/>
      <c r="G26" s="492"/>
      <c r="H26" s="492"/>
      <c r="I26" s="492"/>
      <c r="J26" s="492"/>
      <c r="K26" s="492"/>
      <c r="L26" s="492"/>
      <c r="M26" s="492"/>
      <c r="N26" s="492"/>
      <c r="O26" s="462">
        <f t="shared" si="5"/>
        <v>0</v>
      </c>
      <c r="P26" s="460"/>
      <c r="Q26" s="452"/>
    </row>
    <row r="27" ht="15.75" customHeight="1">
      <c r="A27" s="447" t="s">
        <v>34</v>
      </c>
      <c r="B27" s="461">
        <v>0.0</v>
      </c>
      <c r="C27" s="492"/>
      <c r="D27" s="492"/>
      <c r="E27" s="492"/>
      <c r="F27" s="492"/>
      <c r="G27" s="492"/>
      <c r="H27" s="492"/>
      <c r="I27" s="492">
        <v>13940.0</v>
      </c>
      <c r="J27" s="492"/>
      <c r="K27" s="492">
        <v>30000.0</v>
      </c>
      <c r="L27" s="492"/>
      <c r="M27" s="492"/>
      <c r="N27" s="492"/>
      <c r="O27" s="462">
        <f t="shared" si="5"/>
        <v>43940</v>
      </c>
      <c r="P27" s="460">
        <f>O27/$O$5</f>
        <v>0.001558595033</v>
      </c>
      <c r="Q27" s="452"/>
    </row>
    <row r="28" ht="15.75" customHeight="1">
      <c r="A28" s="447" t="s">
        <v>149</v>
      </c>
      <c r="B28" s="467"/>
      <c r="C28" s="467"/>
      <c r="D28" s="447"/>
      <c r="E28" s="447"/>
      <c r="F28" s="447"/>
      <c r="G28" s="447"/>
      <c r="H28" s="447"/>
      <c r="I28" s="447"/>
      <c r="J28" s="447"/>
      <c r="K28" s="447"/>
      <c r="L28" s="447"/>
      <c r="M28" s="447"/>
      <c r="N28" s="447"/>
      <c r="O28" s="471">
        <f t="shared" si="5"/>
        <v>0</v>
      </c>
      <c r="P28" s="460"/>
      <c r="Q28" s="452"/>
    </row>
    <row r="29" ht="15.75" customHeight="1">
      <c r="A29" s="447" t="s">
        <v>150</v>
      </c>
      <c r="B29" s="468"/>
      <c r="C29" s="492">
        <v>21838.0</v>
      </c>
      <c r="D29" s="462">
        <v>28808.0</v>
      </c>
      <c r="E29" s="462">
        <v>49680.0</v>
      </c>
      <c r="F29" s="462">
        <v>10000.0</v>
      </c>
      <c r="G29" s="462">
        <v>107800.0</v>
      </c>
      <c r="H29" s="462">
        <v>1980.0</v>
      </c>
      <c r="I29" s="462">
        <v>-18.0</v>
      </c>
      <c r="J29" s="462">
        <v>50600.0</v>
      </c>
      <c r="K29" s="462">
        <v>47300.0</v>
      </c>
      <c r="L29" s="462"/>
      <c r="M29" s="462"/>
      <c r="N29" s="462"/>
      <c r="O29" s="462">
        <f t="shared" si="5"/>
        <v>317988</v>
      </c>
      <c r="P29" s="460"/>
      <c r="Q29" s="452"/>
    </row>
    <row r="30" ht="15.75" customHeight="1">
      <c r="A30" s="447" t="s">
        <v>36</v>
      </c>
      <c r="B30" s="461">
        <v>0.0</v>
      </c>
      <c r="C30" s="462">
        <v>42206.0</v>
      </c>
      <c r="D30" s="462">
        <v>7884.0</v>
      </c>
      <c r="E30" s="462">
        <v>7452.0</v>
      </c>
      <c r="F30" s="462">
        <v>8370.0</v>
      </c>
      <c r="G30" s="462">
        <v>6710.0</v>
      </c>
      <c r="H30" s="462">
        <v>7150.0</v>
      </c>
      <c r="I30" s="462">
        <v>6710.0</v>
      </c>
      <c r="J30" s="462">
        <v>6490.0</v>
      </c>
      <c r="K30" s="462">
        <v>7480.0</v>
      </c>
      <c r="L30" s="462">
        <v>11220.0</v>
      </c>
      <c r="M30" s="462">
        <v>7040.0</v>
      </c>
      <c r="N30" s="462">
        <v>6710.0</v>
      </c>
      <c r="O30" s="462">
        <f t="shared" si="5"/>
        <v>125422</v>
      </c>
      <c r="P30" s="460"/>
      <c r="Q30" s="452"/>
    </row>
    <row r="31" ht="15.75" customHeight="1">
      <c r="A31" s="447" t="s">
        <v>151</v>
      </c>
      <c r="B31" s="447"/>
      <c r="C31" s="462"/>
      <c r="D31" s="462"/>
      <c r="E31" s="462"/>
      <c r="F31" s="462"/>
      <c r="G31" s="462"/>
      <c r="H31" s="462"/>
      <c r="I31" s="462"/>
      <c r="J31" s="462"/>
      <c r="K31" s="462"/>
      <c r="L31" s="462"/>
      <c r="M31" s="462"/>
      <c r="N31" s="462"/>
      <c r="O31" s="462">
        <f t="shared" si="5"/>
        <v>0</v>
      </c>
      <c r="P31" s="460"/>
      <c r="Q31" s="452"/>
    </row>
    <row r="32" ht="15.75" customHeight="1">
      <c r="A32" s="447" t="s">
        <v>152</v>
      </c>
      <c r="B32" s="461"/>
      <c r="C32" s="462"/>
      <c r="D32" s="462">
        <v>1944.0</v>
      </c>
      <c r="E32" s="462"/>
      <c r="F32" s="462"/>
      <c r="G32" s="462">
        <v>3630.0</v>
      </c>
      <c r="H32" s="462"/>
      <c r="I32" s="462"/>
      <c r="J32" s="462"/>
      <c r="K32" s="462"/>
      <c r="L32" s="462"/>
      <c r="M32" s="462"/>
      <c r="N32" s="462"/>
      <c r="O32" s="462">
        <f t="shared" si="5"/>
        <v>5574</v>
      </c>
      <c r="P32" s="460"/>
      <c r="Q32" s="452"/>
    </row>
    <row r="33" ht="15.75" customHeight="1">
      <c r="A33" s="447" t="s">
        <v>256</v>
      </c>
      <c r="B33" s="461">
        <v>0.0</v>
      </c>
      <c r="C33" s="462"/>
      <c r="D33" s="462"/>
      <c r="E33" s="462"/>
      <c r="F33" s="462"/>
      <c r="G33" s="462"/>
      <c r="H33" s="462"/>
      <c r="I33" s="462"/>
      <c r="J33" s="462"/>
      <c r="K33" s="462"/>
      <c r="L33" s="462"/>
      <c r="M33" s="462"/>
      <c r="N33" s="462"/>
      <c r="O33" s="462">
        <f t="shared" si="5"/>
        <v>0</v>
      </c>
      <c r="P33" s="460"/>
      <c r="Q33" s="452"/>
    </row>
    <row r="34" ht="15.75" customHeight="1">
      <c r="A34" s="447" t="s">
        <v>257</v>
      </c>
      <c r="B34" s="461"/>
      <c r="C34" s="462">
        <v>54000.0</v>
      </c>
      <c r="D34" s="462">
        <v>54000.0</v>
      </c>
      <c r="E34" s="462">
        <v>118800.0</v>
      </c>
      <c r="F34" s="462">
        <v>55000.0</v>
      </c>
      <c r="G34" s="462">
        <v>55000.0</v>
      </c>
      <c r="H34" s="462">
        <v>55000.0</v>
      </c>
      <c r="I34" s="462">
        <v>55000.0</v>
      </c>
      <c r="J34" s="462">
        <v>55000.0</v>
      </c>
      <c r="K34" s="462">
        <v>55000.0</v>
      </c>
      <c r="L34" s="462">
        <v>55000.0</v>
      </c>
      <c r="M34" s="462">
        <v>55000.0</v>
      </c>
      <c r="N34" s="462">
        <v>55000.0</v>
      </c>
      <c r="O34" s="462">
        <f t="shared" si="5"/>
        <v>721800</v>
      </c>
      <c r="P34" s="460">
        <f>O34/$O$5</f>
        <v>0.02560295618</v>
      </c>
      <c r="Q34" s="452"/>
    </row>
    <row r="35" ht="15.75" customHeight="1">
      <c r="A35" s="447" t="s">
        <v>241</v>
      </c>
      <c r="B35" s="447"/>
      <c r="C35" s="462"/>
      <c r="D35" s="462"/>
      <c r="E35" s="462"/>
      <c r="F35" s="462"/>
      <c r="G35" s="462"/>
      <c r="H35" s="462"/>
      <c r="I35" s="462"/>
      <c r="J35" s="462">
        <v>34100.0</v>
      </c>
      <c r="K35" s="462"/>
      <c r="L35" s="462"/>
      <c r="M35" s="462"/>
      <c r="N35" s="462"/>
      <c r="O35" s="462">
        <f t="shared" si="5"/>
        <v>34100</v>
      </c>
      <c r="P35" s="460"/>
      <c r="Q35" s="452"/>
    </row>
    <row r="36" ht="15.75" customHeight="1">
      <c r="A36" s="447"/>
      <c r="B36" s="447"/>
      <c r="C36" s="447"/>
      <c r="D36" s="447"/>
      <c r="E36" s="447"/>
      <c r="F36" s="447"/>
      <c r="G36" s="447"/>
      <c r="H36" s="447"/>
      <c r="I36" s="447"/>
      <c r="J36" s="447"/>
      <c r="K36" s="447"/>
      <c r="L36" s="447"/>
      <c r="M36" s="447"/>
      <c r="N36" s="447"/>
      <c r="O36" s="471"/>
      <c r="P36" s="460"/>
      <c r="Q36" s="452"/>
    </row>
    <row r="37" ht="15.75" customHeight="1">
      <c r="A37" s="447" t="s">
        <v>153</v>
      </c>
      <c r="B37" s="447"/>
      <c r="C37" s="462">
        <f t="shared" ref="C37:O37" si="6">SUM(C7:C36)</f>
        <v>2818823</v>
      </c>
      <c r="D37" s="462">
        <f t="shared" si="6"/>
        <v>2920556</v>
      </c>
      <c r="E37" s="462">
        <f t="shared" si="6"/>
        <v>3000097</v>
      </c>
      <c r="F37" s="462">
        <f t="shared" si="6"/>
        <v>2443263</v>
      </c>
      <c r="G37" s="462">
        <f t="shared" si="6"/>
        <v>2592849</v>
      </c>
      <c r="H37" s="462">
        <f t="shared" si="6"/>
        <v>3197214</v>
      </c>
      <c r="I37" s="462">
        <f t="shared" si="6"/>
        <v>2584880</v>
      </c>
      <c r="J37" s="462">
        <f t="shared" si="6"/>
        <v>2539866</v>
      </c>
      <c r="K37" s="462">
        <f t="shared" si="6"/>
        <v>1645210</v>
      </c>
      <c r="L37" s="462">
        <f t="shared" si="6"/>
        <v>992712</v>
      </c>
      <c r="M37" s="462">
        <f t="shared" si="6"/>
        <v>797497</v>
      </c>
      <c r="N37" s="462">
        <f t="shared" si="6"/>
        <v>834921</v>
      </c>
      <c r="O37" s="462">
        <f t="shared" si="6"/>
        <v>26367888</v>
      </c>
      <c r="P37" s="460">
        <f t="shared" ref="P37:P38" si="8">O37/$O$5</f>
        <v>0.9352949308</v>
      </c>
      <c r="Q37" s="452"/>
    </row>
    <row r="38" ht="15.75" customHeight="1">
      <c r="A38" s="463" t="s">
        <v>40</v>
      </c>
      <c r="B38" s="463"/>
      <c r="C38" s="465">
        <f t="shared" ref="C38:O38" si="7">C5-C37</f>
        <v>99125</v>
      </c>
      <c r="D38" s="465">
        <f t="shared" si="7"/>
        <v>361715</v>
      </c>
      <c r="E38" s="465">
        <f t="shared" si="7"/>
        <v>88206</v>
      </c>
      <c r="F38" s="465">
        <f t="shared" si="7"/>
        <v>555193</v>
      </c>
      <c r="G38" s="465">
        <f t="shared" si="7"/>
        <v>451088</v>
      </c>
      <c r="H38" s="465">
        <f t="shared" si="7"/>
        <v>542400</v>
      </c>
      <c r="I38" s="465">
        <f t="shared" si="7"/>
        <v>431014</v>
      </c>
      <c r="J38" s="465">
        <f t="shared" si="7"/>
        <v>-73718</v>
      </c>
      <c r="K38" s="465">
        <f t="shared" si="7"/>
        <v>-417825</v>
      </c>
      <c r="L38" s="465">
        <f t="shared" si="7"/>
        <v>-210964</v>
      </c>
      <c r="M38" s="465">
        <f t="shared" si="7"/>
        <v>22311</v>
      </c>
      <c r="N38" s="465">
        <f t="shared" si="7"/>
        <v>-24376</v>
      </c>
      <c r="O38" s="465">
        <f t="shared" si="7"/>
        <v>1824169</v>
      </c>
      <c r="P38" s="460">
        <f t="shared" si="8"/>
        <v>0.06470506923</v>
      </c>
      <c r="Q38" s="452"/>
    </row>
    <row r="39" ht="15.75" customHeight="1">
      <c r="A39" s="447" t="s">
        <v>154</v>
      </c>
      <c r="B39" s="447"/>
      <c r="C39" s="462"/>
      <c r="D39" s="462"/>
      <c r="E39" s="462"/>
      <c r="F39" s="462"/>
      <c r="G39" s="462"/>
      <c r="H39" s="462"/>
      <c r="I39" s="462"/>
      <c r="J39" s="462"/>
      <c r="K39" s="462"/>
      <c r="L39" s="462"/>
      <c r="M39" s="462"/>
      <c r="N39" s="462"/>
      <c r="O39" s="462">
        <f t="shared" ref="O39:O41" si="9">SUM(C39:N39)</f>
        <v>0</v>
      </c>
      <c r="P39" s="460"/>
      <c r="Q39" s="452"/>
    </row>
    <row r="40" ht="15.75" customHeight="1">
      <c r="A40" s="447" t="s">
        <v>155</v>
      </c>
      <c r="B40" s="447"/>
      <c r="C40" s="447"/>
      <c r="D40" s="447"/>
      <c r="E40" s="462"/>
      <c r="F40" s="447"/>
      <c r="G40" s="447"/>
      <c r="H40" s="447"/>
      <c r="I40" s="447"/>
      <c r="J40" s="447"/>
      <c r="K40" s="447"/>
      <c r="L40" s="447"/>
      <c r="M40" s="447"/>
      <c r="N40" s="447">
        <v>400.0</v>
      </c>
      <c r="O40" s="471">
        <f t="shared" si="9"/>
        <v>400</v>
      </c>
      <c r="P40" s="460"/>
      <c r="Q40" s="452"/>
    </row>
    <row r="41" ht="15.75" customHeight="1">
      <c r="A41" s="447" t="s">
        <v>156</v>
      </c>
      <c r="B41" s="447"/>
      <c r="C41" s="447"/>
      <c r="D41" s="447">
        <v>12.0</v>
      </c>
      <c r="E41" s="447"/>
      <c r="F41" s="447"/>
      <c r="G41" s="447"/>
      <c r="H41" s="447"/>
      <c r="I41" s="447"/>
      <c r="J41" s="447">
        <v>13.0</v>
      </c>
      <c r="K41" s="447"/>
      <c r="L41" s="447"/>
      <c r="M41" s="447"/>
      <c r="N41" s="447"/>
      <c r="O41" s="471">
        <f t="shared" si="9"/>
        <v>25</v>
      </c>
      <c r="P41" s="460"/>
      <c r="Q41" s="452"/>
    </row>
    <row r="42" ht="15.75" customHeight="1">
      <c r="A42" s="463" t="s">
        <v>43</v>
      </c>
      <c r="B42" s="463"/>
      <c r="C42" s="465">
        <f t="shared" ref="C42:O42" si="10">C38-C39-C40+C41</f>
        <v>99125</v>
      </c>
      <c r="D42" s="465">
        <f t="shared" si="10"/>
        <v>361727</v>
      </c>
      <c r="E42" s="465">
        <f t="shared" si="10"/>
        <v>88206</v>
      </c>
      <c r="F42" s="465">
        <f t="shared" si="10"/>
        <v>555193</v>
      </c>
      <c r="G42" s="465">
        <f t="shared" si="10"/>
        <v>451088</v>
      </c>
      <c r="H42" s="465">
        <f t="shared" si="10"/>
        <v>542400</v>
      </c>
      <c r="I42" s="465">
        <f t="shared" si="10"/>
        <v>431014</v>
      </c>
      <c r="J42" s="465">
        <f t="shared" si="10"/>
        <v>-73705</v>
      </c>
      <c r="K42" s="465">
        <f t="shared" si="10"/>
        <v>-417825</v>
      </c>
      <c r="L42" s="465">
        <f t="shared" si="10"/>
        <v>-210964</v>
      </c>
      <c r="M42" s="465">
        <f t="shared" si="10"/>
        <v>22311</v>
      </c>
      <c r="N42" s="465">
        <f t="shared" si="10"/>
        <v>-24776</v>
      </c>
      <c r="O42" s="470">
        <f t="shared" si="10"/>
        <v>1823794</v>
      </c>
      <c r="P42" s="460">
        <f>O42/$O$5</f>
        <v>0.06469176761</v>
      </c>
      <c r="Q42" s="452"/>
    </row>
    <row r="43" ht="15.75" customHeight="1">
      <c r="A43" s="447" t="s">
        <v>44</v>
      </c>
      <c r="B43" s="447"/>
      <c r="C43" s="447"/>
      <c r="D43" s="447"/>
      <c r="E43" s="447"/>
      <c r="F43" s="447"/>
      <c r="G43" s="447"/>
      <c r="H43" s="447"/>
      <c r="I43" s="447"/>
      <c r="J43" s="447"/>
      <c r="K43" s="447"/>
      <c r="L43" s="447"/>
      <c r="M43" s="447"/>
      <c r="N43" s="447"/>
      <c r="O43" s="471">
        <f t="shared" ref="O43:O44" si="11">SUM(C43:N43)</f>
        <v>0</v>
      </c>
      <c r="P43" s="460"/>
      <c r="Q43" s="452"/>
    </row>
    <row r="44" ht="15.75" customHeight="1">
      <c r="A44" s="472" t="s">
        <v>45</v>
      </c>
      <c r="B44" s="472"/>
      <c r="C44" s="472">
        <v>4400.0</v>
      </c>
      <c r="D44" s="472"/>
      <c r="E44" s="472"/>
      <c r="F44" s="472"/>
      <c r="G44" s="472"/>
      <c r="H44" s="472"/>
      <c r="I44" s="472"/>
      <c r="J44" s="472"/>
      <c r="K44" s="472"/>
      <c r="L44" s="472"/>
      <c r="M44" s="472"/>
      <c r="N44" s="472"/>
      <c r="O44" s="497">
        <f t="shared" si="11"/>
        <v>4400</v>
      </c>
      <c r="P44" s="460"/>
      <c r="Q44" s="452"/>
    </row>
    <row r="45" ht="15.75" customHeight="1">
      <c r="A45" s="463" t="s">
        <v>157</v>
      </c>
      <c r="B45" s="463"/>
      <c r="C45" s="465">
        <f t="shared" ref="C45:O45" si="12">C42+C43-C44</f>
        <v>94725</v>
      </c>
      <c r="D45" s="465">
        <f t="shared" si="12"/>
        <v>361727</v>
      </c>
      <c r="E45" s="465">
        <f t="shared" si="12"/>
        <v>88206</v>
      </c>
      <c r="F45" s="465">
        <f t="shared" si="12"/>
        <v>555193</v>
      </c>
      <c r="G45" s="465">
        <f t="shared" si="12"/>
        <v>451088</v>
      </c>
      <c r="H45" s="465">
        <f t="shared" si="12"/>
        <v>542400</v>
      </c>
      <c r="I45" s="465">
        <f t="shared" si="12"/>
        <v>431014</v>
      </c>
      <c r="J45" s="465">
        <f t="shared" si="12"/>
        <v>-73705</v>
      </c>
      <c r="K45" s="465">
        <f t="shared" si="12"/>
        <v>-417825</v>
      </c>
      <c r="L45" s="465">
        <f t="shared" si="12"/>
        <v>-210964</v>
      </c>
      <c r="M45" s="465">
        <f t="shared" si="12"/>
        <v>22311</v>
      </c>
      <c r="N45" s="465">
        <f t="shared" si="12"/>
        <v>-24776</v>
      </c>
      <c r="O45" s="465">
        <f t="shared" si="12"/>
        <v>1819394</v>
      </c>
      <c r="P45" s="460">
        <f t="shared" ref="P45:P47" si="13">O45/$O$5</f>
        <v>0.06453569528</v>
      </c>
      <c r="Q45" s="452"/>
    </row>
    <row r="46" ht="15.75" customHeight="1">
      <c r="A46" s="463" t="s">
        <v>158</v>
      </c>
      <c r="B46" s="477">
        <v>0.33</v>
      </c>
      <c r="C46" s="465"/>
      <c r="D46" s="465"/>
      <c r="E46" s="465"/>
      <c r="F46" s="465"/>
      <c r="G46" s="465"/>
      <c r="H46" s="465"/>
      <c r="I46" s="465"/>
      <c r="J46" s="465"/>
      <c r="K46" s="465"/>
      <c r="L46" s="465"/>
      <c r="M46" s="465"/>
      <c r="N46" s="465"/>
      <c r="O46" s="465">
        <f>O45*B46</f>
        <v>600400.02</v>
      </c>
      <c r="P46" s="460">
        <f t="shared" si="13"/>
        <v>0.02129677944</v>
      </c>
      <c r="Q46" s="452"/>
    </row>
    <row r="47" ht="15.75" customHeight="1">
      <c r="A47" s="463" t="s">
        <v>159</v>
      </c>
      <c r="B47" s="463"/>
      <c r="C47" s="465"/>
      <c r="D47" s="465"/>
      <c r="E47" s="465"/>
      <c r="F47" s="465"/>
      <c r="G47" s="465"/>
      <c r="H47" s="465"/>
      <c r="I47" s="465"/>
      <c r="J47" s="465"/>
      <c r="K47" s="465"/>
      <c r="L47" s="465"/>
      <c r="M47" s="465"/>
      <c r="N47" s="465"/>
      <c r="O47" s="465">
        <f>O45-O46</f>
        <v>1218993.98</v>
      </c>
      <c r="P47" s="460">
        <f t="shared" si="13"/>
        <v>0.04323891584</v>
      </c>
      <c r="Q47" s="452"/>
    </row>
    <row r="48" ht="15.75" customHeight="1">
      <c r="A48" s="478"/>
      <c r="B48" s="452"/>
      <c r="C48" s="479"/>
      <c r="D48" s="479"/>
      <c r="E48" s="479"/>
      <c r="F48" s="479"/>
      <c r="G48" s="479"/>
      <c r="H48" s="479"/>
      <c r="I48" s="479"/>
      <c r="J48" s="479"/>
      <c r="K48" s="479"/>
      <c r="L48" s="479"/>
      <c r="M48" s="479"/>
      <c r="N48" s="479"/>
      <c r="O48" s="479"/>
      <c r="P48" s="452"/>
      <c r="Q48" s="452"/>
    </row>
    <row r="49" ht="15.75" customHeight="1">
      <c r="A49" s="478"/>
      <c r="B49" s="452"/>
      <c r="C49" s="457"/>
      <c r="D49" s="457"/>
      <c r="E49" s="457"/>
      <c r="F49" s="457"/>
      <c r="G49" s="457"/>
      <c r="H49" s="457"/>
      <c r="I49" s="457"/>
      <c r="J49" s="457"/>
      <c r="K49" s="457"/>
      <c r="L49" s="457"/>
      <c r="M49" s="457"/>
      <c r="N49" s="457"/>
      <c r="O49" s="457"/>
      <c r="P49" s="452"/>
      <c r="Q49" s="452"/>
    </row>
    <row r="50" ht="15.75" customHeight="1">
      <c r="A50" s="478" t="s">
        <v>116</v>
      </c>
      <c r="B50" s="508">
        <f>SUM(B4:B36)</f>
        <v>0</v>
      </c>
      <c r="C50" s="457"/>
      <c r="D50" s="457"/>
      <c r="E50" s="457"/>
      <c r="F50" s="457"/>
      <c r="G50" s="457"/>
      <c r="H50" s="457"/>
      <c r="I50" s="457"/>
      <c r="J50" s="457"/>
      <c r="K50" s="457"/>
      <c r="L50" s="457"/>
      <c r="M50" s="457"/>
      <c r="N50" s="457"/>
      <c r="O50" s="457"/>
      <c r="P50" s="452"/>
      <c r="Q50" s="452"/>
    </row>
    <row r="51" ht="15.75" customHeight="1">
      <c r="A51" s="478" t="s">
        <v>258</v>
      </c>
      <c r="B51" s="508">
        <f>100%-B50</f>
        <v>1</v>
      </c>
      <c r="C51" s="457"/>
      <c r="D51" s="457"/>
      <c r="E51" s="457"/>
      <c r="F51" s="457"/>
      <c r="G51" s="457"/>
      <c r="H51" s="457"/>
      <c r="I51" s="457"/>
      <c r="J51" s="457"/>
      <c r="K51" s="457"/>
      <c r="L51" s="457"/>
      <c r="M51" s="457"/>
      <c r="N51" s="457"/>
      <c r="O51" s="457"/>
      <c r="P51" s="452"/>
      <c r="Q51" s="452"/>
    </row>
    <row r="52" ht="15.75" customHeight="1">
      <c r="A52" s="452"/>
      <c r="B52" s="452"/>
      <c r="C52" s="452"/>
      <c r="D52" s="452"/>
      <c r="E52" s="452"/>
      <c r="F52" s="452"/>
      <c r="G52" s="452"/>
      <c r="H52" s="452"/>
      <c r="I52" s="452"/>
      <c r="J52" s="452"/>
      <c r="K52" s="452"/>
      <c r="L52" s="452"/>
      <c r="M52" s="452"/>
      <c r="N52" s="452"/>
      <c r="O52" s="452"/>
      <c r="P52" s="452"/>
      <c r="Q52" s="452"/>
    </row>
    <row r="53" ht="15.75" customHeight="1">
      <c r="A53" s="452"/>
      <c r="C53" s="452"/>
      <c r="D53" s="452"/>
      <c r="E53" s="452"/>
      <c r="F53" s="452"/>
      <c r="G53" s="452"/>
      <c r="H53" s="452"/>
      <c r="I53" s="452"/>
      <c r="J53" s="452"/>
      <c r="K53" s="452"/>
      <c r="L53" s="452"/>
      <c r="M53" s="452"/>
      <c r="N53" s="452"/>
      <c r="O53" s="452"/>
      <c r="P53" s="452"/>
      <c r="Q53" s="452"/>
    </row>
    <row r="54" ht="15.75" customHeight="1">
      <c r="A54" s="452"/>
      <c r="C54" s="452"/>
      <c r="D54" s="452"/>
      <c r="E54" s="452"/>
      <c r="F54" s="452"/>
      <c r="G54" s="452"/>
      <c r="H54" s="452"/>
      <c r="I54" s="452"/>
      <c r="J54" s="452"/>
      <c r="K54" s="452"/>
      <c r="L54" s="452"/>
      <c r="M54" s="452"/>
      <c r="N54" s="452"/>
      <c r="O54" s="452"/>
      <c r="P54" s="452"/>
      <c r="Q54" s="452"/>
    </row>
    <row r="55" ht="15.75" customHeight="1">
      <c r="A55" s="452" t="s">
        <v>262</v>
      </c>
      <c r="B55" s="452" t="s">
        <v>263</v>
      </c>
      <c r="C55" s="437">
        <v>2604212.0</v>
      </c>
      <c r="D55" s="437">
        <v>2946348.0</v>
      </c>
      <c r="E55" s="437">
        <v>2777697.0</v>
      </c>
      <c r="F55" s="447"/>
      <c r="G55" s="447"/>
      <c r="H55" s="447"/>
      <c r="I55" s="447"/>
      <c r="J55" s="447"/>
      <c r="K55" s="447"/>
      <c r="L55" s="447"/>
      <c r="M55" s="447"/>
      <c r="N55" s="447"/>
      <c r="O55" s="447"/>
      <c r="P55" s="452"/>
      <c r="Q55" s="452"/>
    </row>
    <row r="56" ht="15.75" customHeight="1">
      <c r="A56" s="452"/>
      <c r="B56" s="440" t="s">
        <v>301</v>
      </c>
      <c r="C56" s="447">
        <f>92593+5000</f>
        <v>97593</v>
      </c>
      <c r="D56" s="447">
        <v>97593.0</v>
      </c>
      <c r="E56" s="447">
        <v>97593.0</v>
      </c>
      <c r="F56" s="447"/>
      <c r="G56" s="447"/>
      <c r="H56" s="447"/>
      <c r="I56" s="447"/>
      <c r="J56" s="447"/>
      <c r="K56" s="447"/>
      <c r="L56" s="447"/>
      <c r="M56" s="447"/>
      <c r="N56" s="447"/>
      <c r="O56" s="447"/>
      <c r="P56" s="452"/>
      <c r="Q56" s="452"/>
    </row>
    <row r="57" ht="15.75" customHeight="1">
      <c r="A57" s="452"/>
      <c r="C57" s="452"/>
      <c r="D57" s="452"/>
      <c r="E57" s="452"/>
      <c r="F57" s="452"/>
      <c r="G57" s="452"/>
      <c r="H57" s="452"/>
      <c r="I57" s="452"/>
      <c r="J57" s="452"/>
      <c r="K57" s="452"/>
      <c r="L57" s="452"/>
      <c r="M57" s="452"/>
      <c r="N57" s="452"/>
      <c r="O57" s="452"/>
      <c r="P57" s="452"/>
      <c r="Q57" s="45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3:B53"/>
    <mergeCell ref="A54:B54"/>
    <mergeCell ref="A57:B57"/>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2020-07-11T07:17:36Z</dcterms:created>
  <dc:creator>81901</dc:creator>
</cp:coreProperties>
</file>