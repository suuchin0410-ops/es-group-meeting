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5\"/>
    </mc:Choice>
  </mc:AlternateContent>
  <xr:revisionPtr revIDLastSave="0" documentId="8_{64F6D4E9-1EF7-43A8-B45E-FA4319B19DDF}" xr6:coauthVersionLast="47" xr6:coauthVersionMax="47" xr10:uidLastSave="{00000000-0000-0000-0000-000000000000}"/>
  <bookViews>
    <workbookView xWindow="-4032" yWindow="-17388" windowWidth="41496" windowHeight="16776" tabRatio="492" activeTab="4" xr2:uid="{00000000-000D-0000-FFFF-FFFF00000000}"/>
  </bookViews>
  <sheets>
    <sheet name="月次BS" sheetId="2" r:id="rId1"/>
    <sheet name="BS千円" sheetId="5" r:id="rId2"/>
    <sheet name="月次PL" sheetId="1" r:id="rId3"/>
    <sheet name="PL推移" sheetId="3" r:id="rId4"/>
    <sheet name="PL予実対比" sheetId="7" r:id="rId5"/>
    <sheet name="CF推移" sheetId="4" r:id="rId6"/>
    <sheet name="収支計画" sheetId="6" r:id="rId7"/>
  </sheets>
  <externalReferences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4" l="1"/>
  <c r="P30" i="4"/>
  <c r="O30" i="4"/>
  <c r="P29" i="4"/>
  <c r="O29" i="4"/>
  <c r="AZ55" i="7"/>
  <c r="AY55" i="7"/>
  <c r="AZ54" i="7"/>
  <c r="AY54" i="7"/>
  <c r="AZ53" i="7"/>
  <c r="AY53" i="7"/>
  <c r="AZ51" i="7"/>
  <c r="AY51" i="7"/>
  <c r="AZ50" i="7"/>
  <c r="AY50" i="7"/>
  <c r="AZ49" i="7"/>
  <c r="AY49" i="7"/>
  <c r="AZ48" i="7"/>
  <c r="AY48" i="7"/>
  <c r="AZ47" i="7"/>
  <c r="AY47" i="7"/>
  <c r="AZ46" i="7"/>
  <c r="AY46" i="7"/>
  <c r="AZ45" i="7"/>
  <c r="AY45" i="7"/>
  <c r="AZ44" i="7"/>
  <c r="AY44" i="7"/>
  <c r="AZ43" i="7"/>
  <c r="AY43" i="7"/>
  <c r="AZ42" i="7"/>
  <c r="AY42" i="7"/>
  <c r="AZ41" i="7"/>
  <c r="AY41" i="7"/>
  <c r="AZ40" i="7"/>
  <c r="AY40" i="7"/>
  <c r="AZ39" i="7"/>
  <c r="AY39" i="7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AX63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2" i="7"/>
  <c r="AU21" i="7"/>
  <c r="AU20" i="7"/>
  <c r="AU19" i="7"/>
  <c r="AU18" i="7"/>
  <c r="AU17" i="7"/>
  <c r="AU16" i="7"/>
  <c r="AU15" i="7"/>
  <c r="AU14" i="7"/>
  <c r="AU13" i="7"/>
  <c r="AU12" i="7"/>
  <c r="AU11" i="7"/>
  <c r="V10" i="3"/>
  <c r="Z10" i="3"/>
  <c r="T10" i="3"/>
  <c r="N44" i="1"/>
  <c r="M44" i="1"/>
  <c r="L44" i="1"/>
  <c r="K44" i="1"/>
  <c r="J44" i="1"/>
  <c r="I44" i="1"/>
  <c r="H44" i="1"/>
  <c r="G44" i="1"/>
  <c r="F44" i="1"/>
  <c r="E44" i="1"/>
  <c r="D44" i="1"/>
  <c r="C44" i="1"/>
  <c r="R124" i="6"/>
  <c r="Q124" i="6"/>
  <c r="P124" i="6"/>
  <c r="R111" i="6"/>
  <c r="R100" i="6" s="1"/>
  <c r="R102" i="6" s="1"/>
  <c r="Q111" i="6"/>
  <c r="Q100" i="6" s="1"/>
  <c r="Q102" i="6" s="1"/>
  <c r="P111" i="6"/>
  <c r="P100" i="6" s="1"/>
  <c r="P102" i="6" s="1"/>
  <c r="R93" i="6"/>
  <c r="Q93" i="6"/>
  <c r="P93" i="6"/>
  <c r="P76" i="6"/>
  <c r="R75" i="6"/>
  <c r="Q75" i="6"/>
  <c r="P75" i="6"/>
  <c r="R74" i="6"/>
  <c r="Q74" i="6"/>
  <c r="P74" i="6"/>
  <c r="R59" i="6"/>
  <c r="R85" i="6" s="1"/>
  <c r="Q59" i="6"/>
  <c r="Q85" i="6" s="1"/>
  <c r="P59" i="6"/>
  <c r="P85" i="6" s="1"/>
  <c r="R58" i="6"/>
  <c r="R79" i="6" s="1"/>
  <c r="Q58" i="6"/>
  <c r="Q79" i="6" s="1"/>
  <c r="P58" i="6"/>
  <c r="P79" i="6" s="1"/>
  <c r="R53" i="6"/>
  <c r="Q53" i="6"/>
  <c r="AQ49" i="7" s="1"/>
  <c r="P53" i="6"/>
  <c r="AM49" i="7" s="1"/>
  <c r="R52" i="6"/>
  <c r="Q52" i="6"/>
  <c r="AQ48" i="7" s="1"/>
  <c r="P52" i="6"/>
  <c r="AM48" i="7" s="1"/>
  <c r="R51" i="6"/>
  <c r="Q51" i="6"/>
  <c r="AQ47" i="7" s="1"/>
  <c r="P51" i="6"/>
  <c r="AM47" i="7" s="1"/>
  <c r="R50" i="6"/>
  <c r="Q50" i="6"/>
  <c r="AQ46" i="7" s="1"/>
  <c r="P50" i="6"/>
  <c r="AM46" i="7" s="1"/>
  <c r="R49" i="6"/>
  <c r="Q49" i="6"/>
  <c r="AQ45" i="7" s="1"/>
  <c r="P49" i="6"/>
  <c r="AM45" i="7" s="1"/>
  <c r="R48" i="6"/>
  <c r="Q48" i="6"/>
  <c r="AQ44" i="7" s="1"/>
  <c r="P48" i="6"/>
  <c r="AM44" i="7" s="1"/>
  <c r="R47" i="6"/>
  <c r="Q47" i="6"/>
  <c r="AQ43" i="7" s="1"/>
  <c r="P47" i="6"/>
  <c r="AM43" i="7" s="1"/>
  <c r="R46" i="6"/>
  <c r="Q46" i="6"/>
  <c r="AQ42" i="7" s="1"/>
  <c r="P46" i="6"/>
  <c r="AM42" i="7" s="1"/>
  <c r="R45" i="6"/>
  <c r="Q45" i="6"/>
  <c r="AQ41" i="7" s="1"/>
  <c r="P45" i="6"/>
  <c r="AM41" i="7" s="1"/>
  <c r="R44" i="6"/>
  <c r="Q44" i="6"/>
  <c r="AQ40" i="7" s="1"/>
  <c r="P44" i="6"/>
  <c r="AM40" i="7" s="1"/>
  <c r="R43" i="6"/>
  <c r="Q43" i="6"/>
  <c r="AQ39" i="7" s="1"/>
  <c r="P43" i="6"/>
  <c r="AM39" i="7" s="1"/>
  <c r="R42" i="6"/>
  <c r="Q42" i="6"/>
  <c r="AQ38" i="7" s="1"/>
  <c r="P42" i="6"/>
  <c r="AM38" i="7" s="1"/>
  <c r="R41" i="6"/>
  <c r="Q41" i="6"/>
  <c r="AQ37" i="7" s="1"/>
  <c r="P41" i="6"/>
  <c r="AM37" i="7" s="1"/>
  <c r="R40" i="6"/>
  <c r="Q40" i="6"/>
  <c r="AQ36" i="7" s="1"/>
  <c r="P40" i="6"/>
  <c r="AM36" i="7" s="1"/>
  <c r="R39" i="6"/>
  <c r="Q39" i="6"/>
  <c r="AQ35" i="7" s="1"/>
  <c r="P39" i="6"/>
  <c r="AM35" i="7" s="1"/>
  <c r="R38" i="6"/>
  <c r="Q38" i="6"/>
  <c r="AQ34" i="7" s="1"/>
  <c r="P38" i="6"/>
  <c r="AM34" i="7" s="1"/>
  <c r="R37" i="6"/>
  <c r="Q37" i="6"/>
  <c r="AQ33" i="7" s="1"/>
  <c r="P37" i="6"/>
  <c r="AM33" i="7" s="1"/>
  <c r="R36" i="6"/>
  <c r="Q36" i="6"/>
  <c r="AQ32" i="7" s="1"/>
  <c r="P36" i="6"/>
  <c r="AM32" i="7" s="1"/>
  <c r="R35" i="6"/>
  <c r="Q35" i="6"/>
  <c r="AQ31" i="7" s="1"/>
  <c r="P35" i="6"/>
  <c r="AM31" i="7" s="1"/>
  <c r="R33" i="6"/>
  <c r="Q33" i="6"/>
  <c r="P33" i="6"/>
  <c r="R32" i="6"/>
  <c r="Q32" i="6"/>
  <c r="P32" i="6"/>
  <c r="R31" i="6"/>
  <c r="Q31" i="6"/>
  <c r="P31" i="6"/>
  <c r="R30" i="6"/>
  <c r="Q30" i="6"/>
  <c r="P30" i="6"/>
  <c r="R29" i="6"/>
  <c r="Q29" i="6"/>
  <c r="P29" i="6"/>
  <c r="R28" i="6"/>
  <c r="Q28" i="6"/>
  <c r="P28" i="6"/>
  <c r="R27" i="6"/>
  <c r="Q27" i="6"/>
  <c r="P27" i="6"/>
  <c r="R23" i="6"/>
  <c r="Q23" i="6"/>
  <c r="P23" i="6"/>
  <c r="R22" i="6"/>
  <c r="Q22" i="6"/>
  <c r="AQ22" i="7" s="1"/>
  <c r="P22" i="6"/>
  <c r="AM22" i="7" s="1"/>
  <c r="R21" i="6"/>
  <c r="Q21" i="6"/>
  <c r="AQ21" i="7" s="1"/>
  <c r="P21" i="6"/>
  <c r="AM21" i="7" s="1"/>
  <c r="R20" i="6"/>
  <c r="Q20" i="6"/>
  <c r="AQ20" i="7" s="1"/>
  <c r="P20" i="6"/>
  <c r="AM20" i="7" s="1"/>
  <c r="R19" i="6"/>
  <c r="Q19" i="6"/>
  <c r="P19" i="6"/>
  <c r="AM19" i="7" s="1"/>
  <c r="R18" i="6"/>
  <c r="Q18" i="6"/>
  <c r="AQ18" i="7" s="1"/>
  <c r="P18" i="6"/>
  <c r="AM18" i="7" s="1"/>
  <c r="R16" i="6"/>
  <c r="Q16" i="6"/>
  <c r="P16" i="6"/>
  <c r="R15" i="6"/>
  <c r="Q15" i="6"/>
  <c r="AQ16" i="7" s="1"/>
  <c r="P15" i="6"/>
  <c r="AM16" i="7" s="1"/>
  <c r="R14" i="6"/>
  <c r="Q14" i="6"/>
  <c r="AQ15" i="7" s="1"/>
  <c r="P14" i="6"/>
  <c r="AM15" i="7" s="1"/>
  <c r="R13" i="6"/>
  <c r="Q13" i="6"/>
  <c r="AQ14" i="7" s="1"/>
  <c r="P13" i="6"/>
  <c r="AM14" i="7" s="1"/>
  <c r="R12" i="6"/>
  <c r="Q12" i="6"/>
  <c r="AQ13" i="7" s="1"/>
  <c r="P12" i="6"/>
  <c r="AM13" i="7" s="1"/>
  <c r="R11" i="6"/>
  <c r="Q11" i="6"/>
  <c r="AQ12" i="7" s="1"/>
  <c r="P11" i="6"/>
  <c r="AM12" i="7" s="1"/>
  <c r="Q103" i="6" l="1"/>
  <c r="Q24" i="6"/>
  <c r="AQ17" i="7" s="1"/>
  <c r="R103" i="6"/>
  <c r="AQ19" i="7"/>
  <c r="AM54" i="7"/>
  <c r="R24" i="6"/>
  <c r="Q34" i="6"/>
  <c r="AQ30" i="7" s="1"/>
  <c r="Q84" i="6"/>
  <c r="P34" i="6"/>
  <c r="Q17" i="6"/>
  <c r="P17" i="6"/>
  <c r="R17" i="6"/>
  <c r="P24" i="6"/>
  <c r="AM17" i="7" s="1"/>
  <c r="R34" i="6"/>
  <c r="R84" i="6"/>
  <c r="Q55" i="6"/>
  <c r="P55" i="6"/>
  <c r="R55" i="6"/>
  <c r="P84" i="6"/>
  <c r="P103" i="6"/>
  <c r="R82" i="6" l="1"/>
  <c r="P66" i="6"/>
  <c r="AQ11" i="7"/>
  <c r="Q66" i="6"/>
  <c r="Q67" i="6" s="1"/>
  <c r="Q56" i="6"/>
  <c r="Q57" i="6" s="1"/>
  <c r="Q60" i="6" s="1"/>
  <c r="Q63" i="6" s="1"/>
  <c r="Q106" i="6" s="1"/>
  <c r="R66" i="6"/>
  <c r="R67" i="6" s="1"/>
  <c r="Q82" i="6"/>
  <c r="AM11" i="7"/>
  <c r="R25" i="6"/>
  <c r="R26" i="6" s="1"/>
  <c r="Q83" i="6"/>
  <c r="P56" i="6"/>
  <c r="AM29" i="7" s="1"/>
  <c r="AM30" i="7"/>
  <c r="R78" i="6"/>
  <c r="P25" i="6"/>
  <c r="P57" i="6" s="1"/>
  <c r="P60" i="6" s="1"/>
  <c r="P63" i="6" s="1"/>
  <c r="Q78" i="6"/>
  <c r="P67" i="6"/>
  <c r="R83" i="6"/>
  <c r="Q25" i="6"/>
  <c r="Q26" i="6" s="1"/>
  <c r="R56" i="6"/>
  <c r="P26" i="6" l="1"/>
  <c r="R57" i="6"/>
  <c r="R60" i="6" s="1"/>
  <c r="R63" i="6" s="1"/>
  <c r="R106" i="6" s="1"/>
  <c r="P106" i="6"/>
  <c r="AB13" i="3" l="1"/>
  <c r="AB19" i="3"/>
  <c r="AI16" i="7" l="1"/>
  <c r="AI15" i="7"/>
  <c r="AI14" i="7"/>
  <c r="AI13" i="7"/>
  <c r="AI12" i="7"/>
  <c r="AE16" i="7"/>
  <c r="AE15" i="7"/>
  <c r="AE14" i="7"/>
  <c r="AE13" i="7"/>
  <c r="AE12" i="7"/>
  <c r="S54" i="7"/>
  <c r="W53" i="7"/>
  <c r="W54" i="7"/>
  <c r="AA54" i="7"/>
  <c r="AA16" i="7"/>
  <c r="AA15" i="7"/>
  <c r="AA14" i="7"/>
  <c r="AA13" i="7"/>
  <c r="AA12" i="7"/>
  <c r="W16" i="7"/>
  <c r="W15" i="7"/>
  <c r="W14" i="7"/>
  <c r="W13" i="7"/>
  <c r="W12" i="7"/>
  <c r="J94" i="2"/>
  <c r="K94" i="2"/>
  <c r="L94" i="2"/>
  <c r="M94" i="2"/>
  <c r="N94" i="2"/>
  <c r="O94" i="2"/>
  <c r="I94" i="2"/>
  <c r="H94" i="2"/>
  <c r="G94" i="2"/>
  <c r="F94" i="2"/>
  <c r="E94" i="2"/>
  <c r="D94" i="2"/>
  <c r="W114" i="6"/>
  <c r="S16" i="7" l="1"/>
  <c r="S15" i="7"/>
  <c r="S14" i="7"/>
  <c r="S13" i="7"/>
  <c r="S12" i="7"/>
  <c r="AC19" i="3"/>
  <c r="O54" i="7"/>
  <c r="O53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53" i="6"/>
  <c r="AI49" i="7" s="1"/>
  <c r="N53" i="6"/>
  <c r="AE49" i="7" s="1"/>
  <c r="M53" i="6"/>
  <c r="AA49" i="7" s="1"/>
  <c r="L53" i="6"/>
  <c r="W49" i="7" s="1"/>
  <c r="K53" i="6"/>
  <c r="S49" i="7" s="1"/>
  <c r="O52" i="6"/>
  <c r="AI48" i="7" s="1"/>
  <c r="N52" i="6"/>
  <c r="AE48" i="7" s="1"/>
  <c r="M52" i="6"/>
  <c r="AA48" i="7" s="1"/>
  <c r="L52" i="6"/>
  <c r="W48" i="7" s="1"/>
  <c r="K52" i="6"/>
  <c r="S48" i="7" s="1"/>
  <c r="O51" i="6"/>
  <c r="AI47" i="7" s="1"/>
  <c r="N51" i="6"/>
  <c r="AE47" i="7" s="1"/>
  <c r="M51" i="6"/>
  <c r="AA47" i="7" s="1"/>
  <c r="L51" i="6"/>
  <c r="W47" i="7" s="1"/>
  <c r="K51" i="6"/>
  <c r="S47" i="7" s="1"/>
  <c r="O50" i="6"/>
  <c r="AI46" i="7" s="1"/>
  <c r="N50" i="6"/>
  <c r="AE46" i="7" s="1"/>
  <c r="M50" i="6"/>
  <c r="AA46" i="7" s="1"/>
  <c r="L50" i="6"/>
  <c r="W46" i="7" s="1"/>
  <c r="K50" i="6"/>
  <c r="S46" i="7" s="1"/>
  <c r="O49" i="6"/>
  <c r="AI45" i="7" s="1"/>
  <c r="N49" i="6"/>
  <c r="AE45" i="7" s="1"/>
  <c r="M49" i="6"/>
  <c r="AA45" i="7" s="1"/>
  <c r="L49" i="6"/>
  <c r="W45" i="7" s="1"/>
  <c r="K49" i="6"/>
  <c r="S45" i="7" s="1"/>
  <c r="O48" i="6"/>
  <c r="AI44" i="7" s="1"/>
  <c r="N48" i="6"/>
  <c r="AE44" i="7" s="1"/>
  <c r="M48" i="6"/>
  <c r="AA44" i="7" s="1"/>
  <c r="L48" i="6"/>
  <c r="W44" i="7" s="1"/>
  <c r="K48" i="6"/>
  <c r="S44" i="7" s="1"/>
  <c r="O47" i="6"/>
  <c r="AI43" i="7" s="1"/>
  <c r="N47" i="6"/>
  <c r="AE43" i="7" s="1"/>
  <c r="M47" i="6"/>
  <c r="AA43" i="7" s="1"/>
  <c r="L47" i="6"/>
  <c r="W43" i="7" s="1"/>
  <c r="K47" i="6"/>
  <c r="S43" i="7" s="1"/>
  <c r="O46" i="6"/>
  <c r="AI42" i="7" s="1"/>
  <c r="N46" i="6"/>
  <c r="AE42" i="7" s="1"/>
  <c r="M46" i="6"/>
  <c r="AA42" i="7" s="1"/>
  <c r="L46" i="6"/>
  <c r="W42" i="7" s="1"/>
  <c r="K46" i="6"/>
  <c r="S42" i="7" s="1"/>
  <c r="O45" i="6"/>
  <c r="AI41" i="7" s="1"/>
  <c r="N45" i="6"/>
  <c r="AE41" i="7" s="1"/>
  <c r="M45" i="6"/>
  <c r="AA41" i="7" s="1"/>
  <c r="L45" i="6"/>
  <c r="W41" i="7" s="1"/>
  <c r="K45" i="6"/>
  <c r="S41" i="7" s="1"/>
  <c r="O44" i="6"/>
  <c r="AI40" i="7" s="1"/>
  <c r="N44" i="6"/>
  <c r="AE40" i="7" s="1"/>
  <c r="M44" i="6"/>
  <c r="AA40" i="7" s="1"/>
  <c r="L44" i="6"/>
  <c r="W40" i="7" s="1"/>
  <c r="K44" i="6"/>
  <c r="S40" i="7" s="1"/>
  <c r="O43" i="6"/>
  <c r="AI39" i="7" s="1"/>
  <c r="N43" i="6"/>
  <c r="AE39" i="7" s="1"/>
  <c r="M43" i="6"/>
  <c r="AA39" i="7" s="1"/>
  <c r="L43" i="6"/>
  <c r="W39" i="7" s="1"/>
  <c r="K43" i="6"/>
  <c r="S39" i="7" s="1"/>
  <c r="O42" i="6"/>
  <c r="AI38" i="7" s="1"/>
  <c r="N42" i="6"/>
  <c r="AE38" i="7" s="1"/>
  <c r="M42" i="6"/>
  <c r="AA38" i="7" s="1"/>
  <c r="L42" i="6"/>
  <c r="W38" i="7" s="1"/>
  <c r="K42" i="6"/>
  <c r="S38" i="7" s="1"/>
  <c r="O41" i="6"/>
  <c r="AI37" i="7" s="1"/>
  <c r="N41" i="6"/>
  <c r="AE37" i="7" s="1"/>
  <c r="M41" i="6"/>
  <c r="AA37" i="7" s="1"/>
  <c r="L41" i="6"/>
  <c r="W37" i="7" s="1"/>
  <c r="K41" i="6"/>
  <c r="S37" i="7" s="1"/>
  <c r="O40" i="6"/>
  <c r="AI36" i="7" s="1"/>
  <c r="N40" i="6"/>
  <c r="AE36" i="7" s="1"/>
  <c r="M40" i="6"/>
  <c r="AA36" i="7" s="1"/>
  <c r="L40" i="6"/>
  <c r="W36" i="7" s="1"/>
  <c r="K40" i="6"/>
  <c r="S36" i="7" s="1"/>
  <c r="O39" i="6"/>
  <c r="AI35" i="7" s="1"/>
  <c r="N39" i="6"/>
  <c r="AE35" i="7" s="1"/>
  <c r="M39" i="6"/>
  <c r="AA35" i="7" s="1"/>
  <c r="L39" i="6"/>
  <c r="W35" i="7" s="1"/>
  <c r="K39" i="6"/>
  <c r="S35" i="7" s="1"/>
  <c r="O38" i="6"/>
  <c r="AI34" i="7" s="1"/>
  <c r="N38" i="6"/>
  <c r="AE34" i="7" s="1"/>
  <c r="M38" i="6"/>
  <c r="AA34" i="7" s="1"/>
  <c r="L38" i="6"/>
  <c r="W34" i="7" s="1"/>
  <c r="K38" i="6"/>
  <c r="S34" i="7" s="1"/>
  <c r="O37" i="6"/>
  <c r="AI33" i="7" s="1"/>
  <c r="N37" i="6"/>
  <c r="AE33" i="7" s="1"/>
  <c r="M37" i="6"/>
  <c r="AA33" i="7" s="1"/>
  <c r="L37" i="6"/>
  <c r="W33" i="7" s="1"/>
  <c r="K37" i="6"/>
  <c r="S33" i="7" s="1"/>
  <c r="O36" i="6"/>
  <c r="AI32" i="7" s="1"/>
  <c r="N36" i="6"/>
  <c r="AE32" i="7" s="1"/>
  <c r="M36" i="6"/>
  <c r="AA32" i="7" s="1"/>
  <c r="L36" i="6"/>
  <c r="W32" i="7" s="1"/>
  <c r="K36" i="6"/>
  <c r="S32" i="7" s="1"/>
  <c r="O35" i="6"/>
  <c r="AI31" i="7" s="1"/>
  <c r="N35" i="6"/>
  <c r="AE31" i="7" s="1"/>
  <c r="M35" i="6"/>
  <c r="AA31" i="7" s="1"/>
  <c r="L35" i="6"/>
  <c r="W31" i="7" s="1"/>
  <c r="K35" i="6"/>
  <c r="S31" i="7" s="1"/>
  <c r="K54" i="7" l="1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16" i="7"/>
  <c r="K15" i="7"/>
  <c r="K14" i="7"/>
  <c r="K13" i="7"/>
  <c r="K12" i="7"/>
  <c r="BB7" i="7"/>
  <c r="O4" i="1" l="1"/>
  <c r="F259" i="6" l="1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Z124" i="6"/>
  <c r="Y124" i="6"/>
  <c r="X124" i="6"/>
  <c r="W124" i="6"/>
  <c r="V124" i="6"/>
  <c r="U124" i="6"/>
  <c r="T124" i="6"/>
  <c r="S124" i="6"/>
  <c r="O124" i="6"/>
  <c r="N124" i="6"/>
  <c r="M124" i="6"/>
  <c r="L124" i="6"/>
  <c r="K124" i="6"/>
  <c r="J124" i="6"/>
  <c r="I124" i="6"/>
  <c r="H124" i="6"/>
  <c r="G124" i="6"/>
  <c r="D120" i="6"/>
  <c r="C120" i="6"/>
  <c r="Z111" i="6"/>
  <c r="Z100" i="6" s="1"/>
  <c r="Z102" i="6" s="1"/>
  <c r="Y111" i="6"/>
  <c r="Y100" i="6" s="1"/>
  <c r="Y102" i="6" s="1"/>
  <c r="X111" i="6"/>
  <c r="X100" i="6" s="1"/>
  <c r="X102" i="6" s="1"/>
  <c r="W111" i="6"/>
  <c r="W100" i="6" s="1"/>
  <c r="W102" i="6" s="1"/>
  <c r="V111" i="6"/>
  <c r="V100" i="6" s="1"/>
  <c r="V102" i="6" s="1"/>
  <c r="U111" i="6"/>
  <c r="U100" i="6" s="1"/>
  <c r="U102" i="6" s="1"/>
  <c r="T111" i="6"/>
  <c r="T100" i="6" s="1"/>
  <c r="S111" i="6"/>
  <c r="S100" i="6" s="1"/>
  <c r="S102" i="6" s="1"/>
  <c r="O111" i="6"/>
  <c r="O100" i="6" s="1"/>
  <c r="O102" i="6" s="1"/>
  <c r="N111" i="6"/>
  <c r="M111" i="6"/>
  <c r="M100" i="6" s="1"/>
  <c r="M102" i="6" s="1"/>
  <c r="L111" i="6"/>
  <c r="L100" i="6" s="1"/>
  <c r="L102" i="6" s="1"/>
  <c r="K111" i="6"/>
  <c r="K100" i="6" s="1"/>
  <c r="K102" i="6" s="1"/>
  <c r="J111" i="6"/>
  <c r="J100" i="6" s="1"/>
  <c r="J102" i="6" s="1"/>
  <c r="I111" i="6"/>
  <c r="I100" i="6" s="1"/>
  <c r="I102" i="6" s="1"/>
  <c r="H111" i="6"/>
  <c r="H100" i="6" s="1"/>
  <c r="H102" i="6" s="1"/>
  <c r="G111" i="6"/>
  <c r="G100" i="6" s="1"/>
  <c r="G102" i="6" s="1"/>
  <c r="N100" i="6"/>
  <c r="N102" i="6" s="1"/>
  <c r="Z93" i="6"/>
  <c r="Y93" i="6"/>
  <c r="X93" i="6"/>
  <c r="W93" i="6"/>
  <c r="V93" i="6"/>
  <c r="U93" i="6"/>
  <c r="T93" i="6"/>
  <c r="S93" i="6"/>
  <c r="O93" i="6"/>
  <c r="N93" i="6"/>
  <c r="M93" i="6"/>
  <c r="L93" i="6"/>
  <c r="K93" i="6"/>
  <c r="J93" i="6"/>
  <c r="I93" i="6"/>
  <c r="H93" i="6"/>
  <c r="G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S79" i="6"/>
  <c r="Z75" i="6"/>
  <c r="Y75" i="6"/>
  <c r="X75" i="6"/>
  <c r="W75" i="6"/>
  <c r="V75" i="6"/>
  <c r="U75" i="6"/>
  <c r="T75" i="6"/>
  <c r="S75" i="6"/>
  <c r="O75" i="6"/>
  <c r="N75" i="6"/>
  <c r="M75" i="6"/>
  <c r="L75" i="6"/>
  <c r="K75" i="6"/>
  <c r="J75" i="6"/>
  <c r="I75" i="6"/>
  <c r="H75" i="6"/>
  <c r="G75" i="6"/>
  <c r="Z74" i="6"/>
  <c r="Y74" i="6"/>
  <c r="X74" i="6"/>
  <c r="W74" i="6"/>
  <c r="V74" i="6"/>
  <c r="U74" i="6"/>
  <c r="T74" i="6"/>
  <c r="S74" i="6"/>
  <c r="O74" i="6"/>
  <c r="N74" i="6"/>
  <c r="M74" i="6"/>
  <c r="L74" i="6"/>
  <c r="K74" i="6"/>
  <c r="J74" i="6"/>
  <c r="I74" i="6"/>
  <c r="H74" i="6"/>
  <c r="G74" i="6"/>
  <c r="O85" i="6"/>
  <c r="N85" i="6"/>
  <c r="M85" i="6"/>
  <c r="L85" i="6"/>
  <c r="K85" i="6"/>
  <c r="J85" i="6"/>
  <c r="I85" i="6"/>
  <c r="H59" i="6"/>
  <c r="G59" i="6"/>
  <c r="C54" i="7" s="1"/>
  <c r="O79" i="6"/>
  <c r="N79" i="6"/>
  <c r="M79" i="6"/>
  <c r="L79" i="6"/>
  <c r="K79" i="6"/>
  <c r="J79" i="6"/>
  <c r="I79" i="6"/>
  <c r="H58" i="6"/>
  <c r="G58" i="6"/>
  <c r="G79" i="6" s="1"/>
  <c r="Z55" i="6"/>
  <c r="Y55" i="6"/>
  <c r="X55" i="6"/>
  <c r="W55" i="6"/>
  <c r="V55" i="6"/>
  <c r="U55" i="6"/>
  <c r="T55" i="6"/>
  <c r="S55" i="6"/>
  <c r="H53" i="6"/>
  <c r="G49" i="7" s="1"/>
  <c r="G53" i="6"/>
  <c r="C49" i="7" s="1"/>
  <c r="H52" i="6"/>
  <c r="G48" i="7" s="1"/>
  <c r="G52" i="6"/>
  <c r="C48" i="7" s="1"/>
  <c r="H51" i="6"/>
  <c r="G47" i="7" s="1"/>
  <c r="G51" i="6"/>
  <c r="C47" i="7" s="1"/>
  <c r="H50" i="6"/>
  <c r="G46" i="7" s="1"/>
  <c r="G50" i="6"/>
  <c r="C46" i="7" s="1"/>
  <c r="H49" i="6"/>
  <c r="G45" i="7" s="1"/>
  <c r="G49" i="6"/>
  <c r="C45" i="7" s="1"/>
  <c r="H48" i="6"/>
  <c r="G44" i="7" s="1"/>
  <c r="G48" i="6"/>
  <c r="C44" i="7" s="1"/>
  <c r="H47" i="6"/>
  <c r="G43" i="7" s="1"/>
  <c r="G47" i="6"/>
  <c r="C43" i="7" s="1"/>
  <c r="H46" i="6"/>
  <c r="G42" i="7" s="1"/>
  <c r="G46" i="6"/>
  <c r="C42" i="7" s="1"/>
  <c r="H45" i="6"/>
  <c r="G41" i="7" s="1"/>
  <c r="G45" i="6"/>
  <c r="C41" i="7" s="1"/>
  <c r="H44" i="6"/>
  <c r="G40" i="7" s="1"/>
  <c r="G44" i="6"/>
  <c r="C40" i="7" s="1"/>
  <c r="H43" i="6"/>
  <c r="G39" i="7" s="1"/>
  <c r="G43" i="6"/>
  <c r="C39" i="7" s="1"/>
  <c r="H42" i="6"/>
  <c r="G38" i="7" s="1"/>
  <c r="G42" i="6"/>
  <c r="C38" i="7" s="1"/>
  <c r="H41" i="6"/>
  <c r="G37" i="7" s="1"/>
  <c r="G41" i="6"/>
  <c r="C37" i="7" s="1"/>
  <c r="H40" i="6"/>
  <c r="G36" i="7" s="1"/>
  <c r="G40" i="6"/>
  <c r="C36" i="7" s="1"/>
  <c r="H39" i="6"/>
  <c r="G35" i="7" s="1"/>
  <c r="G39" i="6"/>
  <c r="C35" i="7" s="1"/>
  <c r="H38" i="6"/>
  <c r="G34" i="7" s="1"/>
  <c r="G38" i="6"/>
  <c r="C34" i="7" s="1"/>
  <c r="H37" i="6"/>
  <c r="G33" i="7" s="1"/>
  <c r="G37" i="6"/>
  <c r="C33" i="7" s="1"/>
  <c r="I84" i="6"/>
  <c r="H36" i="6"/>
  <c r="G32" i="7" s="1"/>
  <c r="G36" i="6"/>
  <c r="H35" i="6"/>
  <c r="G35" i="6"/>
  <c r="Z34" i="6"/>
  <c r="Y34" i="6"/>
  <c r="X34" i="6"/>
  <c r="W34" i="6"/>
  <c r="V34" i="6"/>
  <c r="U34" i="6"/>
  <c r="T34" i="6"/>
  <c r="S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Z24" i="6"/>
  <c r="Y24" i="6"/>
  <c r="X24" i="6"/>
  <c r="W24" i="6"/>
  <c r="V24" i="6"/>
  <c r="U24" i="6"/>
  <c r="T24" i="6"/>
  <c r="S24" i="6"/>
  <c r="T82" i="6" s="1"/>
  <c r="C24" i="6"/>
  <c r="O23" i="6"/>
  <c r="N23" i="6"/>
  <c r="M23" i="6"/>
  <c r="L23" i="6"/>
  <c r="K23" i="6"/>
  <c r="J23" i="6"/>
  <c r="I23" i="6"/>
  <c r="H23" i="6"/>
  <c r="G23" i="6"/>
  <c r="O22" i="6"/>
  <c r="AI22" i="7" s="1"/>
  <c r="N22" i="6"/>
  <c r="AE22" i="7" s="1"/>
  <c r="M22" i="6"/>
  <c r="AA22" i="7" s="1"/>
  <c r="L22" i="6"/>
  <c r="W22" i="7" s="1"/>
  <c r="K22" i="6"/>
  <c r="S22" i="7" s="1"/>
  <c r="J22" i="6"/>
  <c r="I22" i="6"/>
  <c r="K22" i="7" s="1"/>
  <c r="H22" i="6"/>
  <c r="G22" i="7" s="1"/>
  <c r="G22" i="6"/>
  <c r="O21" i="6"/>
  <c r="AI21" i="7" s="1"/>
  <c r="N21" i="6"/>
  <c r="AE21" i="7" s="1"/>
  <c r="M21" i="6"/>
  <c r="AA21" i="7" s="1"/>
  <c r="L21" i="6"/>
  <c r="W21" i="7" s="1"/>
  <c r="K21" i="6"/>
  <c r="S21" i="7" s="1"/>
  <c r="J21" i="6"/>
  <c r="I21" i="6"/>
  <c r="K21" i="7" s="1"/>
  <c r="H21" i="6"/>
  <c r="G21" i="7" s="1"/>
  <c r="G21" i="6"/>
  <c r="O20" i="6"/>
  <c r="AI20" i="7" s="1"/>
  <c r="N20" i="6"/>
  <c r="AE20" i="7" s="1"/>
  <c r="M20" i="6"/>
  <c r="AA20" i="7" s="1"/>
  <c r="L20" i="6"/>
  <c r="W20" i="7" s="1"/>
  <c r="K20" i="6"/>
  <c r="S20" i="7" s="1"/>
  <c r="J20" i="6"/>
  <c r="I20" i="6"/>
  <c r="K20" i="7" s="1"/>
  <c r="H20" i="6"/>
  <c r="G20" i="7" s="1"/>
  <c r="G20" i="6"/>
  <c r="O19" i="6"/>
  <c r="AI19" i="7" s="1"/>
  <c r="N19" i="6"/>
  <c r="AE19" i="7" s="1"/>
  <c r="M19" i="6"/>
  <c r="AA19" i="7" s="1"/>
  <c r="L19" i="6"/>
  <c r="W19" i="7" s="1"/>
  <c r="K19" i="6"/>
  <c r="S19" i="7" s="1"/>
  <c r="J19" i="6"/>
  <c r="I19" i="6"/>
  <c r="K19" i="7" s="1"/>
  <c r="H19" i="6"/>
  <c r="G19" i="7" s="1"/>
  <c r="G19" i="6"/>
  <c r="O18" i="6"/>
  <c r="AI18" i="7" s="1"/>
  <c r="N18" i="6"/>
  <c r="AE18" i="7" s="1"/>
  <c r="M18" i="6"/>
  <c r="AA18" i="7" s="1"/>
  <c r="L18" i="6"/>
  <c r="W18" i="7" s="1"/>
  <c r="K18" i="6"/>
  <c r="S18" i="7" s="1"/>
  <c r="J18" i="6"/>
  <c r="O18" i="7" s="1"/>
  <c r="I18" i="6"/>
  <c r="K18" i="7" s="1"/>
  <c r="H18" i="6"/>
  <c r="G18" i="7" s="1"/>
  <c r="G18" i="6"/>
  <c r="Z17" i="6"/>
  <c r="Y17" i="6"/>
  <c r="X17" i="6"/>
  <c r="Y78" i="6" s="1"/>
  <c r="W17" i="6"/>
  <c r="V17" i="6"/>
  <c r="U17" i="6"/>
  <c r="T17" i="6"/>
  <c r="S17" i="6"/>
  <c r="C17" i="6"/>
  <c r="H16" i="6"/>
  <c r="G16" i="6"/>
  <c r="H15" i="6"/>
  <c r="G16" i="7" s="1"/>
  <c r="G15" i="6"/>
  <c r="H14" i="6"/>
  <c r="G15" i="7" s="1"/>
  <c r="G14" i="6"/>
  <c r="H13" i="6"/>
  <c r="G14" i="7" s="1"/>
  <c r="G13" i="6"/>
  <c r="H12" i="6"/>
  <c r="G13" i="7" s="1"/>
  <c r="G12" i="6"/>
  <c r="N17" i="6"/>
  <c r="AE11" i="7" s="1"/>
  <c r="H11" i="6"/>
  <c r="G12" i="7" s="1"/>
  <c r="G11" i="6"/>
  <c r="Q81" i="6" l="1"/>
  <c r="Q86" i="6" s="1"/>
  <c r="P81" i="6"/>
  <c r="R81" i="6"/>
  <c r="R86" i="6" s="1"/>
  <c r="S25" i="6"/>
  <c r="P77" i="6"/>
  <c r="Q77" i="6"/>
  <c r="Q80" i="6" s="1"/>
  <c r="Q87" i="6" s="1"/>
  <c r="Q104" i="6" s="1"/>
  <c r="R77" i="6"/>
  <c r="R80" i="6" s="1"/>
  <c r="R87" i="6" s="1"/>
  <c r="R104" i="6" s="1"/>
  <c r="W66" i="6"/>
  <c r="Y103" i="6"/>
  <c r="Z25" i="6"/>
  <c r="Z26" i="6" s="1"/>
  <c r="W83" i="6"/>
  <c r="N103" i="6"/>
  <c r="U103" i="6"/>
  <c r="X83" i="6"/>
  <c r="I103" i="6"/>
  <c r="U81" i="6"/>
  <c r="M103" i="6"/>
  <c r="T77" i="6"/>
  <c r="U83" i="6"/>
  <c r="W67" i="6"/>
  <c r="Z77" i="6"/>
  <c r="T83" i="6"/>
  <c r="Z103" i="6"/>
  <c r="H85" i="6"/>
  <c r="G54" i="7"/>
  <c r="L84" i="6"/>
  <c r="H79" i="6"/>
  <c r="G53" i="7"/>
  <c r="L34" i="6"/>
  <c r="W30" i="7" s="1"/>
  <c r="H55" i="6"/>
  <c r="G31" i="7"/>
  <c r="V77" i="6"/>
  <c r="U66" i="6"/>
  <c r="U67" i="6" s="1"/>
  <c r="W78" i="6"/>
  <c r="V103" i="6"/>
  <c r="G103" i="6"/>
  <c r="O103" i="6"/>
  <c r="W103" i="6"/>
  <c r="N34" i="6"/>
  <c r="AE30" i="7" s="1"/>
  <c r="J55" i="6"/>
  <c r="J24" i="6"/>
  <c r="J81" i="6" s="1"/>
  <c r="K55" i="6"/>
  <c r="S82" i="6"/>
  <c r="N24" i="6"/>
  <c r="G34" i="6"/>
  <c r="C30" i="7" s="1"/>
  <c r="O34" i="6"/>
  <c r="AI30" i="7" s="1"/>
  <c r="O84" i="6"/>
  <c r="L17" i="6"/>
  <c r="O17" i="6"/>
  <c r="K34" i="6"/>
  <c r="S30" i="7" s="1"/>
  <c r="G55" i="6"/>
  <c r="O55" i="6"/>
  <c r="K84" i="6"/>
  <c r="G17" i="6"/>
  <c r="K17" i="6"/>
  <c r="N55" i="6"/>
  <c r="J84" i="6"/>
  <c r="G24" i="6"/>
  <c r="G81" i="6" s="1"/>
  <c r="O24" i="6"/>
  <c r="Y66" i="6"/>
  <c r="Y67" i="6" s="1"/>
  <c r="I24" i="6"/>
  <c r="M34" i="6"/>
  <c r="AA30" i="7" s="1"/>
  <c r="I55" i="6"/>
  <c r="M84" i="6"/>
  <c r="M17" i="6"/>
  <c r="V66" i="6"/>
  <c r="V67" i="6" s="1"/>
  <c r="H34" i="6"/>
  <c r="G30" i="7" s="1"/>
  <c r="L55" i="6"/>
  <c r="G84" i="6"/>
  <c r="C31" i="7"/>
  <c r="H24" i="6"/>
  <c r="I17" i="6"/>
  <c r="S78" i="6"/>
  <c r="M24" i="6"/>
  <c r="H84" i="6"/>
  <c r="X77" i="6"/>
  <c r="V82" i="6"/>
  <c r="H103" i="6"/>
  <c r="X103" i="6"/>
  <c r="C32" i="7"/>
  <c r="L24" i="6"/>
  <c r="M82" i="6" s="1"/>
  <c r="J34" i="6"/>
  <c r="O30" i="7" s="1"/>
  <c r="J17" i="6"/>
  <c r="O11" i="7" s="1"/>
  <c r="M55" i="6"/>
  <c r="X56" i="6"/>
  <c r="X82" i="6"/>
  <c r="K103" i="6"/>
  <c r="S103" i="6"/>
  <c r="Z56" i="6"/>
  <c r="U78" i="6"/>
  <c r="Z82" i="6"/>
  <c r="J103" i="6"/>
  <c r="N77" i="6"/>
  <c r="S56" i="6"/>
  <c r="S57" i="6" s="1"/>
  <c r="L103" i="6"/>
  <c r="C53" i="7"/>
  <c r="H17" i="6"/>
  <c r="K24" i="6"/>
  <c r="K81" i="6" s="1"/>
  <c r="I34" i="6"/>
  <c r="K30" i="7" s="1"/>
  <c r="N84" i="6"/>
  <c r="M78" i="6"/>
  <c r="U82" i="6"/>
  <c r="T81" i="6"/>
  <c r="T66" i="6"/>
  <c r="Y82" i="6"/>
  <c r="X81" i="6"/>
  <c r="X66" i="6"/>
  <c r="X67" i="6" s="1"/>
  <c r="X25" i="6"/>
  <c r="T78" i="6"/>
  <c r="S77" i="6"/>
  <c r="X78" i="6"/>
  <c r="W77" i="6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Y77" i="6"/>
  <c r="Y80" i="6" s="1"/>
  <c r="Y25" i="6"/>
  <c r="W81" i="6"/>
  <c r="W25" i="6"/>
  <c r="S26" i="6"/>
  <c r="Y83" i="6"/>
  <c r="W56" i="6"/>
  <c r="S66" i="6"/>
  <c r="O78" i="6"/>
  <c r="Y81" i="6"/>
  <c r="V83" i="6"/>
  <c r="Z83" i="6"/>
  <c r="U56" i="6"/>
  <c r="Y56" i="6"/>
  <c r="A8" i="7"/>
  <c r="M19" i="3"/>
  <c r="N78" i="6" l="1"/>
  <c r="AA11" i="7"/>
  <c r="O77" i="6"/>
  <c r="P78" i="6"/>
  <c r="P80" i="6" s="1"/>
  <c r="AI11" i="7"/>
  <c r="W80" i="6"/>
  <c r="O81" i="6"/>
  <c r="P82" i="6"/>
  <c r="AI17" i="7"/>
  <c r="N25" i="6"/>
  <c r="N26" i="6" s="1"/>
  <c r="AE17" i="7"/>
  <c r="P83" i="6"/>
  <c r="P86" i="6" s="1"/>
  <c r="N82" i="6"/>
  <c r="AA17" i="7"/>
  <c r="L77" i="6"/>
  <c r="W11" i="7"/>
  <c r="T80" i="6"/>
  <c r="Z80" i="6"/>
  <c r="J78" i="6"/>
  <c r="K11" i="7"/>
  <c r="T67" i="6"/>
  <c r="T68" i="6"/>
  <c r="T69" i="6" s="1"/>
  <c r="X80" i="6"/>
  <c r="S67" i="6"/>
  <c r="S68" i="6"/>
  <c r="S69" i="6" s="1"/>
  <c r="Z57" i="6"/>
  <c r="Z106" i="6" s="1"/>
  <c r="K77" i="6"/>
  <c r="S11" i="7"/>
  <c r="M83" i="6"/>
  <c r="J56" i="6"/>
  <c r="H56" i="6"/>
  <c r="C11" i="7"/>
  <c r="G71" i="6"/>
  <c r="H71" i="6" s="1"/>
  <c r="I71" i="6" s="1"/>
  <c r="J71" i="6" s="1"/>
  <c r="K71" i="6" s="1"/>
  <c r="L71" i="6" s="1"/>
  <c r="M71" i="6" s="1"/>
  <c r="N71" i="6" s="1"/>
  <c r="O71" i="6" s="1"/>
  <c r="X86" i="6"/>
  <c r="N56" i="6"/>
  <c r="N66" i="6"/>
  <c r="O83" i="6"/>
  <c r="T86" i="6"/>
  <c r="N81" i="6"/>
  <c r="U86" i="6"/>
  <c r="O66" i="6"/>
  <c r="L56" i="6"/>
  <c r="S80" i="6"/>
  <c r="O82" i="6"/>
  <c r="H78" i="6"/>
  <c r="S106" i="6"/>
  <c r="S60" i="6"/>
  <c r="S63" i="6" s="1"/>
  <c r="S64" i="6" s="1"/>
  <c r="O56" i="6"/>
  <c r="AI29" i="7" s="1"/>
  <c r="I78" i="6"/>
  <c r="G11" i="7"/>
  <c r="V80" i="6"/>
  <c r="G56" i="6"/>
  <c r="K56" i="6"/>
  <c r="J66" i="6"/>
  <c r="J68" i="6" s="1"/>
  <c r="J69" i="6" s="1"/>
  <c r="I82" i="6"/>
  <c r="G17" i="7"/>
  <c r="H83" i="6"/>
  <c r="K82" i="6"/>
  <c r="J83" i="6"/>
  <c r="N80" i="6"/>
  <c r="M66" i="6"/>
  <c r="O25" i="6"/>
  <c r="I83" i="6"/>
  <c r="K83" i="6"/>
  <c r="L25" i="6"/>
  <c r="I66" i="6"/>
  <c r="H82" i="6"/>
  <c r="L66" i="6"/>
  <c r="M25" i="6"/>
  <c r="M26" i="6" s="1"/>
  <c r="M81" i="6"/>
  <c r="G66" i="6"/>
  <c r="L81" i="6"/>
  <c r="J82" i="6"/>
  <c r="I81" i="6"/>
  <c r="L78" i="6"/>
  <c r="L80" i="6" s="1"/>
  <c r="L83" i="6"/>
  <c r="K25" i="6"/>
  <c r="N83" i="6"/>
  <c r="S83" i="6"/>
  <c r="S86" i="6" s="1"/>
  <c r="H66" i="6"/>
  <c r="G25" i="6"/>
  <c r="I56" i="6"/>
  <c r="M77" i="6"/>
  <c r="M80" i="6" s="1"/>
  <c r="G77" i="6"/>
  <c r="G80" i="6" s="1"/>
  <c r="K66" i="6"/>
  <c r="L82" i="6"/>
  <c r="K78" i="6"/>
  <c r="J77" i="6"/>
  <c r="I77" i="6"/>
  <c r="I25" i="6"/>
  <c r="I26" i="6" s="1"/>
  <c r="U80" i="6"/>
  <c r="H25" i="6"/>
  <c r="H81" i="6"/>
  <c r="H77" i="6"/>
  <c r="M56" i="6"/>
  <c r="AA29" i="7" s="1"/>
  <c r="G86" i="6"/>
  <c r="W86" i="6"/>
  <c r="J25" i="6"/>
  <c r="Z86" i="6"/>
  <c r="V86" i="6"/>
  <c r="T57" i="6"/>
  <c r="T26" i="6"/>
  <c r="U57" i="6"/>
  <c r="U26" i="6"/>
  <c r="O80" i="6"/>
  <c r="X57" i="6"/>
  <c r="X26" i="6"/>
  <c r="Y86" i="6"/>
  <c r="Y87" i="6" s="1"/>
  <c r="Y104" i="6" s="1"/>
  <c r="W26" i="6"/>
  <c r="W57" i="6"/>
  <c r="Y57" i="6"/>
  <c r="Y26" i="6"/>
  <c r="V26" i="6"/>
  <c r="V57" i="6"/>
  <c r="AX35" i="7"/>
  <c r="AV22" i="7"/>
  <c r="AX22" i="7"/>
  <c r="AV21" i="7"/>
  <c r="AX21" i="7"/>
  <c r="AV20" i="7"/>
  <c r="AX20" i="7"/>
  <c r="AV19" i="7"/>
  <c r="AX19" i="7" s="1"/>
  <c r="AV18" i="7"/>
  <c r="AX18" i="7"/>
  <c r="AX15" i="7"/>
  <c r="AV12" i="7"/>
  <c r="AV16" i="7"/>
  <c r="AV15" i="7"/>
  <c r="AV14" i="7"/>
  <c r="AV11" i="7"/>
  <c r="AX50" i="7"/>
  <c r="AV50" i="7"/>
  <c r="AW50" i="7" s="1"/>
  <c r="Z59" i="3"/>
  <c r="P87" i="6" l="1"/>
  <c r="P104" i="6" s="1"/>
  <c r="W87" i="6"/>
  <c r="W104" i="6" s="1"/>
  <c r="J80" i="6"/>
  <c r="K80" i="6"/>
  <c r="AI23" i="7"/>
  <c r="AV26" i="7"/>
  <c r="P105" i="6"/>
  <c r="P108" i="6" s="1"/>
  <c r="N57" i="6"/>
  <c r="N106" i="6" s="1"/>
  <c r="AE29" i="7"/>
  <c r="Z60" i="6"/>
  <c r="Z63" i="6" s="1"/>
  <c r="M86" i="6"/>
  <c r="M87" i="6" s="1"/>
  <c r="M104" i="6" s="1"/>
  <c r="Z87" i="6"/>
  <c r="Z104" i="6" s="1"/>
  <c r="T87" i="6"/>
  <c r="X87" i="6"/>
  <c r="X104" i="6" s="1"/>
  <c r="J57" i="6"/>
  <c r="J106" i="6" s="1"/>
  <c r="J86" i="6"/>
  <c r="N86" i="6"/>
  <c r="N87" i="6" s="1"/>
  <c r="N104" i="6" s="1"/>
  <c r="I80" i="6"/>
  <c r="J67" i="6"/>
  <c r="M57" i="6"/>
  <c r="M60" i="6" s="1"/>
  <c r="M63" i="6" s="1"/>
  <c r="K86" i="6"/>
  <c r="K87" i="6" s="1"/>
  <c r="K104" i="6" s="1"/>
  <c r="O86" i="6"/>
  <c r="O87" i="6" s="1"/>
  <c r="O104" i="6" s="1"/>
  <c r="H80" i="6"/>
  <c r="H67" i="6"/>
  <c r="H68" i="6"/>
  <c r="H69" i="6" s="1"/>
  <c r="L67" i="6"/>
  <c r="L68" i="6"/>
  <c r="L69" i="6" s="1"/>
  <c r="M67" i="6"/>
  <c r="M68" i="6"/>
  <c r="M69" i="6" s="1"/>
  <c r="G67" i="6"/>
  <c r="G68" i="6"/>
  <c r="O67" i="6"/>
  <c r="O68" i="6"/>
  <c r="O69" i="6" s="1"/>
  <c r="K67" i="6"/>
  <c r="K68" i="6"/>
  <c r="K69" i="6" s="1"/>
  <c r="I86" i="6"/>
  <c r="I67" i="6"/>
  <c r="I68" i="6"/>
  <c r="I69" i="6" s="1"/>
  <c r="N67" i="6"/>
  <c r="N68" i="6"/>
  <c r="N69" i="6" s="1"/>
  <c r="K57" i="6"/>
  <c r="K106" i="6" s="1"/>
  <c r="U87" i="6"/>
  <c r="U104" i="6" s="1"/>
  <c r="L57" i="6"/>
  <c r="L106" i="6" s="1"/>
  <c r="S87" i="6"/>
  <c r="S104" i="6" s="1"/>
  <c r="G57" i="6"/>
  <c r="G106" i="6" s="1"/>
  <c r="O57" i="6"/>
  <c r="O60" i="6" s="1"/>
  <c r="O63" i="6" s="1"/>
  <c r="H57" i="6"/>
  <c r="H106" i="6" s="1"/>
  <c r="G23" i="7"/>
  <c r="AW22" i="7"/>
  <c r="J26" i="6"/>
  <c r="O26" i="6"/>
  <c r="V87" i="6"/>
  <c r="V104" i="6" s="1"/>
  <c r="I57" i="6"/>
  <c r="I106" i="6" s="1"/>
  <c r="AU28" i="7"/>
  <c r="L86" i="6"/>
  <c r="L87" i="6" s="1"/>
  <c r="L104" i="6" s="1"/>
  <c r="AW16" i="7"/>
  <c r="AX59" i="7" s="1"/>
  <c r="AU26" i="7"/>
  <c r="AX26" i="7" s="1"/>
  <c r="L26" i="6"/>
  <c r="H86" i="6"/>
  <c r="K26" i="6"/>
  <c r="G26" i="6"/>
  <c r="G87" i="6"/>
  <c r="G104" i="6" s="1"/>
  <c r="AV28" i="7"/>
  <c r="AW14" i="7"/>
  <c r="H26" i="6"/>
  <c r="AV24" i="7"/>
  <c r="V106" i="6"/>
  <c r="V60" i="6"/>
  <c r="V63" i="6" s="1"/>
  <c r="Y60" i="6"/>
  <c r="Y63" i="6" s="1"/>
  <c r="Y106" i="6"/>
  <c r="X106" i="6"/>
  <c r="X60" i="6"/>
  <c r="X63" i="6" s="1"/>
  <c r="W60" i="6"/>
  <c r="W63" i="6" s="1"/>
  <c r="W106" i="6"/>
  <c r="U106" i="6"/>
  <c r="U60" i="6"/>
  <c r="U63" i="6" s="1"/>
  <c r="T106" i="6"/>
  <c r="T60" i="6"/>
  <c r="T63" i="6" s="1"/>
  <c r="T64" i="6" s="1"/>
  <c r="AW20" i="7"/>
  <c r="AV27" i="7"/>
  <c r="AX16" i="7"/>
  <c r="AW18" i="7"/>
  <c r="AX12" i="7"/>
  <c r="AU24" i="7"/>
  <c r="AX24" i="7" s="1"/>
  <c r="AW12" i="7"/>
  <c r="AX58" i="7" s="1"/>
  <c r="AX14" i="7"/>
  <c r="AU25" i="7"/>
  <c r="AU27" i="7"/>
  <c r="AX27" i="7" s="1"/>
  <c r="AW15" i="7"/>
  <c r="AW19" i="7"/>
  <c r="AW21" i="7"/>
  <c r="J87" i="6" l="1"/>
  <c r="J104" i="6" s="1"/>
  <c r="N60" i="6"/>
  <c r="N63" i="6" s="1"/>
  <c r="Q76" i="6"/>
  <c r="Q105" i="6" s="1"/>
  <c r="Q108" i="6" s="1"/>
  <c r="AW28" i="7"/>
  <c r="M106" i="6"/>
  <c r="J60" i="6"/>
  <c r="J63" i="6" s="1"/>
  <c r="AX28" i="7"/>
  <c r="I87" i="6"/>
  <c r="I104" i="6" s="1"/>
  <c r="H87" i="6"/>
  <c r="H104" i="6" s="1"/>
  <c r="G69" i="6"/>
  <c r="G70" i="6"/>
  <c r="L60" i="6"/>
  <c r="L63" i="6" s="1"/>
  <c r="G60" i="6"/>
  <c r="G63" i="6" s="1"/>
  <c r="G64" i="6" s="1"/>
  <c r="G105" i="6"/>
  <c r="H76" i="6" s="1"/>
  <c r="K60" i="6"/>
  <c r="K63" i="6" s="1"/>
  <c r="H60" i="6"/>
  <c r="H63" i="6" s="1"/>
  <c r="I60" i="6"/>
  <c r="I63" i="6" s="1"/>
  <c r="AW26" i="7"/>
  <c r="O106" i="6"/>
  <c r="U64" i="6"/>
  <c r="V64" i="6" s="1"/>
  <c r="W64" i="6" s="1"/>
  <c r="X64" i="6" s="1"/>
  <c r="Y64" i="6" s="1"/>
  <c r="Z64" i="6" s="1"/>
  <c r="AW24" i="7"/>
  <c r="AW27" i="7"/>
  <c r="R76" i="6" l="1"/>
  <c r="R105" i="6" s="1"/>
  <c r="R108" i="6" s="1"/>
  <c r="H64" i="6"/>
  <c r="I64" i="6" s="1"/>
  <c r="J64" i="6" s="1"/>
  <c r="K64" i="6" s="1"/>
  <c r="L64" i="6" s="1"/>
  <c r="M64" i="6" s="1"/>
  <c r="N64" i="6" s="1"/>
  <c r="O64" i="6" s="1"/>
  <c r="H105" i="6"/>
  <c r="H108" i="6" s="1"/>
  <c r="G72" i="6"/>
  <c r="H70" i="6"/>
  <c r="G108" i="6"/>
  <c r="AT35" i="7"/>
  <c r="AR22" i="7"/>
  <c r="AT22" i="7" s="1"/>
  <c r="AR21" i="7"/>
  <c r="AR20" i="7"/>
  <c r="AT20" i="7" s="1"/>
  <c r="AR19" i="7"/>
  <c r="AR18" i="7"/>
  <c r="AR16" i="7"/>
  <c r="AR15" i="7"/>
  <c r="AR14" i="7"/>
  <c r="AT14" i="7" s="1"/>
  <c r="AR12" i="7"/>
  <c r="AT12" i="7" s="1"/>
  <c r="AT50" i="7"/>
  <c r="AR50" i="7"/>
  <c r="AS50" i="7" s="1"/>
  <c r="V59" i="3"/>
  <c r="AN22" i="7"/>
  <c r="AP22" i="7" s="1"/>
  <c r="AN21" i="7"/>
  <c r="AN20" i="7"/>
  <c r="AP20" i="7" s="1"/>
  <c r="AN19" i="7"/>
  <c r="AN18" i="7"/>
  <c r="AN16" i="7"/>
  <c r="AN15" i="7"/>
  <c r="AN14" i="7"/>
  <c r="AN13" i="7"/>
  <c r="AN12" i="7"/>
  <c r="AM53" i="7"/>
  <c r="AP53" i="7" s="1"/>
  <c r="AP50" i="7"/>
  <c r="AN50" i="7"/>
  <c r="AO50" i="7" s="1"/>
  <c r="AP35" i="7"/>
  <c r="P64" i="6" l="1"/>
  <c r="Q64" i="6" s="1"/>
  <c r="R64" i="6" s="1"/>
  <c r="T96" i="6" s="1"/>
  <c r="T102" i="6" s="1"/>
  <c r="T103" i="6" s="1"/>
  <c r="T104" i="6" s="1"/>
  <c r="AS15" i="7"/>
  <c r="I76" i="6"/>
  <c r="I105" i="6" s="1"/>
  <c r="I108" i="6" s="1"/>
  <c r="I70" i="6"/>
  <c r="H72" i="6"/>
  <c r="AS20" i="7"/>
  <c r="AM25" i="7"/>
  <c r="AS12" i="7"/>
  <c r="AT58" i="7" s="1"/>
  <c r="AS14" i="7"/>
  <c r="AP14" i="7"/>
  <c r="AN11" i="7"/>
  <c r="AT21" i="7"/>
  <c r="AO19" i="7"/>
  <c r="AP18" i="7"/>
  <c r="AS19" i="7"/>
  <c r="AO12" i="7"/>
  <c r="AP59" i="7" s="1"/>
  <c r="AM26" i="7"/>
  <c r="AT16" i="7"/>
  <c r="AM27" i="7"/>
  <c r="AO21" i="7"/>
  <c r="AP16" i="7"/>
  <c r="AT19" i="7"/>
  <c r="AT15" i="7"/>
  <c r="AM28" i="7"/>
  <c r="AO15" i="7"/>
  <c r="AO18" i="7"/>
  <c r="AS21" i="7"/>
  <c r="AS22" i="7"/>
  <c r="AS18" i="7"/>
  <c r="AS16" i="7"/>
  <c r="AT59" i="7" s="1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P12" i="7"/>
  <c r="AO14" i="7"/>
  <c r="AO16" i="7"/>
  <c r="AP21" i="7"/>
  <c r="AP15" i="7"/>
  <c r="AN24" i="7"/>
  <c r="AN26" i="7"/>
  <c r="AN28" i="7"/>
  <c r="AN25" i="7"/>
  <c r="AN27" i="7"/>
  <c r="AS24" i="7" l="1"/>
  <c r="J76" i="6"/>
  <c r="J105" i="6" s="1"/>
  <c r="J108" i="6" s="1"/>
  <c r="J70" i="6"/>
  <c r="I72" i="6"/>
  <c r="AO26" i="7"/>
  <c r="AO24" i="7"/>
  <c r="AO27" i="7"/>
  <c r="AO25" i="7"/>
  <c r="AO28" i="7"/>
  <c r="AT26" i="7"/>
  <c r="AT27" i="7"/>
  <c r="AT28" i="7"/>
  <c r="AT24" i="7"/>
  <c r="AS27" i="7"/>
  <c r="AS28" i="7"/>
  <c r="AS26" i="7"/>
  <c r="AP27" i="7"/>
  <c r="AP25" i="7"/>
  <c r="AP24" i="7"/>
  <c r="AP28" i="7"/>
  <c r="AP26" i="7"/>
  <c r="AJ22" i="7"/>
  <c r="AJ21" i="7"/>
  <c r="AJ20" i="7"/>
  <c r="AL20" i="7" s="1"/>
  <c r="AJ19" i="7"/>
  <c r="AJ18" i="7"/>
  <c r="AJ16" i="7"/>
  <c r="AJ15" i="7"/>
  <c r="AJ14" i="7"/>
  <c r="AJ12" i="7"/>
  <c r="AI53" i="7"/>
  <c r="AL53" i="7" s="1"/>
  <c r="AL50" i="7"/>
  <c r="AJ50" i="7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H50" i="7"/>
  <c r="AF50" i="7"/>
  <c r="AD50" i="7"/>
  <c r="AB50" i="7"/>
  <c r="BB50" i="7"/>
  <c r="X22" i="7"/>
  <c r="X20" i="7"/>
  <c r="X19" i="7"/>
  <c r="X18" i="7"/>
  <c r="X16" i="7"/>
  <c r="X15" i="7"/>
  <c r="X14" i="7"/>
  <c r="X12" i="7"/>
  <c r="Z50" i="7"/>
  <c r="X50" i="7"/>
  <c r="C94" i="2"/>
  <c r="T22" i="7"/>
  <c r="T20" i="7"/>
  <c r="T19" i="7"/>
  <c r="T18" i="7"/>
  <c r="T16" i="7"/>
  <c r="T15" i="7"/>
  <c r="T14" i="7"/>
  <c r="T12" i="7"/>
  <c r="V50" i="7"/>
  <c r="T50" i="7"/>
  <c r="V35" i="7"/>
  <c r="P50" i="7"/>
  <c r="P22" i="7"/>
  <c r="P21" i="7"/>
  <c r="P20" i="7"/>
  <c r="P19" i="7"/>
  <c r="P18" i="7"/>
  <c r="P16" i="7"/>
  <c r="P15" i="7"/>
  <c r="P14" i="7"/>
  <c r="P12" i="7"/>
  <c r="R50" i="7"/>
  <c r="O6" i="1"/>
  <c r="L50" i="7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N50" i="7"/>
  <c r="J50" i="7"/>
  <c r="F50" i="7"/>
  <c r="L16" i="7"/>
  <c r="L15" i="7"/>
  <c r="L14" i="7"/>
  <c r="L12" i="7"/>
  <c r="H16" i="7"/>
  <c r="H15" i="7"/>
  <c r="H14" i="7"/>
  <c r="H12" i="7"/>
  <c r="D16" i="7"/>
  <c r="D15" i="7"/>
  <c r="D14" i="7"/>
  <c r="D12" i="7"/>
  <c r="K76" i="6" l="1"/>
  <c r="K105" i="6" s="1"/>
  <c r="L76" i="6" s="1"/>
  <c r="L105" i="6" s="1"/>
  <c r="L108" i="6" s="1"/>
  <c r="K70" i="6"/>
  <c r="J72" i="6"/>
  <c r="AK22" i="7"/>
  <c r="AL19" i="7"/>
  <c r="AK16" i="7"/>
  <c r="AL21" i="7"/>
  <c r="AB28" i="7"/>
  <c r="AK18" i="7"/>
  <c r="AK12" i="7"/>
  <c r="AL59" i="7" s="1"/>
  <c r="AJ27" i="7"/>
  <c r="AL22" i="7"/>
  <c r="AK14" i="7"/>
  <c r="X28" i="7"/>
  <c r="BA50" i="7"/>
  <c r="AJ24" i="7"/>
  <c r="X26" i="7"/>
  <c r="AK19" i="7"/>
  <c r="AJ28" i="7"/>
  <c r="AL16" i="7"/>
  <c r="AL12" i="7"/>
  <c r="AK15" i="7"/>
  <c r="AJ26" i="7"/>
  <c r="AK20" i="7"/>
  <c r="AK21" i="7"/>
  <c r="AI26" i="7"/>
  <c r="AL15" i="7"/>
  <c r="AI24" i="7"/>
  <c r="AI28" i="7"/>
  <c r="AL14" i="7"/>
  <c r="AL18" i="7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C16" i="7"/>
  <c r="C15" i="7"/>
  <c r="C14" i="7"/>
  <c r="C13" i="7"/>
  <c r="C12" i="7"/>
  <c r="B21" i="7"/>
  <c r="B27" i="7" s="1"/>
  <c r="B22" i="7"/>
  <c r="B28" i="7" s="1"/>
  <c r="B20" i="7"/>
  <c r="B26" i="7" s="1"/>
  <c r="B19" i="7"/>
  <c r="B25" i="7" s="1"/>
  <c r="B18" i="7"/>
  <c r="B24" i="7" s="1"/>
  <c r="D18" i="7"/>
  <c r="P8" i="4"/>
  <c r="O8" i="4"/>
  <c r="N8" i="4"/>
  <c r="M8" i="4"/>
  <c r="L8" i="4"/>
  <c r="K8" i="4"/>
  <c r="J8" i="4"/>
  <c r="I8" i="4"/>
  <c r="H8" i="4"/>
  <c r="G8" i="4"/>
  <c r="F8" i="4"/>
  <c r="AQ54" i="7"/>
  <c r="AI54" i="7"/>
  <c r="AE54" i="7"/>
  <c r="AQ53" i="7"/>
  <c r="AT53" i="7" s="1"/>
  <c r="AA53" i="7"/>
  <c r="K53" i="7"/>
  <c r="AH35" i="7"/>
  <c r="AD35" i="7"/>
  <c r="U22" i="7"/>
  <c r="AH21" i="7"/>
  <c r="AD21" i="7"/>
  <c r="O21" i="7"/>
  <c r="R21" i="7" s="1"/>
  <c r="V20" i="7"/>
  <c r="V19" i="7"/>
  <c r="Z16" i="7"/>
  <c r="V14" i="7"/>
  <c r="AA21" i="3"/>
  <c r="AA19" i="3"/>
  <c r="Y21" i="3"/>
  <c r="Y19" i="3"/>
  <c r="AT61" i="7" s="1"/>
  <c r="W21" i="3"/>
  <c r="W19" i="3"/>
  <c r="U21" i="3"/>
  <c r="U19" i="3"/>
  <c r="S21" i="3"/>
  <c r="S19" i="3"/>
  <c r="Q21" i="3"/>
  <c r="Q19" i="3"/>
  <c r="AD61" i="7" s="1"/>
  <c r="O21" i="3"/>
  <c r="O19" i="3"/>
  <c r="M21" i="3"/>
  <c r="K21" i="3"/>
  <c r="K19" i="3"/>
  <c r="I21" i="3"/>
  <c r="I19" i="3"/>
  <c r="G21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AO53" i="7" s="1"/>
  <c r="T52" i="3"/>
  <c r="AJ53" i="7" s="1"/>
  <c r="R52" i="3"/>
  <c r="AF53" i="7" s="1"/>
  <c r="P52" i="3"/>
  <c r="AB53" i="7" s="1"/>
  <c r="N52" i="3"/>
  <c r="X53" i="7" s="1"/>
  <c r="Z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P46" i="3"/>
  <c r="AB47" i="7" s="1"/>
  <c r="N46" i="3"/>
  <c r="X47" i="7" s="1"/>
  <c r="Y47" i="7" s="1"/>
  <c r="L46" i="3"/>
  <c r="T47" i="7" s="1"/>
  <c r="V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P45" i="3"/>
  <c r="AB46" i="7" s="1"/>
  <c r="N45" i="3"/>
  <c r="X46" i="7" s="1"/>
  <c r="Z46" i="7" s="1"/>
  <c r="L45" i="3"/>
  <c r="T46" i="7" s="1"/>
  <c r="V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P44" i="3"/>
  <c r="AB45" i="7" s="1"/>
  <c r="N44" i="3"/>
  <c r="X45" i="7" s="1"/>
  <c r="Z45" i="7" s="1"/>
  <c r="L44" i="3"/>
  <c r="T45" i="7" s="1"/>
  <c r="V45" i="7" s="1"/>
  <c r="J44" i="3"/>
  <c r="P45" i="7" s="1"/>
  <c r="H44" i="3"/>
  <c r="L45" i="7" s="1"/>
  <c r="Z43" i="3"/>
  <c r="AV44" i="7" s="1"/>
  <c r="X43" i="3"/>
  <c r="AR44" i="7" s="1"/>
  <c r="V43" i="3"/>
  <c r="AN44" i="7" s="1"/>
  <c r="T43" i="3"/>
  <c r="AJ44" i="7" s="1"/>
  <c r="R43" i="3"/>
  <c r="AF44" i="7" s="1"/>
  <c r="AH44" i="7" s="1"/>
  <c r="P43" i="3"/>
  <c r="AB44" i="7" s="1"/>
  <c r="N43" i="3"/>
  <c r="X44" i="7" s="1"/>
  <c r="L43" i="3"/>
  <c r="T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P42" i="3"/>
  <c r="AB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P41" i="3"/>
  <c r="AB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AO35" i="7" s="1"/>
  <c r="T34" i="3"/>
  <c r="AJ35" i="7" s="1"/>
  <c r="R34" i="3"/>
  <c r="AF35" i="7" s="1"/>
  <c r="P34" i="3"/>
  <c r="AB35" i="7" s="1"/>
  <c r="N34" i="3"/>
  <c r="X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F42" i="3"/>
  <c r="H43" i="7" s="1"/>
  <c r="D42" i="3"/>
  <c r="D43" i="7" s="1"/>
  <c r="F41" i="3"/>
  <c r="H42" i="7" s="1"/>
  <c r="D41" i="3"/>
  <c r="D42" i="7" s="1"/>
  <c r="F40" i="3"/>
  <c r="H41" i="7" s="1"/>
  <c r="D40" i="3"/>
  <c r="D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H11" i="7" s="1"/>
  <c r="F25" i="3"/>
  <c r="F27" i="3"/>
  <c r="D25" i="3"/>
  <c r="D27" i="3"/>
  <c r="E19" i="3"/>
  <c r="E21" i="3"/>
  <c r="C21" i="3"/>
  <c r="C27" i="3" s="1"/>
  <c r="C19" i="3"/>
  <c r="C25" i="3" s="1"/>
  <c r="B8" i="5"/>
  <c r="B9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AW44" i="7" l="1"/>
  <c r="AX44" i="7"/>
  <c r="AL26" i="7"/>
  <c r="AK35" i="7"/>
  <c r="AL35" i="7"/>
  <c r="M76" i="6"/>
  <c r="M105" i="6" s="1"/>
  <c r="N76" i="6" s="1"/>
  <c r="N105" i="6" s="1"/>
  <c r="AK44" i="7"/>
  <c r="AL44" i="7"/>
  <c r="Y35" i="7"/>
  <c r="Z35" i="7"/>
  <c r="Y44" i="7"/>
  <c r="Z44" i="7"/>
  <c r="K108" i="6"/>
  <c r="Y56" i="3"/>
  <c r="U44" i="7"/>
  <c r="V44" i="7"/>
  <c r="L70" i="6"/>
  <c r="K72" i="6"/>
  <c r="AA27" i="3"/>
  <c r="R35" i="7"/>
  <c r="M108" i="6"/>
  <c r="AW31" i="7"/>
  <c r="AX31" i="7"/>
  <c r="W56" i="3"/>
  <c r="AX33" i="7"/>
  <c r="AW33" i="7"/>
  <c r="AX37" i="7"/>
  <c r="AW37" i="7"/>
  <c r="AX41" i="7"/>
  <c r="AW41" i="7"/>
  <c r="AX45" i="7"/>
  <c r="AW45" i="7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A24" i="3" s="1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O54" i="7"/>
  <c r="AU54" i="7"/>
  <c r="AE53" i="7"/>
  <c r="AH53" i="7" s="1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T59" i="3"/>
  <c r="AJ11" i="7"/>
  <c r="AL11" i="7" s="1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P62" i="7" s="1"/>
  <c r="AK17" i="7"/>
  <c r="AL28" i="7"/>
  <c r="W25" i="3"/>
  <c r="O22" i="4"/>
  <c r="K17" i="4"/>
  <c r="O11" i="4"/>
  <c r="M9" i="4"/>
  <c r="E9" i="4"/>
  <c r="U56" i="3"/>
  <c r="M22" i="4"/>
  <c r="E11" i="4"/>
  <c r="K9" i="4"/>
  <c r="L26" i="4"/>
  <c r="L29" i="4" s="1"/>
  <c r="AK40" i="7"/>
  <c r="S56" i="3"/>
  <c r="H17" i="4"/>
  <c r="L11" i="4"/>
  <c r="N10" i="4"/>
  <c r="AK48" i="7"/>
  <c r="AL32" i="7"/>
  <c r="O56" i="3"/>
  <c r="AK24" i="7"/>
  <c r="M17" i="4"/>
  <c r="E17" i="4"/>
  <c r="P26" i="4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63" i="7" s="1"/>
  <c r="AL42" i="7"/>
  <c r="AL43" i="7"/>
  <c r="T24" i="3"/>
  <c r="U24" i="3" s="1"/>
  <c r="AJ13" i="7"/>
  <c r="AF28" i="7"/>
  <c r="AG33" i="7"/>
  <c r="AG54" i="7"/>
  <c r="AK33" i="7"/>
  <c r="AL38" i="7"/>
  <c r="AK47" i="7"/>
  <c r="AL31" i="7"/>
  <c r="AH40" i="7"/>
  <c r="AG48" i="7"/>
  <c r="AC49" i="7"/>
  <c r="AL54" i="7"/>
  <c r="AK26" i="7"/>
  <c r="AK28" i="7"/>
  <c r="AL24" i="7"/>
  <c r="AK27" i="7"/>
  <c r="AL27" i="7"/>
  <c r="AC47" i="7"/>
  <c r="AH43" i="7"/>
  <c r="AH54" i="7"/>
  <c r="AH31" i="7"/>
  <c r="AD32" i="7"/>
  <c r="AD40" i="7"/>
  <c r="AC48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C42" i="7"/>
  <c r="AD62" i="7" s="1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Y46" i="7"/>
  <c r="AC31" i="7"/>
  <c r="AH38" i="7"/>
  <c r="AD39" i="7"/>
  <c r="AH46" i="7"/>
  <c r="AD47" i="7"/>
  <c r="Z32" i="7"/>
  <c r="Y45" i="7"/>
  <c r="AC40" i="7"/>
  <c r="Z31" i="7"/>
  <c r="H22" i="4"/>
  <c r="N9" i="4"/>
  <c r="G26" i="4"/>
  <c r="G29" i="4" s="1"/>
  <c r="AC44" i="7"/>
  <c r="AD44" i="7"/>
  <c r="AD31" i="7"/>
  <c r="AC43" i="7"/>
  <c r="AG43" i="7"/>
  <c r="AG39" i="7"/>
  <c r="AH39" i="7"/>
  <c r="AH47" i="7"/>
  <c r="AG47" i="7"/>
  <c r="AC46" i="7"/>
  <c r="AC36" i="7"/>
  <c r="AD36" i="7"/>
  <c r="AD37" i="7"/>
  <c r="AC37" i="7"/>
  <c r="AG37" i="7"/>
  <c r="AH37" i="7"/>
  <c r="AG44" i="7"/>
  <c r="AC21" i="7"/>
  <c r="AD53" i="7"/>
  <c r="AC53" i="7"/>
  <c r="AG46" i="7"/>
  <c r="Z54" i="7"/>
  <c r="AG36" i="7"/>
  <c r="AG42" i="7"/>
  <c r="AH62" i="7" s="1"/>
  <c r="AC39" i="7"/>
  <c r="AG35" i="7"/>
  <c r="S27" i="7"/>
  <c r="AG32" i="7"/>
  <c r="AG38" i="7"/>
  <c r="AC41" i="7"/>
  <c r="AC35" i="7"/>
  <c r="AG21" i="7"/>
  <c r="AH34" i="7"/>
  <c r="AC38" i="7"/>
  <c r="AG45" i="7"/>
  <c r="AH41" i="7"/>
  <c r="AG41" i="7"/>
  <c r="AH49" i="7"/>
  <c r="AG49" i="7"/>
  <c r="AC33" i="7"/>
  <c r="AC45" i="7"/>
  <c r="W27" i="7"/>
  <c r="S27" i="3"/>
  <c r="S25" i="3"/>
  <c r="Q25" i="3"/>
  <c r="Q27" i="3"/>
  <c r="T13" i="7"/>
  <c r="T25" i="7" s="1"/>
  <c r="N24" i="3"/>
  <c r="O24" i="3" s="1"/>
  <c r="X13" i="7"/>
  <c r="X25" i="7" s="1"/>
  <c r="W26" i="7"/>
  <c r="Y16" i="7"/>
  <c r="Z15" i="7"/>
  <c r="W28" i="7"/>
  <c r="Y15" i="7"/>
  <c r="Z14" i="7"/>
  <c r="Y14" i="7"/>
  <c r="Z59" i="7" s="1"/>
  <c r="Y53" i="7"/>
  <c r="S28" i="7"/>
  <c r="V28" i="7" s="1"/>
  <c r="M56" i="3"/>
  <c r="K10" i="4"/>
  <c r="V54" i="7"/>
  <c r="U32" i="7"/>
  <c r="U45" i="7"/>
  <c r="U46" i="7"/>
  <c r="U48" i="7"/>
  <c r="V41" i="7"/>
  <c r="U42" i="7"/>
  <c r="V42" i="7"/>
  <c r="U49" i="7"/>
  <c r="V34" i="7"/>
  <c r="N22" i="4"/>
  <c r="N11" i="4"/>
  <c r="F11" i="4"/>
  <c r="P10" i="4"/>
  <c r="H10" i="4"/>
  <c r="M26" i="4"/>
  <c r="M29" i="4" s="1"/>
  <c r="U47" i="7"/>
  <c r="V37" i="7"/>
  <c r="V39" i="7"/>
  <c r="U33" i="7"/>
  <c r="V43" i="7"/>
  <c r="U36" i="7"/>
  <c r="M98" i="5"/>
  <c r="S17" i="7"/>
  <c r="S23" i="7" s="1"/>
  <c r="N98" i="5"/>
  <c r="V31" i="7"/>
  <c r="U31" i="7"/>
  <c r="M96" i="5"/>
  <c r="K22" i="4"/>
  <c r="H98" i="5"/>
  <c r="N7" i="4"/>
  <c r="O17" i="4"/>
  <c r="K11" i="4"/>
  <c r="M10" i="4"/>
  <c r="E10" i="4"/>
  <c r="V40" i="7"/>
  <c r="U40" i="7"/>
  <c r="U38" i="7"/>
  <c r="N96" i="5"/>
  <c r="G98" i="5"/>
  <c r="N17" i="4"/>
  <c r="P9" i="4"/>
  <c r="U14" i="7"/>
  <c r="V15" i="7"/>
  <c r="V18" i="7"/>
  <c r="U18" i="7"/>
  <c r="S53" i="7"/>
  <c r="S25" i="7"/>
  <c r="U54" i="7"/>
  <c r="V22" i="7"/>
  <c r="U15" i="7"/>
  <c r="V16" i="7"/>
  <c r="U16" i="7"/>
  <c r="V59" i="7" s="1"/>
  <c r="S26" i="7"/>
  <c r="V26" i="7" s="1"/>
  <c r="U20" i="7"/>
  <c r="U19" i="7"/>
  <c r="I22" i="4"/>
  <c r="H7" i="4"/>
  <c r="H96" i="5"/>
  <c r="I17" i="4"/>
  <c r="G10" i="4"/>
  <c r="G9" i="4"/>
  <c r="J26" i="4"/>
  <c r="J29" i="4" s="1"/>
  <c r="J10" i="4"/>
  <c r="J9" i="4"/>
  <c r="Q32" i="7"/>
  <c r="K56" i="3"/>
  <c r="K7" i="4"/>
  <c r="P26" i="7"/>
  <c r="P28" i="7"/>
  <c r="R37" i="7"/>
  <c r="Q41" i="7"/>
  <c r="R43" i="7"/>
  <c r="R47" i="7"/>
  <c r="Q49" i="7"/>
  <c r="P53" i="7"/>
  <c r="K18" i="3"/>
  <c r="P13" i="7"/>
  <c r="E12" i="7"/>
  <c r="F58" i="7" s="1"/>
  <c r="R38" i="7"/>
  <c r="O12" i="7"/>
  <c r="Q12" i="7" s="1"/>
  <c r="N15" i="7"/>
  <c r="J21" i="7"/>
  <c r="M12" i="7"/>
  <c r="N58" i="7" s="1"/>
  <c r="O13" i="7"/>
  <c r="O19" i="7"/>
  <c r="Q43" i="7"/>
  <c r="O15" i="7"/>
  <c r="Q36" i="7"/>
  <c r="R36" i="7"/>
  <c r="Q42" i="7"/>
  <c r="R42" i="7"/>
  <c r="Q48" i="7"/>
  <c r="R48" i="7"/>
  <c r="R41" i="7"/>
  <c r="Q37" i="7"/>
  <c r="O16" i="7"/>
  <c r="O14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G96" i="5"/>
  <c r="I11" i="4"/>
  <c r="H11" i="4"/>
  <c r="I26" i="4"/>
  <c r="I29" i="4" s="1"/>
  <c r="N97" i="5"/>
  <c r="M54" i="7"/>
  <c r="L98" i="5"/>
  <c r="L7" i="4"/>
  <c r="L96" i="5"/>
  <c r="J95" i="5"/>
  <c r="L97" i="5"/>
  <c r="M11" i="4"/>
  <c r="O10" i="4"/>
  <c r="I10" i="4"/>
  <c r="O9" i="4"/>
  <c r="I9" i="4"/>
  <c r="N26" i="4"/>
  <c r="N29" i="4" s="1"/>
  <c r="G25" i="3"/>
  <c r="H26" i="7"/>
  <c r="I27" i="3"/>
  <c r="L28" i="7"/>
  <c r="F31" i="7"/>
  <c r="F38" i="7"/>
  <c r="F32" i="7"/>
  <c r="F44" i="7"/>
  <c r="F36" i="7"/>
  <c r="G27" i="3"/>
  <c r="H28" i="7"/>
  <c r="L22" i="4"/>
  <c r="K98" i="5"/>
  <c r="K96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G7" i="4"/>
  <c r="G97" i="5"/>
  <c r="J98" i="5"/>
  <c r="D98" i="5"/>
  <c r="P7" i="4"/>
  <c r="J7" i="4"/>
  <c r="J96" i="5"/>
  <c r="N95" i="5"/>
  <c r="H95" i="5"/>
  <c r="J97" i="5"/>
  <c r="F26" i="4"/>
  <c r="F29" i="4" s="1"/>
  <c r="I25" i="3"/>
  <c r="L26" i="7"/>
  <c r="E48" i="7"/>
  <c r="E32" i="7"/>
  <c r="M7" i="4"/>
  <c r="K95" i="5"/>
  <c r="M97" i="5"/>
  <c r="P22" i="4"/>
  <c r="J22" i="4"/>
  <c r="O98" i="5"/>
  <c r="I98" i="5"/>
  <c r="C98" i="5"/>
  <c r="O7" i="4"/>
  <c r="I7" i="4"/>
  <c r="O96" i="5"/>
  <c r="I96" i="5"/>
  <c r="C96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K29" i="4" s="1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J16" i="7"/>
  <c r="I16" i="7"/>
  <c r="J59" i="7" s="1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J58" i="7" s="1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G24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F59" i="7" s="1"/>
  <c r="J54" i="7"/>
  <c r="G27" i="7"/>
  <c r="I53" i="7"/>
  <c r="M16" i="7"/>
  <c r="N59" i="7" s="1"/>
  <c r="M18" i="7"/>
  <c r="M19" i="7"/>
  <c r="M20" i="7"/>
  <c r="G26" i="7"/>
  <c r="C26" i="7"/>
  <c r="C17" i="7"/>
  <c r="C24" i="7"/>
  <c r="C25" i="7"/>
  <c r="C29" i="7"/>
  <c r="C28" i="7"/>
  <c r="C27" i="7"/>
  <c r="G22" i="4"/>
  <c r="F98" i="5"/>
  <c r="F7" i="4"/>
  <c r="F96" i="5"/>
  <c r="D95" i="5"/>
  <c r="G17" i="4"/>
  <c r="F97" i="5"/>
  <c r="G11" i="4"/>
  <c r="H26" i="4"/>
  <c r="H29" i="4" s="1"/>
  <c r="F22" i="4"/>
  <c r="E98" i="5"/>
  <c r="E7" i="4"/>
  <c r="E96" i="5"/>
  <c r="F17" i="4"/>
  <c r="E97" i="5"/>
  <c r="H9" i="4"/>
  <c r="D96" i="5"/>
  <c r="D97" i="5"/>
  <c r="E95" i="5"/>
  <c r="E56" i="3"/>
  <c r="F95" i="5"/>
  <c r="AQ29" i="7"/>
  <c r="AA18" i="3"/>
  <c r="U17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AT60" i="7" s="1"/>
  <c r="O23" i="3"/>
  <c r="O17" i="3"/>
  <c r="W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Z28" i="3"/>
  <c r="AV29" i="7" s="1"/>
  <c r="P23" i="3"/>
  <c r="T23" i="3"/>
  <c r="J23" i="3"/>
  <c r="V23" i="3"/>
  <c r="O20" i="1"/>
  <c r="O21" i="1"/>
  <c r="O22" i="1"/>
  <c r="N15" i="1"/>
  <c r="Z16" i="3" s="1"/>
  <c r="AV17" i="7" s="1"/>
  <c r="N8" i="1"/>
  <c r="BA12" i="7" l="1"/>
  <c r="H21" i="4"/>
  <c r="H18" i="4" s="1"/>
  <c r="R58" i="7"/>
  <c r="H31" i="4"/>
  <c r="M70" i="6"/>
  <c r="L72" i="6"/>
  <c r="J64" i="7"/>
  <c r="C23" i="7"/>
  <c r="I21" i="4"/>
  <c r="I18" i="4" s="1"/>
  <c r="N21" i="4"/>
  <c r="N18" i="4" s="1"/>
  <c r="P21" i="4"/>
  <c r="P18" i="4" s="1"/>
  <c r="AP54" i="7"/>
  <c r="BA39" i="7"/>
  <c r="AG53" i="7"/>
  <c r="N108" i="6"/>
  <c r="O76" i="6"/>
  <c r="O105" i="6" s="1"/>
  <c r="BA35" i="7"/>
  <c r="AV23" i="7"/>
  <c r="AW17" i="7"/>
  <c r="AT30" i="7"/>
  <c r="AV25" i="7"/>
  <c r="AX13" i="7"/>
  <c r="AW13" i="7"/>
  <c r="AS30" i="7"/>
  <c r="AT62" i="7" s="1"/>
  <c r="AQ23" i="7"/>
  <c r="AQ51" i="7" s="1"/>
  <c r="AQ55" i="7" s="1"/>
  <c r="W24" i="3"/>
  <c r="AX17" i="7"/>
  <c r="BB14" i="7"/>
  <c r="BA19" i="7"/>
  <c r="BA16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P13" i="4"/>
  <c r="O13" i="4"/>
  <c r="BA41" i="7"/>
  <c r="BA22" i="7"/>
  <c r="O21" i="4"/>
  <c r="O18" i="4" s="1"/>
  <c r="AP11" i="7"/>
  <c r="AO11" i="7"/>
  <c r="AP58" i="7" s="1"/>
  <c r="AM23" i="7"/>
  <c r="BA44" i="7"/>
  <c r="BA47" i="7"/>
  <c r="BA40" i="7"/>
  <c r="W23" i="3"/>
  <c r="L15" i="4"/>
  <c r="L14" i="4" s="1"/>
  <c r="K21" i="4"/>
  <c r="K18" i="4" s="1"/>
  <c r="BA38" i="7"/>
  <c r="BA49" i="7"/>
  <c r="E12" i="4"/>
  <c r="M21" i="4"/>
  <c r="M18" i="4" s="1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R12" i="7"/>
  <c r="BA33" i="7"/>
  <c r="BA36" i="7"/>
  <c r="AK30" i="7"/>
  <c r="AL62" i="7" s="1"/>
  <c r="AL30" i="7"/>
  <c r="Y54" i="7"/>
  <c r="BA45" i="7"/>
  <c r="BA42" i="7"/>
  <c r="V64" i="7" s="1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25" i="7"/>
  <c r="AH13" i="7"/>
  <c r="AG13" i="7"/>
  <c r="AH20" i="7"/>
  <c r="AG20" i="7"/>
  <c r="AD12" i="7"/>
  <c r="AC12" i="7"/>
  <c r="AD58" i="7" s="1"/>
  <c r="AA24" i="7"/>
  <c r="AC19" i="7"/>
  <c r="AD19" i="7"/>
  <c r="AH12" i="7"/>
  <c r="AG12" i="7"/>
  <c r="AH58" i="7" s="1"/>
  <c r="AE24" i="7"/>
  <c r="AC54" i="7"/>
  <c r="AD54" i="7"/>
  <c r="AD15" i="7"/>
  <c r="AC15" i="7"/>
  <c r="AA27" i="7"/>
  <c r="AD14" i="7"/>
  <c r="AC14" i="7"/>
  <c r="AD59" i="7" s="1"/>
  <c r="AA26" i="7"/>
  <c r="AC18" i="7"/>
  <c r="AD18" i="7"/>
  <c r="AG15" i="7"/>
  <c r="AH15" i="7"/>
  <c r="AE27" i="7"/>
  <c r="AG22" i="7"/>
  <c r="AH22" i="7"/>
  <c r="AD22" i="7"/>
  <c r="AC22" i="7"/>
  <c r="AH14" i="7"/>
  <c r="AG14" i="7"/>
  <c r="AH59" i="7" s="1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X29" i="7"/>
  <c r="I24" i="3"/>
  <c r="S24" i="3"/>
  <c r="K27" i="7"/>
  <c r="Y28" i="7"/>
  <c r="Z28" i="7"/>
  <c r="Z26" i="7"/>
  <c r="Y26" i="7"/>
  <c r="Z22" i="7"/>
  <c r="Y22" i="7"/>
  <c r="Z18" i="7"/>
  <c r="Y18" i="7"/>
  <c r="Z30" i="7"/>
  <c r="W29" i="7"/>
  <c r="Y30" i="7"/>
  <c r="Y29" i="7" s="1"/>
  <c r="Y20" i="7"/>
  <c r="Z20" i="7"/>
  <c r="M15" i="7"/>
  <c r="Y12" i="7"/>
  <c r="Z58" i="7" s="1"/>
  <c r="W24" i="7"/>
  <c r="Z12" i="7"/>
  <c r="W17" i="7"/>
  <c r="W23" i="7" s="1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53" i="7"/>
  <c r="U25" i="7"/>
  <c r="U12" i="7"/>
  <c r="V58" i="7" s="1"/>
  <c r="S24" i="7"/>
  <c r="V12" i="7"/>
  <c r="N13" i="7"/>
  <c r="M14" i="7"/>
  <c r="N14" i="7"/>
  <c r="F29" i="7"/>
  <c r="M24" i="3"/>
  <c r="J13" i="4"/>
  <c r="M13" i="7"/>
  <c r="P24" i="7"/>
  <c r="P25" i="7"/>
  <c r="E13" i="4"/>
  <c r="N12" i="7"/>
  <c r="P15" i="4"/>
  <c r="P14" i="4" s="1"/>
  <c r="K15" i="4"/>
  <c r="K14" i="4" s="1"/>
  <c r="J12" i="4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R59" i="7" s="1"/>
  <c r="Q53" i="7"/>
  <c r="R53" i="7"/>
  <c r="R19" i="7"/>
  <c r="Q19" i="7"/>
  <c r="R18" i="7"/>
  <c r="Q18" i="7"/>
  <c r="O24" i="7"/>
  <c r="O17" i="7"/>
  <c r="O23" i="7" s="1"/>
  <c r="R22" i="7"/>
  <c r="Q22" i="7"/>
  <c r="K24" i="3"/>
  <c r="K23" i="3"/>
  <c r="G21" i="4"/>
  <c r="G18" i="4" s="1"/>
  <c r="G13" i="4"/>
  <c r="I15" i="4"/>
  <c r="I14" i="4" s="1"/>
  <c r="G15" i="4"/>
  <c r="G14" i="4" s="1"/>
  <c r="K12" i="4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J11" i="7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I11" i="7"/>
  <c r="N20" i="7"/>
  <c r="G28" i="7"/>
  <c r="J22" i="7"/>
  <c r="K25" i="7"/>
  <c r="M25" i="7" s="1"/>
  <c r="N19" i="7"/>
  <c r="F28" i="7"/>
  <c r="E28" i="7"/>
  <c r="G25" i="7"/>
  <c r="J19" i="7"/>
  <c r="K24" i="7"/>
  <c r="M24" i="7" s="1"/>
  <c r="N18" i="7"/>
  <c r="E29" i="7"/>
  <c r="G29" i="7"/>
  <c r="J30" i="7"/>
  <c r="F53" i="7"/>
  <c r="E53" i="7"/>
  <c r="F26" i="7"/>
  <c r="E26" i="7"/>
  <c r="K28" i="7"/>
  <c r="M28" i="7" s="1"/>
  <c r="N16" i="7"/>
  <c r="J26" i="7"/>
  <c r="J53" i="7"/>
  <c r="K17" i="7"/>
  <c r="K23" i="7" s="1"/>
  <c r="M30" i="7"/>
  <c r="M29" i="7" s="1"/>
  <c r="K26" i="7"/>
  <c r="M26" i="7" s="1"/>
  <c r="I23" i="3"/>
  <c r="G12" i="4"/>
  <c r="F12" i="4"/>
  <c r="F13" i="4"/>
  <c r="Z57" i="3"/>
  <c r="AP29" i="7"/>
  <c r="U53" i="3"/>
  <c r="U46" i="3"/>
  <c r="U40" i="3"/>
  <c r="U34" i="3"/>
  <c r="U28" i="3"/>
  <c r="U10" i="3"/>
  <c r="U52" i="3"/>
  <c r="U45" i="3"/>
  <c r="U39" i="3"/>
  <c r="U33" i="3"/>
  <c r="U14" i="3"/>
  <c r="U44" i="3"/>
  <c r="U38" i="3"/>
  <c r="U32" i="3"/>
  <c r="U15" i="3"/>
  <c r="U41" i="3"/>
  <c r="U29" i="3"/>
  <c r="U12" i="3"/>
  <c r="U43" i="3"/>
  <c r="U49" i="3"/>
  <c r="U37" i="3"/>
  <c r="U11" i="3"/>
  <c r="U35" i="3"/>
  <c r="U31" i="3"/>
  <c r="U42" i="3"/>
  <c r="U30" i="3"/>
  <c r="U13" i="3"/>
  <c r="U48" i="3"/>
  <c r="U36" i="3"/>
  <c r="U47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11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N45" i="1" s="1"/>
  <c r="N56" i="1" s="1"/>
  <c r="N62" i="1" s="1"/>
  <c r="BA26" i="7" l="1"/>
  <c r="BA28" i="7"/>
  <c r="AK23" i="7"/>
  <c r="AL58" i="7"/>
  <c r="N70" i="6"/>
  <c r="M72" i="6"/>
  <c r="J63" i="7"/>
  <c r="O108" i="6"/>
  <c r="BA53" i="7"/>
  <c r="BA14" i="7"/>
  <c r="AA57" i="3"/>
  <c r="Z58" i="3"/>
  <c r="AA58" i="3" s="1"/>
  <c r="AX11" i="7"/>
  <c r="AU23" i="7"/>
  <c r="AW23" i="7" s="1"/>
  <c r="AW11" i="7"/>
  <c r="AV51" i="7"/>
  <c r="AA26" i="3"/>
  <c r="AX30" i="7"/>
  <c r="AW30" i="7"/>
  <c r="AX62" i="7" s="1"/>
  <c r="AX25" i="7"/>
  <c r="AW25" i="7"/>
  <c r="BA30" i="7"/>
  <c r="AS25" i="7"/>
  <c r="AT25" i="7"/>
  <c r="AP30" i="7"/>
  <c r="AO30" i="7"/>
  <c r="AM51" i="7"/>
  <c r="AO29" i="7"/>
  <c r="BA13" i="7"/>
  <c r="BB12" i="7"/>
  <c r="Z29" i="7"/>
  <c r="AK25" i="7"/>
  <c r="AL25" i="7"/>
  <c r="AK29" i="7"/>
  <c r="AC11" i="7"/>
  <c r="AH29" i="7"/>
  <c r="AH26" i="7"/>
  <c r="AG26" i="7"/>
  <c r="AD26" i="7"/>
  <c r="AC26" i="7"/>
  <c r="AG11" i="7"/>
  <c r="BA15" i="7"/>
  <c r="BA54" i="7"/>
  <c r="AD25" i="7"/>
  <c r="AC25" i="7"/>
  <c r="AG17" i="7"/>
  <c r="AH30" i="7"/>
  <c r="AG30" i="7"/>
  <c r="AD28" i="7"/>
  <c r="AC28" i="7"/>
  <c r="AD30" i="7"/>
  <c r="AD29" i="7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Y11" i="7"/>
  <c r="Q25" i="7"/>
  <c r="V24" i="7"/>
  <c r="U24" i="7"/>
  <c r="U30" i="7"/>
  <c r="U29" i="7" s="1"/>
  <c r="V30" i="7"/>
  <c r="S29" i="7"/>
  <c r="BB13" i="7"/>
  <c r="M11" i="7"/>
  <c r="M23" i="7" s="1"/>
  <c r="R25" i="7"/>
  <c r="BB16" i="7"/>
  <c r="Q24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I23" i="7" s="1"/>
  <c r="I51" i="7" s="1"/>
  <c r="BB20" i="7"/>
  <c r="K29" i="7"/>
  <c r="N30" i="7"/>
  <c r="N24" i="7"/>
  <c r="J28" i="7"/>
  <c r="N25" i="7"/>
  <c r="C51" i="7"/>
  <c r="N28" i="7"/>
  <c r="J29" i="7"/>
  <c r="N26" i="7"/>
  <c r="N64" i="1"/>
  <c r="P6" i="4"/>
  <c r="P5" i="4" s="1"/>
  <c r="P24" i="4" s="1"/>
  <c r="P27" i="4" s="1"/>
  <c r="Z3" i="3"/>
  <c r="Z50" i="3"/>
  <c r="AA50" i="3" s="1"/>
  <c r="P4" i="3"/>
  <c r="R4" i="3"/>
  <c r="T4" i="3"/>
  <c r="V4" i="3"/>
  <c r="X4" i="3"/>
  <c r="BB29" i="7" l="1"/>
  <c r="V63" i="7"/>
  <c r="AK51" i="7"/>
  <c r="AK55" i="7" s="1"/>
  <c r="V29" i="7"/>
  <c r="O70" i="6"/>
  <c r="N72" i="6"/>
  <c r="M51" i="7"/>
  <c r="M55" i="7" s="1"/>
  <c r="M56" i="7" s="1"/>
  <c r="G31" i="4"/>
  <c r="AV55" i="7"/>
  <c r="AX23" i="7"/>
  <c r="AU51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I52" i="7"/>
  <c r="I55" i="7"/>
  <c r="I56" i="7" s="1"/>
  <c r="BB28" i="7"/>
  <c r="BB30" i="7"/>
  <c r="BB26" i="7"/>
  <c r="K51" i="7"/>
  <c r="K55" i="7" s="1"/>
  <c r="C55" i="7"/>
  <c r="N29" i="7"/>
  <c r="Z54" i="3"/>
  <c r="Z5" i="3"/>
  <c r="O19" i="1"/>
  <c r="O72" i="6" l="1"/>
  <c r="M52" i="7"/>
  <c r="BA29" i="7"/>
  <c r="AX51" i="7"/>
  <c r="AU55" i="7"/>
  <c r="AX55" i="7" s="1"/>
  <c r="AW51" i="7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Z6" i="3"/>
  <c r="AA54" i="3"/>
  <c r="AG51" i="7"/>
  <c r="AG55" i="7" s="1"/>
  <c r="AI55" i="7"/>
  <c r="AA55" i="7"/>
  <c r="AE55" i="7"/>
  <c r="G55" i="7"/>
  <c r="W55" i="7"/>
  <c r="S55" i="7"/>
  <c r="Q55" i="7"/>
  <c r="Q52" i="7"/>
  <c r="O55" i="7"/>
  <c r="C56" i="7"/>
  <c r="AW55" i="7" l="1"/>
  <c r="S76" i="6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F4" i="3"/>
  <c r="H4" i="3"/>
  <c r="J4" i="3"/>
  <c r="L4" i="3"/>
  <c r="N4" i="3"/>
  <c r="D4" i="3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D8" i="1"/>
  <c r="F10" i="3" s="1"/>
  <c r="F59" i="3" s="1"/>
  <c r="E8" i="1"/>
  <c r="F8" i="1"/>
  <c r="G8" i="1"/>
  <c r="H8" i="1"/>
  <c r="I8" i="1"/>
  <c r="P10" i="3" s="1"/>
  <c r="P59" i="3" s="1"/>
  <c r="J8" i="1"/>
  <c r="K8" i="1"/>
  <c r="T2" i="3" s="1"/>
  <c r="L8" i="1"/>
  <c r="V2" i="3" s="1"/>
  <c r="M8" i="1"/>
  <c r="C8" i="1"/>
  <c r="D10" i="3" s="1"/>
  <c r="D11" i="7" s="1"/>
  <c r="X10" i="3" l="1"/>
  <c r="X2" i="3" s="1"/>
  <c r="N10" i="3"/>
  <c r="O16" i="3" s="1"/>
  <c r="L10" i="3"/>
  <c r="L2" i="3" s="1"/>
  <c r="Y16" i="3"/>
  <c r="AR17" i="7"/>
  <c r="W16" i="3"/>
  <c r="AN17" i="7"/>
  <c r="F11" i="7"/>
  <c r="U16" i="3"/>
  <c r="AJ17" i="7"/>
  <c r="R10" i="3"/>
  <c r="R59" i="3" s="1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X21" i="7"/>
  <c r="X17" i="7"/>
  <c r="I16" i="1"/>
  <c r="I45" i="1" s="1"/>
  <c r="I56" i="1" s="1"/>
  <c r="I62" i="1" s="1"/>
  <c r="K6" i="4" s="1"/>
  <c r="K5" i="4" s="1"/>
  <c r="K24" i="4" s="1"/>
  <c r="K27" i="4" s="1"/>
  <c r="P2" i="3"/>
  <c r="T21" i="7"/>
  <c r="T17" i="7"/>
  <c r="J10" i="3"/>
  <c r="P17" i="7"/>
  <c r="R17" i="7" s="1"/>
  <c r="H16" i="3"/>
  <c r="L17" i="7" s="1"/>
  <c r="N17" i="7" s="1"/>
  <c r="H10" i="3"/>
  <c r="H59" i="3" s="1"/>
  <c r="S20" i="3"/>
  <c r="R57" i="3"/>
  <c r="I20" i="3"/>
  <c r="T57" i="3"/>
  <c r="U20" i="3"/>
  <c r="T22" i="3"/>
  <c r="U22" i="3" s="1"/>
  <c r="N57" i="3"/>
  <c r="P57" i="3"/>
  <c r="Q20" i="3"/>
  <c r="P22" i="3"/>
  <c r="Q22" i="3" s="1"/>
  <c r="K20" i="3"/>
  <c r="J57" i="3"/>
  <c r="J58" i="3" s="1"/>
  <c r="W20" i="3"/>
  <c r="V57" i="3"/>
  <c r="V22" i="3"/>
  <c r="W22" i="3" s="1"/>
  <c r="L57" i="3"/>
  <c r="X57" i="3"/>
  <c r="Y20" i="3"/>
  <c r="X22" i="3"/>
  <c r="Y22" i="3" s="1"/>
  <c r="L16" i="1"/>
  <c r="L45" i="1" s="1"/>
  <c r="L56" i="1" s="1"/>
  <c r="L62" i="1" s="1"/>
  <c r="M16" i="1"/>
  <c r="G16" i="1"/>
  <c r="G45" i="1" s="1"/>
  <c r="G56" i="1" s="1"/>
  <c r="J16" i="1"/>
  <c r="K16" i="1"/>
  <c r="F16" i="1"/>
  <c r="F45" i="1" s="1"/>
  <c r="F56" i="1" s="1"/>
  <c r="C16" i="1"/>
  <c r="C45" i="1" s="1"/>
  <c r="C56" i="1" s="1"/>
  <c r="C62" i="1" s="1"/>
  <c r="C64" i="1" s="1"/>
  <c r="H16" i="1"/>
  <c r="H45" i="1" s="1"/>
  <c r="H56" i="1" s="1"/>
  <c r="D16" i="1"/>
  <c r="D45" i="1" s="1"/>
  <c r="D56" i="1" s="1"/>
  <c r="D62" i="1" s="1"/>
  <c r="E16" i="1"/>
  <c r="E45" i="1" s="1"/>
  <c r="E56" i="1" s="1"/>
  <c r="Y37" i="3" l="1"/>
  <c r="Y47" i="3"/>
  <c r="Y14" i="3"/>
  <c r="Y44" i="3"/>
  <c r="Y53" i="3"/>
  <c r="Y52" i="3"/>
  <c r="Y49" i="3"/>
  <c r="Y31" i="3"/>
  <c r="Y35" i="3"/>
  <c r="Y40" i="3"/>
  <c r="Y28" i="3"/>
  <c r="Y13" i="3"/>
  <c r="X59" i="3"/>
  <c r="Y38" i="3"/>
  <c r="Y48" i="3"/>
  <c r="Y39" i="3"/>
  <c r="AR11" i="7"/>
  <c r="Y32" i="3"/>
  <c r="Y42" i="3"/>
  <c r="Y11" i="3"/>
  <c r="Y10" i="3"/>
  <c r="Y15" i="3"/>
  <c r="Y36" i="3"/>
  <c r="Y46" i="3"/>
  <c r="Y45" i="3"/>
  <c r="Y30" i="3"/>
  <c r="Y34" i="3"/>
  <c r="Y33" i="3"/>
  <c r="Y43" i="3"/>
  <c r="Y12" i="3"/>
  <c r="Y29" i="3"/>
  <c r="Y41" i="3"/>
  <c r="N22" i="3"/>
  <c r="O22" i="3" s="1"/>
  <c r="O40" i="3"/>
  <c r="O43" i="3"/>
  <c r="X11" i="7"/>
  <c r="Z11" i="7" s="1"/>
  <c r="O34" i="3"/>
  <c r="O44" i="3"/>
  <c r="O48" i="3"/>
  <c r="O47" i="3"/>
  <c r="O52" i="3"/>
  <c r="N59" i="3"/>
  <c r="O28" i="3"/>
  <c r="O38" i="3"/>
  <c r="O36" i="3"/>
  <c r="O35" i="3"/>
  <c r="O32" i="3"/>
  <c r="O12" i="3"/>
  <c r="O15" i="3"/>
  <c r="O31" i="3"/>
  <c r="O45" i="3"/>
  <c r="O49" i="3"/>
  <c r="O30" i="3"/>
  <c r="O53" i="3"/>
  <c r="O39" i="3"/>
  <c r="O37" i="3"/>
  <c r="O13" i="3"/>
  <c r="O46" i="3"/>
  <c r="O33" i="3"/>
  <c r="O11" i="3"/>
  <c r="O41" i="3"/>
  <c r="O14" i="3"/>
  <c r="O42" i="3"/>
  <c r="O29" i="3"/>
  <c r="O10" i="3"/>
  <c r="N2" i="3"/>
  <c r="L22" i="3"/>
  <c r="M22" i="3" s="1"/>
  <c r="M16" i="3"/>
  <c r="L59" i="3"/>
  <c r="M37" i="3"/>
  <c r="M45" i="3"/>
  <c r="M10" i="3"/>
  <c r="M38" i="3"/>
  <c r="M29" i="3"/>
  <c r="M15" i="3"/>
  <c r="M40" i="3"/>
  <c r="M12" i="3"/>
  <c r="M31" i="3"/>
  <c r="M33" i="3"/>
  <c r="M35" i="3"/>
  <c r="M44" i="3"/>
  <c r="M13" i="3"/>
  <c r="M47" i="3"/>
  <c r="M46" i="3"/>
  <c r="M48" i="3"/>
  <c r="M41" i="3"/>
  <c r="M34" i="3"/>
  <c r="M32" i="3"/>
  <c r="M42" i="3"/>
  <c r="M53" i="3"/>
  <c r="M36" i="3"/>
  <c r="M14" i="3"/>
  <c r="M49" i="3"/>
  <c r="M30" i="3"/>
  <c r="M52" i="3"/>
  <c r="M28" i="3"/>
  <c r="T11" i="7"/>
  <c r="V11" i="7" s="1"/>
  <c r="M43" i="3"/>
  <c r="M39" i="3"/>
  <c r="M11" i="3"/>
  <c r="Y57" i="3"/>
  <c r="X58" i="3"/>
  <c r="Y58" i="3" s="1"/>
  <c r="AT63" i="7" s="1"/>
  <c r="AT17" i="7"/>
  <c r="AS17" i="7"/>
  <c r="AR23" i="7"/>
  <c r="AP17" i="7"/>
  <c r="AN23" i="7"/>
  <c r="AO17" i="7"/>
  <c r="W57" i="3"/>
  <c r="V58" i="3"/>
  <c r="W58" i="3" s="1"/>
  <c r="R22" i="3"/>
  <c r="R50" i="3" s="1"/>
  <c r="S50" i="3" s="1"/>
  <c r="S16" i="3"/>
  <c r="O57" i="3"/>
  <c r="N58" i="3"/>
  <c r="O58" i="3" s="1"/>
  <c r="S57" i="3"/>
  <c r="R58" i="3"/>
  <c r="S58" i="3" s="1"/>
  <c r="M57" i="3"/>
  <c r="L58" i="3"/>
  <c r="U57" i="3"/>
  <c r="T58" i="3"/>
  <c r="U58" i="3" s="1"/>
  <c r="Q57" i="3"/>
  <c r="P58" i="3"/>
  <c r="Q58" i="3" s="1"/>
  <c r="J2" i="3"/>
  <c r="J59" i="3"/>
  <c r="K58" i="3" s="1"/>
  <c r="AJ23" i="7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K57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4" i="1"/>
  <c r="V17" i="7"/>
  <c r="T27" i="7"/>
  <c r="U21" i="7"/>
  <c r="U17" i="7" s="1"/>
  <c r="U23" i="7" s="1"/>
  <c r="U51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13" i="3"/>
  <c r="K39" i="3"/>
  <c r="K41" i="3"/>
  <c r="K14" i="3"/>
  <c r="K48" i="3"/>
  <c r="K35" i="3"/>
  <c r="K28" i="3"/>
  <c r="K10" i="3"/>
  <c r="K52" i="3"/>
  <c r="K38" i="3"/>
  <c r="K36" i="3"/>
  <c r="K53" i="3"/>
  <c r="K11" i="3"/>
  <c r="K32" i="3"/>
  <c r="K12" i="3"/>
  <c r="K46" i="3"/>
  <c r="K43" i="3"/>
  <c r="K15" i="3"/>
  <c r="K45" i="3"/>
  <c r="K42" i="3"/>
  <c r="K44" i="3"/>
  <c r="H22" i="3"/>
  <c r="H50" i="3" s="1"/>
  <c r="H57" i="3"/>
  <c r="L11" i="7"/>
  <c r="I14" i="3"/>
  <c r="I15" i="3"/>
  <c r="I47" i="3"/>
  <c r="I28" i="3"/>
  <c r="I13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12" i="3"/>
  <c r="I34" i="3"/>
  <c r="I31" i="3"/>
  <c r="I48" i="3"/>
  <c r="I53" i="3"/>
  <c r="I16" i="3"/>
  <c r="H2" i="3"/>
  <c r="V3" i="3"/>
  <c r="V50" i="3"/>
  <c r="W50" i="3" s="1"/>
  <c r="J26" i="3"/>
  <c r="P27" i="7" s="1"/>
  <c r="X3" i="3"/>
  <c r="X50" i="3"/>
  <c r="Y50" i="3" s="1"/>
  <c r="L26" i="3"/>
  <c r="P26" i="3"/>
  <c r="L64" i="1"/>
  <c r="N6" i="4"/>
  <c r="N5" i="4" s="1"/>
  <c r="N24" i="4" s="1"/>
  <c r="N27" i="4" s="1"/>
  <c r="T50" i="3"/>
  <c r="U50" i="3" s="1"/>
  <c r="T3" i="3"/>
  <c r="H26" i="3"/>
  <c r="L27" i="7" s="1"/>
  <c r="X26" i="3"/>
  <c r="T26" i="3"/>
  <c r="L3" i="3"/>
  <c r="N26" i="3"/>
  <c r="D64" i="1"/>
  <c r="F6" i="4"/>
  <c r="F5" i="4" s="1"/>
  <c r="F24" i="4" s="1"/>
  <c r="F27" i="4" s="1"/>
  <c r="V26" i="3"/>
  <c r="P3" i="3"/>
  <c r="P50" i="3"/>
  <c r="Q50" i="3" s="1"/>
  <c r="R26" i="3"/>
  <c r="AF27" i="7" s="1"/>
  <c r="F62" i="1"/>
  <c r="E62" i="1"/>
  <c r="K45" i="1"/>
  <c r="K56" i="1" s="1"/>
  <c r="J45" i="1"/>
  <c r="J56" i="1" s="1"/>
  <c r="J62" i="1" s="1"/>
  <c r="J64" i="1" s="1"/>
  <c r="H62" i="1"/>
  <c r="G62" i="1"/>
  <c r="M45" i="1"/>
  <c r="M56" i="1" s="1"/>
  <c r="M62" i="1" s="1"/>
  <c r="AS11" i="7" l="1"/>
  <c r="AT11" i="7"/>
  <c r="BB11" i="7"/>
  <c r="L50" i="3"/>
  <c r="M50" i="3" s="1"/>
  <c r="N50" i="3"/>
  <c r="N54" i="3" s="1"/>
  <c r="N3" i="3"/>
  <c r="M58" i="3"/>
  <c r="T23" i="7"/>
  <c r="V23" i="7" s="1"/>
  <c r="AR51" i="7"/>
  <c r="AS23" i="7"/>
  <c r="AT23" i="7"/>
  <c r="Y26" i="3"/>
  <c r="R3" i="3"/>
  <c r="AF23" i="7"/>
  <c r="AH23" i="7" s="1"/>
  <c r="S22" i="3"/>
  <c r="AO23" i="7"/>
  <c r="AN51" i="7"/>
  <c r="AP23" i="7"/>
  <c r="W26" i="3"/>
  <c r="I57" i="3"/>
  <c r="H58" i="3"/>
  <c r="I58" i="3" s="1"/>
  <c r="AG27" i="7"/>
  <c r="AH27" i="7"/>
  <c r="AJ51" i="7"/>
  <c r="AL23" i="7"/>
  <c r="U26" i="3"/>
  <c r="AB51" i="7"/>
  <c r="AD23" i="7"/>
  <c r="S26" i="3"/>
  <c r="Q26" i="3"/>
  <c r="Z27" i="7"/>
  <c r="Y27" i="7"/>
  <c r="O26" i="3"/>
  <c r="U52" i="7"/>
  <c r="U55" i="7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4" i="1"/>
  <c r="J6" i="4"/>
  <c r="J5" i="4" s="1"/>
  <c r="J24" i="4" s="1"/>
  <c r="J27" i="4" s="1"/>
  <c r="T54" i="3"/>
  <c r="U54" i="3" s="1"/>
  <c r="T5" i="3"/>
  <c r="L6" i="4"/>
  <c r="L5" i="4" s="1"/>
  <c r="L24" i="4" s="1"/>
  <c r="L27" i="4" s="1"/>
  <c r="P5" i="3"/>
  <c r="P54" i="3"/>
  <c r="Q54" i="3" s="1"/>
  <c r="E64" i="1"/>
  <c r="G6" i="4"/>
  <c r="G5" i="4" s="1"/>
  <c r="G24" i="4" s="1"/>
  <c r="G27" i="4" s="1"/>
  <c r="X5" i="3"/>
  <c r="X54" i="3"/>
  <c r="Y54" i="3" s="1"/>
  <c r="M64" i="1"/>
  <c r="O6" i="4"/>
  <c r="O5" i="4" s="1"/>
  <c r="O24" i="4" s="1"/>
  <c r="O27" i="4" s="1"/>
  <c r="F64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4" i="1"/>
  <c r="I6" i="4"/>
  <c r="I5" i="4" s="1"/>
  <c r="I24" i="4" s="1"/>
  <c r="I27" i="4" s="1"/>
  <c r="J5" i="3"/>
  <c r="J54" i="3"/>
  <c r="K62" i="1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6" i="1"/>
  <c r="O47" i="1"/>
  <c r="O48" i="1"/>
  <c r="O49" i="1"/>
  <c r="O50" i="1"/>
  <c r="O51" i="1"/>
  <c r="O52" i="1"/>
  <c r="O53" i="1"/>
  <c r="O54" i="1"/>
  <c r="O55" i="1"/>
  <c r="O57" i="1"/>
  <c r="O58" i="1"/>
  <c r="O59" i="1"/>
  <c r="O60" i="1"/>
  <c r="O61" i="1"/>
  <c r="O63" i="1"/>
  <c r="O3" i="1"/>
  <c r="L1" i="1"/>
  <c r="V9" i="3" s="1"/>
  <c r="M1" i="1"/>
  <c r="X9" i="3" s="1"/>
  <c r="L54" i="3" l="1"/>
  <c r="M54" i="3" s="1"/>
  <c r="L5" i="3"/>
  <c r="T51" i="7"/>
  <c r="V51" i="7" s="1"/>
  <c r="O50" i="3"/>
  <c r="X51" i="7"/>
  <c r="Z51" i="7" s="1"/>
  <c r="N5" i="3"/>
  <c r="AQ9" i="7"/>
  <c r="AF51" i="7"/>
  <c r="AF55" i="7" s="1"/>
  <c r="AH55" i="7" s="1"/>
  <c r="AS51" i="7"/>
  <c r="AR55" i="7"/>
  <c r="AT51" i="7"/>
  <c r="BA11" i="7"/>
  <c r="AN55" i="7"/>
  <c r="AO51" i="7"/>
  <c r="AP51" i="7"/>
  <c r="AM9" i="7"/>
  <c r="AJ55" i="7"/>
  <c r="AL51" i="7"/>
  <c r="AB55" i="7"/>
  <c r="AD51" i="7"/>
  <c r="O54" i="3"/>
  <c r="X55" i="7"/>
  <c r="Z55" i="7" s="1"/>
  <c r="K54" i="3"/>
  <c r="P55" i="7"/>
  <c r="R55" i="7" s="1"/>
  <c r="I54" i="3"/>
  <c r="L55" i="7"/>
  <c r="N55" i="7" s="1"/>
  <c r="H6" i="3"/>
  <c r="X6" i="3"/>
  <c r="K64" i="1"/>
  <c r="M6" i="4"/>
  <c r="M5" i="4" s="1"/>
  <c r="M24" i="4" s="1"/>
  <c r="M27" i="4" s="1"/>
  <c r="J6" i="3"/>
  <c r="V6" i="3"/>
  <c r="T6" i="3"/>
  <c r="P6" i="3"/>
  <c r="R6" i="3"/>
  <c r="N6" i="3"/>
  <c r="O44" i="1"/>
  <c r="O56" i="1"/>
  <c r="O45" i="1"/>
  <c r="T55" i="7" l="1"/>
  <c r="V55" i="7" s="1"/>
  <c r="L6" i="3"/>
  <c r="AH51" i="7"/>
  <c r="AS55" i="7"/>
  <c r="AT55" i="7"/>
  <c r="AO55" i="7"/>
  <c r="AP55" i="7"/>
  <c r="AL55" i="7"/>
  <c r="AD55" i="7"/>
  <c r="O62" i="1"/>
  <c r="O64" i="1"/>
  <c r="D16" i="3"/>
  <c r="D17" i="7" s="1"/>
  <c r="O1" i="5"/>
  <c r="P4" i="4" s="1"/>
  <c r="N1" i="5"/>
  <c r="O4" i="4" s="1"/>
  <c r="M1" i="5"/>
  <c r="N4" i="4" s="1"/>
  <c r="D1" i="1"/>
  <c r="F9" i="3" s="1"/>
  <c r="G9" i="7" s="1"/>
  <c r="E1" i="1"/>
  <c r="H9" i="3" s="1"/>
  <c r="K9" i="7" s="1"/>
  <c r="F1" i="1"/>
  <c r="J9" i="3" s="1"/>
  <c r="G1" i="1"/>
  <c r="L9" i="3" s="1"/>
  <c r="S9" i="7" s="1"/>
  <c r="H1" i="1"/>
  <c r="N9" i="3" s="1"/>
  <c r="I1" i="1"/>
  <c r="P9" i="3" s="1"/>
  <c r="J1" i="1"/>
  <c r="R9" i="3" s="1"/>
  <c r="K1" i="1"/>
  <c r="T9" i="3" s="1"/>
  <c r="N1" i="1"/>
  <c r="Z9" i="3" s="1"/>
  <c r="C1" i="1"/>
  <c r="D9" i="3" s="1"/>
  <c r="C9" i="7" s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F4" i="4"/>
  <c r="E4" i="4"/>
  <c r="E8" i="4"/>
  <c r="E15" i="4" s="1"/>
  <c r="E6" i="4"/>
  <c r="B4" i="4"/>
  <c r="E18" i="3"/>
  <c r="C18" i="3"/>
  <c r="C24" i="3" s="1"/>
  <c r="C20" i="3"/>
  <c r="C26" i="3" s="1"/>
  <c r="C17" i="3"/>
  <c r="C23" i="3" s="1"/>
  <c r="F24" i="3"/>
  <c r="H25" i="7" s="1"/>
  <c r="AU9" i="7" l="1"/>
  <c r="AE9" i="7"/>
  <c r="W9" i="7"/>
  <c r="AA9" i="7"/>
  <c r="AI9" i="7"/>
  <c r="BA17" i="7"/>
  <c r="O9" i="7"/>
  <c r="I25" i="7"/>
  <c r="J25" i="7"/>
  <c r="BB17" i="7"/>
  <c r="D23" i="7"/>
  <c r="F17" i="7"/>
  <c r="G24" i="3"/>
  <c r="F57" i="3"/>
  <c r="F58" i="3" s="1"/>
  <c r="G58" i="3" s="1"/>
  <c r="D57" i="3"/>
  <c r="D58" i="3" s="1"/>
  <c r="D21" i="7"/>
  <c r="E17" i="3"/>
  <c r="E26" i="4"/>
  <c r="E29" i="4" s="1"/>
  <c r="G20" i="3"/>
  <c r="E22" i="4"/>
  <c r="F23" i="3"/>
  <c r="H24" i="7" s="1"/>
  <c r="D24" i="3"/>
  <c r="D25" i="7" s="1"/>
  <c r="D23" i="3"/>
  <c r="D24" i="7" s="1"/>
  <c r="AB58" i="3" l="1"/>
  <c r="BA24" i="7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6" i="7" s="1"/>
  <c r="E52" i="7"/>
  <c r="BB21" i="7"/>
  <c r="D55" i="7"/>
  <c r="D52" i="7"/>
  <c r="F51" i="7"/>
  <c r="BB25" i="7"/>
  <c r="BB24" i="7"/>
  <c r="E5" i="4"/>
  <c r="E24" i="4" s="1"/>
  <c r="E27" i="4" s="1"/>
  <c r="F52" i="7" l="1"/>
  <c r="D56" i="7"/>
  <c r="F56" i="7" s="1"/>
  <c r="F55" i="7"/>
  <c r="D26" i="3"/>
  <c r="D27" i="7" s="1"/>
  <c r="D59" i="3"/>
  <c r="E20" i="3"/>
  <c r="E58" i="3" l="1"/>
  <c r="AB59" i="3"/>
  <c r="AC58" i="3" s="1"/>
  <c r="E27" i="7"/>
  <c r="F27" i="7"/>
  <c r="E26" i="3"/>
  <c r="D2" i="3"/>
  <c r="E52" i="3"/>
  <c r="E43" i="3"/>
  <c r="E30" i="3"/>
  <c r="E37" i="3"/>
  <c r="E28" i="3"/>
  <c r="E35" i="3"/>
  <c r="E36" i="3"/>
  <c r="E46" i="3"/>
  <c r="E57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H27" i="7" s="1"/>
  <c r="BA27" i="7" l="1"/>
  <c r="I27" i="7"/>
  <c r="J27" i="7"/>
  <c r="D6" i="3"/>
  <c r="G26" i="3"/>
  <c r="F2" i="3"/>
  <c r="G44" i="3"/>
  <c r="G38" i="3"/>
  <c r="G32" i="3"/>
  <c r="G15" i="3"/>
  <c r="G46" i="3"/>
  <c r="G57" i="3"/>
  <c r="G49" i="3"/>
  <c r="G43" i="3"/>
  <c r="G37" i="3"/>
  <c r="G31" i="3"/>
  <c r="G13" i="3"/>
  <c r="G34" i="3"/>
  <c r="G10" i="3"/>
  <c r="G39" i="3"/>
  <c r="G33" i="3"/>
  <c r="G48" i="3"/>
  <c r="G42" i="3"/>
  <c r="G36" i="3"/>
  <c r="G30" i="3"/>
  <c r="G12" i="3"/>
  <c r="G53" i="3"/>
  <c r="G28" i="3"/>
  <c r="G52" i="3"/>
  <c r="G14" i="3"/>
  <c r="G47" i="3"/>
  <c r="G41" i="3"/>
  <c r="G35" i="3"/>
  <c r="G29" i="3"/>
  <c r="G11" i="3"/>
  <c r="G40" i="3"/>
  <c r="G16" i="3"/>
  <c r="G45" i="3"/>
  <c r="E54" i="3"/>
  <c r="D55" i="3"/>
  <c r="F22" i="3"/>
  <c r="H23" i="7" s="1"/>
  <c r="BA23" i="7" l="1"/>
  <c r="BB27" i="7"/>
  <c r="J23" i="7"/>
  <c r="F3" i="3"/>
  <c r="G22" i="3"/>
  <c r="F50" i="3"/>
  <c r="H51" i="7" l="1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BB23" i="7"/>
  <c r="F5" i="3"/>
  <c r="G50" i="3"/>
  <c r="F54" i="3"/>
  <c r="H55" i="7" s="1"/>
  <c r="J51" i="7" l="1"/>
  <c r="H52" i="7"/>
  <c r="BA55" i="7"/>
  <c r="J55" i="7"/>
  <c r="H56" i="7"/>
  <c r="L56" i="7" s="1"/>
  <c r="G54" i="3"/>
  <c r="F55" i="3"/>
  <c r="H55" i="3" s="1"/>
  <c r="F6" i="3"/>
  <c r="BA51" i="7" l="1"/>
  <c r="L52" i="7"/>
  <c r="P52" i="7" s="1"/>
  <c r="T52" i="7" s="1"/>
  <c r="X52" i="7" s="1"/>
  <c r="AB52" i="7" s="1"/>
  <c r="AF52" i="7" s="1"/>
  <c r="AJ52" i="7" s="1"/>
  <c r="AN52" i="7" s="1"/>
  <c r="AR52" i="7" s="1"/>
  <c r="AV52" i="7" s="1"/>
  <c r="AX52" i="7" s="1"/>
  <c r="J52" i="7"/>
  <c r="BB51" i="7"/>
  <c r="BB55" i="7"/>
  <c r="J55" i="3"/>
  <c r="J56" i="7"/>
  <c r="N52" i="7" l="1"/>
  <c r="AW52" i="7"/>
  <c r="R52" i="7"/>
  <c r="V52" i="7"/>
  <c r="P56" i="7"/>
  <c r="R56" i="7" s="1"/>
  <c r="L55" i="3"/>
  <c r="N55" i="3" s="1"/>
  <c r="P55" i="3" s="1"/>
  <c r="R55" i="3" s="1"/>
  <c r="T55" i="3" s="1"/>
  <c r="V55" i="3" s="1"/>
  <c r="X55" i="3" s="1"/>
  <c r="Z55" i="3" s="1"/>
  <c r="BB56" i="7"/>
  <c r="N56" i="7"/>
  <c r="Q56" i="7" l="1"/>
  <c r="T56" i="7"/>
  <c r="X56" i="7" s="1"/>
  <c r="AB56" i="7" s="1"/>
  <c r="AC56" i="7" s="1"/>
  <c r="AD52" i="7"/>
  <c r="AC52" i="7"/>
  <c r="Y52" i="7"/>
  <c r="Z52" i="7"/>
  <c r="AD56" i="7" l="1"/>
  <c r="AF56" i="7"/>
  <c r="AJ56" i="7" s="1"/>
  <c r="AN56" i="7" s="1"/>
  <c r="AR56" i="7" s="1"/>
  <c r="AV56" i="7" s="1"/>
  <c r="AW56" i="7" s="1"/>
  <c r="V56" i="7"/>
  <c r="U56" i="7"/>
  <c r="AG52" i="7"/>
  <c r="AH52" i="7"/>
  <c r="Z56" i="7"/>
  <c r="Y56" i="7"/>
  <c r="AP56" i="7" l="1"/>
  <c r="AT56" i="7"/>
  <c r="AO56" i="7"/>
  <c r="AX56" i="7"/>
  <c r="AH56" i="7"/>
  <c r="AS56" i="7"/>
  <c r="AG56" i="7"/>
  <c r="AL56" i="7"/>
  <c r="AK56" i="7"/>
  <c r="AO52" i="7"/>
  <c r="AP52" i="7"/>
  <c r="BB52" i="7"/>
  <c r="AK52" i="7"/>
  <c r="AL52" i="7"/>
  <c r="AS52" i="7" l="1"/>
  <c r="AT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B17" authorId="0" shapeId="0" xr:uid="{00000000-0006-0000-06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7-12累計実績68%</t>
        </r>
      </text>
    </comment>
  </commentList>
</comments>
</file>

<file path=xl/sharedStrings.xml><?xml version="1.0" encoding="utf-8"?>
<sst xmlns="http://schemas.openxmlformats.org/spreadsheetml/2006/main" count="729" uniqueCount="501">
  <si>
    <t>勘定科目</t>
  </si>
  <si>
    <t>7月</t>
  </si>
  <si>
    <t>8月</t>
  </si>
  <si>
    <t>売上高</t>
  </si>
  <si>
    <t>レストラン売上</t>
  </si>
  <si>
    <t>その他売上</t>
  </si>
  <si>
    <t>売上高合計</t>
  </si>
  <si>
    <t>売上原価</t>
  </si>
  <si>
    <t>期首商品棚卸高</t>
  </si>
  <si>
    <t>飲料仕入</t>
  </si>
  <si>
    <t>食材仕入</t>
  </si>
  <si>
    <t>期末商品棚卸高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</si>
  <si>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</si>
  <si>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</si>
  <si>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</si>
  <si>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</si>
  <si>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</si>
  <si>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</si>
  <si>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</si>
  <si>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</si>
  <si>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</si>
  <si>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</si>
  <si>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</si>
  <si>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</si>
  <si>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</si>
  <si>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</si>
  <si>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</si>
  <si>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</si>
  <si>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</si>
  <si>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</si>
  <si>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</si>
  <si>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</si>
  <si>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</si>
  <si>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</si>
  <si>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</si>
  <si>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</si>
  <si>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</si>
  <si>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</si>
  <si>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</si>
  <si>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</si>
  <si>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</si>
  <si>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</si>
  <si>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</si>
  <si>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</si>
  <si>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</si>
  <si>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</si>
  <si>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</si>
  <si>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</si>
  <si>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</si>
  <si>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</si>
  <si>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</si>
  <si>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</si>
  <si>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</si>
  <si>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</si>
  <si>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</si>
  <si>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</si>
  <si>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</si>
  <si>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</si>
  <si>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</si>
  <si>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</si>
  <si>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小口現金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</si>
  <si>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</si>
  <si>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</si>
  <si>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</si>
  <si>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</si>
  <si>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</si>
  <si>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</si>
  <si>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</si>
  <si>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</si>
  <si>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</si>
  <si>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</si>
  <si>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</si>
  <si>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</si>
  <si>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</si>
  <si>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</si>
  <si>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</si>
  <si>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</si>
  <si>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</si>
  <si>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附属設備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</si>
  <si>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</si>
  <si>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</si>
  <si>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</si>
  <si>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</si>
  <si>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</si>
  <si>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</si>
  <si>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</si>
  <si>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</si>
  <si>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保険積立金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</si>
  <si>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</si>
  <si>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</si>
  <si>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</si>
  <si>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</si>
  <si>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</si>
  <si>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</si>
  <si>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</si>
  <si>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</si>
  <si>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</si>
  <si>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</si>
  <si>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</si>
  <si>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</si>
  <si>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</si>
  <si>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</si>
  <si>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</si>
  <si>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前受金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</si>
  <si>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</si>
  <si>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</si>
  <si>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</si>
  <si>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</si>
  <si>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</si>
  <si>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</si>
  <si>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</si>
  <si>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</si>
  <si>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</si>
  <si>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</si>
  <si>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</si>
  <si>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</si>
  <si>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</si>
  <si>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</si>
  <si>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</si>
  <si>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</si>
  <si>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</si>
  <si>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</si>
  <si>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</si>
  <si>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</si>
  <si>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</si>
  <si>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</si>
  <si>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</si>
  <si>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</si>
  <si>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</si>
  <si>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</si>
  <si>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</si>
  <si>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</si>
  <si>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</si>
  <si>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</si>
  <si>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</si>
  <si>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</si>
  <si>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</si>
  <si>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</si>
  <si>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</si>
  <si>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村</t>
    <rPh sb="0" eb="1">
      <t>ムラ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</si>
  <si>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</si>
  <si>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</si>
  <si>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</si>
  <si>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</si>
  <si>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</si>
  <si>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</si>
  <si>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</si>
  <si>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</si>
  <si>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</si>
  <si>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</si>
  <si>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</si>
  <si>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</si>
  <si>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</si>
  <si>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㈱ｅｓエンターテイメント</t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</si>
  <si>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</si>
  <si>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</si>
  <si>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</si>
  <si>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</si>
  <si>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</si>
  <si>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</si>
  <si>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</si>
  <si>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</si>
  <si>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</si>
  <si>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</si>
  <si>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</si>
  <si>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</si>
  <si>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</si>
  <si>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</si>
  <si>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</si>
  <si>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</si>
  <si>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</si>
  <si>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</si>
  <si>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</si>
  <si>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</si>
  <si>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</si>
  <si>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</si>
  <si>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</si>
  <si>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</si>
  <si>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</si>
  <si>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</si>
  <si>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</si>
  <si>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</si>
  <si>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</si>
  <si>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9月</t>
  </si>
  <si>
    <t>開発費</t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</si>
  <si>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</si>
  <si>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</si>
  <si>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</si>
  <si>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</si>
  <si>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仕入値引</t>
    <rPh sb="0" eb="4">
      <t>シイレネビ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</si>
  <si>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</si>
  <si>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</si>
  <si>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</si>
  <si>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</si>
  <si>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</si>
  <si>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</si>
  <si>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</si>
  <si>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FL</t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</si>
  <si>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</si>
  <si>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</si>
  <si>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</si>
  <si>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</si>
  <si>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</si>
  <si>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</si>
  <si>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</si>
  <si>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10月</t>
  </si>
  <si>
    <t>長期前払費用</t>
  </si>
  <si>
    <t>仮払金</t>
    <rPh sb="0" eb="2">
      <t>カリバライ</t>
    </rPh>
    <rPh sb="2" eb="3">
      <t>キン</t>
    </rPh>
    <phoneticPr fontId="1"/>
  </si>
  <si>
    <t>[B/S CK]</t>
    <phoneticPr fontId="1"/>
  </si>
  <si>
    <t>12月</t>
  </si>
  <si>
    <t>11月</t>
  </si>
  <si>
    <t>1月</t>
  </si>
  <si>
    <t>給料賃金</t>
  </si>
  <si>
    <t>予算検討</t>
    <rPh sb="0" eb="2">
      <t>ヨサン</t>
    </rPh>
    <rPh sb="2" eb="4">
      <t>ケントウ</t>
    </rPh>
    <phoneticPr fontId="1"/>
  </si>
  <si>
    <t>2月</t>
  </si>
  <si>
    <t>経常利益</t>
    <rPh sb="0" eb="4">
      <t>ケイジョウリエキ</t>
    </rPh>
    <phoneticPr fontId="1"/>
  </si>
  <si>
    <t>5月</t>
  </si>
  <si>
    <t>6月</t>
  </si>
  <si>
    <t>未収入金</t>
    <rPh sb="0" eb="4">
      <t>ミシュウニュウキン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</si>
  <si>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</si>
  <si>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</si>
  <si>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</si>
  <si>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</si>
  <si>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村売上</t>
    <rPh sb="0" eb="3">
      <t>ムラウリアゲ</t>
    </rPh>
    <phoneticPr fontId="1"/>
  </si>
  <si>
    <t>恵愛</t>
  </si>
  <si>
    <t>恵愛</t>
    <rPh sb="0" eb="2">
      <t>ケイアイ</t>
    </rPh>
    <phoneticPr fontId="1"/>
  </si>
  <si>
    <t>弁当</t>
    <rPh sb="0" eb="2">
      <t>ベントウ</t>
    </rPh>
    <phoneticPr fontId="1"/>
  </si>
  <si>
    <t>サウナ</t>
    <phoneticPr fontId="1"/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</si>
  <si>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</si>
  <si>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</si>
  <si>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</si>
  <si>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</si>
  <si>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</si>
  <si>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</si>
  <si>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</si>
  <si>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</si>
  <si>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</si>
  <si>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</si>
  <si>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</si>
  <si>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</si>
  <si>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</si>
  <si>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</si>
  <si>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</si>
  <si>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</si>
  <si>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</si>
  <si>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</si>
  <si>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</si>
  <si>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</si>
  <si>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</si>
  <si>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R7.08</t>
  </si>
  <si>
    <t>R7.09</t>
  </si>
  <si>
    <t>R7.10</t>
  </si>
  <si>
    <t>R7.11</t>
  </si>
  <si>
    <t>R7.12</t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</si>
  <si>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</si>
  <si>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</si>
  <si>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</si>
  <si>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</si>
  <si>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村</t>
    <rPh sb="0" eb="1">
      <t>ムラ</t>
    </rPh>
    <phoneticPr fontId="53"/>
  </si>
  <si>
    <t>弁当事業</t>
    <rPh sb="0" eb="2">
      <t>ベントウ</t>
    </rPh>
    <rPh sb="2" eb="4">
      <t>ジギョウ</t>
    </rPh>
    <phoneticPr fontId="53"/>
  </si>
  <si>
    <t>シェア</t>
    <phoneticPr fontId="53"/>
  </si>
  <si>
    <t>サウナ</t>
    <phoneticPr fontId="53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</si>
  <si>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</si>
  <si>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</si>
  <si>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t>本部</t>
    <rPh sb="0" eb="2">
      <t>ホンブ</t>
    </rPh>
    <phoneticPr fontId="53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</si>
  <si>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</si>
  <si>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</si>
  <si>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</si>
  <si>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</si>
  <si>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</si>
  <si>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</si>
  <si>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</si>
  <si>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</si>
  <si>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役員報酬</t>
    <rPh sb="0" eb="2">
      <t>ヤクイン</t>
    </rPh>
    <rPh sb="2" eb="4">
      <t>ホウシュウ</t>
    </rPh>
    <phoneticPr fontId="53"/>
  </si>
  <si>
    <t>給与手当</t>
    <rPh sb="0" eb="2">
      <t>キュウヨ</t>
    </rPh>
    <rPh sb="2" eb="4">
      <t>テアテ</t>
    </rPh>
    <phoneticPr fontId="53"/>
  </si>
  <si>
    <t>＊＊＊＊</t>
    <phoneticPr fontId="47"/>
  </si>
  <si>
    <t>雑給</t>
    <rPh sb="0" eb="2">
      <t>ザッキュウ</t>
    </rPh>
    <phoneticPr fontId="53"/>
  </si>
  <si>
    <t>法定福利費</t>
    <rPh sb="0" eb="2">
      <t>ホウテイ</t>
    </rPh>
    <rPh sb="2" eb="4">
      <t>フクリ</t>
    </rPh>
    <rPh sb="4" eb="5">
      <t>ヒ</t>
    </rPh>
    <phoneticPr fontId="53"/>
  </si>
  <si>
    <t>福利厚生費</t>
    <rPh sb="0" eb="2">
      <t>フクリ</t>
    </rPh>
    <rPh sb="2" eb="5">
      <t>コウセイヒ</t>
    </rPh>
    <phoneticPr fontId="53"/>
  </si>
  <si>
    <t>業務委託費（グループ）</t>
    <rPh sb="0" eb="2">
      <t>ギョウム</t>
    </rPh>
    <rPh sb="2" eb="4">
      <t>イタク</t>
    </rPh>
    <rPh sb="4" eb="5">
      <t>ヒ</t>
    </rPh>
    <phoneticPr fontId="53"/>
  </si>
  <si>
    <t>労務委託費（個人）</t>
    <rPh sb="0" eb="2">
      <t>ロウム</t>
    </rPh>
    <rPh sb="2" eb="4">
      <t>イタク</t>
    </rPh>
    <rPh sb="4" eb="5">
      <t>ヒ</t>
    </rPh>
    <rPh sb="6" eb="8">
      <t>コジン</t>
    </rPh>
    <phoneticPr fontId="53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</si>
  <si>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</si>
  <si>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</si>
  <si>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</si>
  <si>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</si>
  <si>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</si>
  <si>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</si>
  <si>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</si>
  <si>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</si>
  <si>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</si>
  <si>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</si>
  <si>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</si>
  <si>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</si>
  <si>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</si>
  <si>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</si>
  <si>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</si>
  <si>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</si>
  <si>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</si>
  <si>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</si>
  <si>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</si>
  <si>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</si>
  <si>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</si>
  <si>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</si>
  <si>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</si>
  <si>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</si>
  <si>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</si>
  <si>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</si>
  <si>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</si>
  <si>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</si>
  <si>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</si>
  <si>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</si>
  <si>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</si>
  <si>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</si>
  <si>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</si>
  <si>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</si>
  <si>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</si>
  <si>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</si>
  <si>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</si>
  <si>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</si>
  <si>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</si>
  <si>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</si>
  <si>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</si>
  <si>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</si>
  <si>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</si>
  <si>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</si>
  <si>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</si>
  <si>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</si>
  <si>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</si>
  <si>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</si>
  <si>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</si>
  <si>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</si>
  <si>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</si>
  <si>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</si>
  <si>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</si>
  <si>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t>立替金</t>
    <rPh sb="0" eb="3">
      <t>タテカエキン</t>
    </rPh>
    <phoneticPr fontId="53"/>
  </si>
  <si>
    <t>仮払仮受消費税</t>
    <rPh sb="0" eb="2">
      <t>カリバラ</t>
    </rPh>
    <rPh sb="2" eb="4">
      <t>カリウケ</t>
    </rPh>
    <rPh sb="4" eb="7">
      <t>ショウヒゼイ</t>
    </rPh>
    <phoneticPr fontId="53"/>
  </si>
  <si>
    <r>
      <rPr>
        <sz val="10"/>
        <rFont val="ＭＳ Ｐゴシック"/>
        <family val="3"/>
        <charset val="128"/>
      </rPr>
      <t>長期借入金返済</t>
    </r>
    <rPh sb="0" eb="2">
      <t>チョウキ</t>
    </rPh>
    <rPh sb="2" eb="4">
      <t>カリイレ</t>
    </rPh>
    <rPh sb="4" eb="5">
      <t>キン</t>
    </rPh>
    <rPh sb="5" eb="7">
      <t>ヘンサイ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</si>
  <si>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</si>
  <si>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</si>
  <si>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</si>
  <si>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</si>
  <si>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</si>
  <si>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</si>
  <si>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</si>
  <si>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</si>
  <si>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</si>
  <si>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</si>
  <si>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</si>
  <si>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</si>
  <si>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</si>
  <si>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</si>
  <si>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日本政策金融公庫③2021/03</t>
    <rPh sb="0" eb="2">
      <t>ニホン</t>
    </rPh>
    <rPh sb="2" eb="4">
      <t>セイサク</t>
    </rPh>
    <rPh sb="4" eb="6">
      <t>キンユウ</t>
    </rPh>
    <rPh sb="6" eb="8">
      <t>コウコ</t>
    </rPh>
    <phoneticPr fontId="53"/>
  </si>
  <si>
    <t>商工中金</t>
    <rPh sb="0" eb="4">
      <t>ショウコウチュウキン</t>
    </rPh>
    <phoneticPr fontId="53"/>
  </si>
  <si>
    <t>R6.3/31開始</t>
    <rPh sb="7" eb="9">
      <t>カイシ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</si>
  <si>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</si>
  <si>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</si>
  <si>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</si>
  <si>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</si>
  <si>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</si>
  <si>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</si>
  <si>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</si>
  <si>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</si>
  <si>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</si>
  <si>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</si>
  <si>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</si>
  <si>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</si>
  <si>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</si>
  <si>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</si>
  <si>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</si>
  <si>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シェア</t>
    <phoneticPr fontId="44"/>
  </si>
  <si>
    <t>シェア</t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</si>
  <si>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</si>
  <si>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</si>
  <si>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</si>
  <si>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</si>
  <si>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</si>
  <si>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</si>
  <si>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</si>
  <si>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</si>
  <si>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</si>
  <si>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売上高</t>
    <rPh sb="0" eb="3">
      <t>ウリアゲダカ</t>
    </rPh>
    <phoneticPr fontId="44"/>
  </si>
  <si>
    <t>弁当受注減</t>
    <rPh sb="0" eb="2">
      <t>ベントウ</t>
    </rPh>
    <rPh sb="2" eb="5">
      <t>ジュチュウゲン</t>
    </rPh>
    <phoneticPr fontId="44"/>
  </si>
  <si>
    <t>レストラン売上</t>
    <rPh sb="5" eb="7">
      <t>ウリアゲ</t>
    </rPh>
    <phoneticPr fontId="44"/>
  </si>
  <si>
    <t>原価率</t>
    <rPh sb="0" eb="3">
      <t>ゲンカリツ</t>
    </rPh>
    <phoneticPr fontId="44"/>
  </si>
  <si>
    <t>対相乗積</t>
    <rPh sb="0" eb="4">
      <t>タイソウジョウセキ</t>
    </rPh>
    <phoneticPr fontId="44"/>
  </si>
  <si>
    <t>ﾚｽﾄﾗﾝ</t>
    <phoneticPr fontId="44"/>
  </si>
  <si>
    <t>村</t>
    <rPh sb="0" eb="1">
      <t>ムラ</t>
    </rPh>
    <phoneticPr fontId="44"/>
  </si>
  <si>
    <t>弁当事業</t>
    <rPh sb="0" eb="4">
      <t>ベントウジギョウ</t>
    </rPh>
    <phoneticPr fontId="44"/>
  </si>
  <si>
    <t>租税公課</t>
    <rPh sb="0" eb="4">
      <t>ソゼイコウカ</t>
    </rPh>
    <phoneticPr fontId="44"/>
  </si>
  <si>
    <t>償却資産税</t>
    <rPh sb="0" eb="5">
      <t>ショウキャクシサンゼイ</t>
    </rPh>
    <phoneticPr fontId="44"/>
  </si>
  <si>
    <t>広告宣伝費</t>
    <rPh sb="0" eb="5">
      <t>コウコクセンデンヒ</t>
    </rPh>
    <phoneticPr fontId="44"/>
  </si>
  <si>
    <t>ﾗｲﾌﾜｰｸ</t>
    <phoneticPr fontId="44"/>
  </si>
  <si>
    <t>SNS運用費</t>
    <rPh sb="3" eb="5">
      <t>ウンヨウ</t>
    </rPh>
    <rPh sb="5" eb="6">
      <t>ヒ</t>
    </rPh>
    <phoneticPr fontId="44"/>
  </si>
  <si>
    <t>ﾗｲﾌﾜｰｸ</t>
  </si>
  <si>
    <t>水道光熱費</t>
    <rPh sb="0" eb="5">
      <t>スイドウコウネツヒ</t>
    </rPh>
    <phoneticPr fontId="44"/>
  </si>
  <si>
    <t>冬季特殊要因？</t>
    <rPh sb="0" eb="2">
      <t>トウキ</t>
    </rPh>
    <rPh sb="2" eb="6">
      <t>トクシュヨウイン</t>
    </rPh>
    <phoneticPr fontId="44"/>
  </si>
  <si>
    <t>SNS運用費</t>
  </si>
  <si>
    <t>人件費</t>
    <rPh sb="0" eb="3">
      <t>ジンケンヒ</t>
    </rPh>
    <phoneticPr fontId="44"/>
  </si>
  <si>
    <t>設定比</t>
    <rPh sb="0" eb="2">
      <t>セッテイ</t>
    </rPh>
    <rPh sb="2" eb="3">
      <t>ヒ</t>
    </rPh>
    <phoneticPr fontId="44"/>
  </si>
  <si>
    <t>FL(除くサウナ)</t>
    <rPh sb="3" eb="4">
      <t>ノゾ</t>
    </rPh>
    <phoneticPr fontId="1"/>
  </si>
  <si>
    <t>売上(除くサウナ・家賃)</t>
    <rPh sb="0" eb="2">
      <t>ウリアゲ</t>
    </rPh>
    <rPh sb="3" eb="4">
      <t>ノゾ</t>
    </rPh>
    <rPh sb="9" eb="11">
      <t>ヤチン</t>
    </rPh>
    <phoneticPr fontId="1"/>
  </si>
  <si>
    <t>サウナ</t>
    <phoneticPr fontId="44"/>
  </si>
  <si>
    <t>助成金</t>
    <rPh sb="0" eb="3">
      <t>ジョセイキン</t>
    </rPh>
    <phoneticPr fontId="44"/>
  </si>
  <si>
    <t>手入力</t>
    <rPh sb="0" eb="1">
      <t>テ</t>
    </rPh>
    <rPh sb="1" eb="3">
      <t>ニュウリョク</t>
    </rPh>
    <phoneticPr fontId="53"/>
  </si>
  <si>
    <t>R7.07</t>
    <phoneticPr fontId="53"/>
  </si>
  <si>
    <t>R8.01</t>
    <phoneticPr fontId="53"/>
  </si>
  <si>
    <t>R8.02</t>
  </si>
  <si>
    <t>R8.03</t>
  </si>
  <si>
    <t>R8.04</t>
  </si>
  <si>
    <t>R8.05</t>
  </si>
  <si>
    <t>R8.06</t>
  </si>
  <si>
    <t>R8.07</t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</si>
  <si>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</si>
  <si>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</si>
  <si>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</si>
  <si>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</si>
  <si>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</si>
  <si>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</si>
  <si>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</si>
  <si>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</si>
  <si>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</si>
  <si>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投資・株式</t>
    <rPh sb="0" eb="2">
      <t>トウシ</t>
    </rPh>
    <rPh sb="3" eb="5">
      <t>カブシキ</t>
    </rPh>
    <phoneticPr fontId="56"/>
  </si>
  <si>
    <t>法人税予測</t>
    <rPh sb="0" eb="3">
      <t>ホウジンゼイ</t>
    </rPh>
    <rPh sb="3" eb="5">
      <t>ヨソク</t>
    </rPh>
    <phoneticPr fontId="47"/>
  </si>
  <si>
    <t>消費税予測</t>
    <rPh sb="0" eb="3">
      <t>ショウヒゼイ</t>
    </rPh>
    <rPh sb="3" eb="5">
      <t>ヨソク</t>
    </rPh>
    <phoneticPr fontId="47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</si>
  <si>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</si>
  <si>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2026.02.28開始初回のみ215,000円</t>
    <rPh sb="10" eb="12">
      <t>カイシ</t>
    </rPh>
    <rPh sb="12" eb="14">
      <t>ショカイ</t>
    </rPh>
    <rPh sb="23" eb="24">
      <t>エン</t>
    </rPh>
    <phoneticPr fontId="53"/>
  </si>
  <si>
    <t>北洋銀行①</t>
    <rPh sb="0" eb="2">
      <t>ホクヨウ</t>
    </rPh>
    <rPh sb="2" eb="4">
      <t>ギンコウ</t>
    </rPh>
    <phoneticPr fontId="53"/>
  </si>
  <si>
    <t>2026.11.02開始</t>
    <rPh sb="10" eb="12">
      <t>カイシ</t>
    </rPh>
    <phoneticPr fontId="53"/>
  </si>
  <si>
    <t>北洋銀行②</t>
    <rPh sb="0" eb="2">
      <t>ホクヨウ</t>
    </rPh>
    <rPh sb="2" eb="4">
      <t>ギンコウ</t>
    </rPh>
    <phoneticPr fontId="53"/>
  </si>
  <si>
    <t>2027.04.15開始</t>
    <rPh sb="10" eb="12">
      <t>カイシ</t>
    </rPh>
    <phoneticPr fontId="53"/>
  </si>
  <si>
    <t>北洋銀行③</t>
    <rPh sb="0" eb="2">
      <t>ホクヨウ</t>
    </rPh>
    <rPh sb="2" eb="4">
      <t>ギンコウ</t>
    </rPh>
    <phoneticPr fontId="53"/>
  </si>
  <si>
    <t>2027.04.22開始</t>
    <rPh sb="10" eb="12">
      <t>カイシ</t>
    </rPh>
    <phoneticPr fontId="53"/>
  </si>
  <si>
    <t>弁当受注増</t>
    <rPh sb="0" eb="2">
      <t>ベントウ</t>
    </rPh>
    <rPh sb="2" eb="4">
      <t>ジュチュウ</t>
    </rPh>
    <rPh sb="4" eb="5">
      <t>ゾウ</t>
    </rPh>
    <phoneticPr fontId="44"/>
  </si>
  <si>
    <t>+1.2p</t>
    <phoneticPr fontId="44"/>
  </si>
  <si>
    <t>+11.2p</t>
    <phoneticPr fontId="44"/>
  </si>
  <si>
    <t>△8.1%</t>
    <phoneticPr fontId="44"/>
  </si>
  <si>
    <t>△1.8p</t>
    <phoneticPr fontId="44"/>
  </si>
  <si>
    <t>対設定率</t>
    <rPh sb="0" eb="1">
      <t>タイ</t>
    </rPh>
    <rPh sb="1" eb="4">
      <t>セッテイリツ</t>
    </rPh>
    <phoneticPr fontId="44"/>
  </si>
  <si>
    <t>弁当</t>
    <rPh sb="0" eb="2">
      <t>ベントウ</t>
    </rPh>
    <phoneticPr fontId="44"/>
  </si>
  <si>
    <t>処理検討</t>
    <rPh sb="0" eb="4">
      <t>ショリケントウ</t>
    </rPh>
    <phoneticPr fontId="1"/>
  </si>
  <si>
    <t>△11.7p</t>
    <phoneticPr fontId="44"/>
  </si>
  <si>
    <t>除サウナ</t>
    <rPh sb="0" eb="1">
      <t>ジョ</t>
    </rPh>
    <phoneticPr fontId="44"/>
  </si>
  <si>
    <t>FL</t>
    <phoneticPr fontId="44"/>
  </si>
  <si>
    <t>除くサウナ</t>
    <rPh sb="0" eb="1">
      <t>ノゾ</t>
    </rPh>
    <phoneticPr fontId="44"/>
  </si>
  <si>
    <t>△2.9p</t>
    <phoneticPr fontId="44"/>
  </si>
  <si>
    <t>更新日</t>
    <rPh sb="0" eb="3">
      <t>コウシンビ</t>
    </rPh>
    <phoneticPr fontId="44"/>
  </si>
  <si>
    <t>△1.9p</t>
    <phoneticPr fontId="44"/>
  </si>
  <si>
    <t>＋5.8p</t>
    <phoneticPr fontId="44"/>
  </si>
  <si>
    <t>△2.3p</t>
    <phoneticPr fontId="44"/>
  </si>
  <si>
    <t>らくしふ利用料 8月から1年分 72</t>
    <rPh sb="4" eb="7">
      <t>リヨウリョウ</t>
    </rPh>
    <rPh sb="9" eb="10">
      <t>ガツ</t>
    </rPh>
    <rPh sb="13" eb="15">
      <t>ネンブン</t>
    </rPh>
    <phoneticPr fontId="1"/>
  </si>
  <si>
    <t>＋2.8p</t>
    <phoneticPr fontId="44"/>
  </si>
  <si>
    <t>+4.0p</t>
    <phoneticPr fontId="44"/>
  </si>
  <si>
    <t>助成金等</t>
    <rPh sb="0" eb="3">
      <t>ジョセイキン</t>
    </rPh>
    <rPh sb="3" eb="4">
      <t>ナド</t>
    </rPh>
    <phoneticPr fontId="1"/>
  </si>
  <si>
    <t>△0.6p</t>
    <phoneticPr fontId="44"/>
  </si>
  <si>
    <t>＋2.7p</t>
    <phoneticPr fontId="44"/>
  </si>
  <si>
    <t>+0.3p</t>
    <phoneticPr fontId="44"/>
  </si>
  <si>
    <t>23-40044</t>
    <phoneticPr fontId="44"/>
  </si>
  <si>
    <t>13-0000-001374</t>
    <phoneticPr fontId="44"/>
  </si>
  <si>
    <t>3344332-3444</t>
    <phoneticPr fontId="44"/>
  </si>
  <si>
    <t>3344332-3576</t>
    <phoneticPr fontId="44"/>
  </si>
  <si>
    <t>3344332-3574</t>
    <phoneticPr fontId="44"/>
  </si>
  <si>
    <t>3894103-2171</t>
    <phoneticPr fontId="44"/>
  </si>
  <si>
    <t>3878787-2420</t>
    <phoneticPr fontId="44"/>
  </si>
  <si>
    <t>弁当受注減</t>
  </si>
  <si>
    <t>原価率</t>
  </si>
  <si>
    <t>対相乗積</t>
  </si>
  <si>
    <t>ﾚｽﾄﾗﾝ</t>
  </si>
  <si>
    <t>-1.5p</t>
  </si>
  <si>
    <t>村</t>
  </si>
  <si>
    <t>+4.7p</t>
  </si>
  <si>
    <t>弁当事業</t>
  </si>
  <si>
    <t>11月平均</t>
  </si>
  <si>
    <t>償却資産税</t>
  </si>
  <si>
    <t>+0.4p</t>
    <phoneticPr fontId="44"/>
  </si>
  <si>
    <t>-0.8p</t>
    <phoneticPr fontId="44"/>
  </si>
  <si>
    <t>レストラン</t>
    <phoneticPr fontId="44"/>
  </si>
  <si>
    <t>対設定原価率</t>
    <rPh sb="0" eb="1">
      <t>タイ</t>
    </rPh>
    <rPh sb="1" eb="3">
      <t>セッテイ</t>
    </rPh>
    <rPh sb="3" eb="5">
      <t>ゲンカ</t>
    </rPh>
    <rPh sb="5" eb="6">
      <t>リツ</t>
    </rPh>
    <phoneticPr fontId="44"/>
  </si>
  <si>
    <t>+8.5p</t>
    <phoneticPr fontId="44"/>
  </si>
  <si>
    <t>支払手数料</t>
    <rPh sb="0" eb="5">
      <t>シハライテスウリョウ</t>
    </rPh>
    <phoneticPr fontId="44"/>
  </si>
  <si>
    <t>多言語対応費用</t>
    <rPh sb="0" eb="3">
      <t>タゲンゴ</t>
    </rPh>
    <rPh sb="3" eb="7">
      <t>タイオウヒヨウ</t>
    </rPh>
    <phoneticPr fontId="44"/>
  </si>
  <si>
    <t>全体予実比</t>
    <rPh sb="0" eb="2">
      <t>ゼンタイ</t>
    </rPh>
    <rPh sb="2" eb="4">
      <t>ヨジツ</t>
    </rPh>
    <rPh sb="4" eb="5">
      <t>ヒ</t>
    </rPh>
    <phoneticPr fontId="44"/>
  </si>
  <si>
    <t>レストラン</t>
  </si>
  <si>
    <t>-2.9p</t>
    <phoneticPr fontId="44"/>
  </si>
  <si>
    <t>人件費</t>
  </si>
  <si>
    <t>今期累計</t>
    <rPh sb="0" eb="4">
      <t>コンキルイケイ</t>
    </rPh>
    <phoneticPr fontId="44"/>
  </si>
  <si>
    <t>予実比</t>
    <rPh sb="0" eb="3">
      <t>ヨジツヒ</t>
    </rPh>
    <phoneticPr fontId="44"/>
  </si>
  <si>
    <t>雑収入</t>
    <rPh sb="0" eb="3">
      <t>ザツシュウニュウ</t>
    </rPh>
    <phoneticPr fontId="44"/>
  </si>
  <si>
    <t>税前利益差</t>
    <rPh sb="0" eb="5">
      <t>ゼイマエリエキサ</t>
    </rPh>
    <phoneticPr fontId="1"/>
  </si>
  <si>
    <t>全体予実比</t>
  </si>
  <si>
    <t>+6.1p</t>
    <phoneticPr fontId="44"/>
  </si>
  <si>
    <t>-1.3p</t>
    <phoneticPr fontId="44"/>
  </si>
  <si>
    <t>３月から計画比+傾向</t>
  </si>
  <si>
    <t>+2.2p</t>
    <phoneticPr fontId="44"/>
  </si>
  <si>
    <t>-0.6p</t>
    <phoneticPr fontId="44"/>
  </si>
  <si>
    <t>1-5月平均 68.5p</t>
    <rPh sb="3" eb="4">
      <t>ガツ</t>
    </rPh>
    <rPh sb="4" eb="6">
      <t>ヘイキン</t>
    </rPh>
    <phoneticPr fontId="44"/>
  </si>
  <si>
    <t>LW負担分</t>
    <rPh sb="2" eb="5">
      <t>フタンブン</t>
    </rPh>
    <phoneticPr fontId="44"/>
  </si>
  <si>
    <t>4-6月</t>
    <rPh sb="3" eb="4">
      <t>ガツ</t>
    </rPh>
    <phoneticPr fontId="44"/>
  </si>
  <si>
    <t>売上高計上、経費戻しか雑収入が相当</t>
    <rPh sb="0" eb="3">
      <t>ウリアゲダカ</t>
    </rPh>
    <rPh sb="3" eb="5">
      <t>ケイジョウ</t>
    </rPh>
    <rPh sb="6" eb="9">
      <t>ケイヒモド</t>
    </rPh>
    <rPh sb="11" eb="14">
      <t>ザツシュウニュウ</t>
    </rPh>
    <rPh sb="15" eb="17">
      <t>ソウトウ</t>
    </rPh>
    <phoneticPr fontId="44"/>
  </si>
  <si>
    <t>うち約20%はLW負担</t>
    <rPh sb="2" eb="3">
      <t>ヤク</t>
    </rPh>
    <rPh sb="9" eb="11">
      <t>フタン</t>
    </rPh>
    <phoneticPr fontId="44"/>
  </si>
  <si>
    <t>補助対象経費2,046千円含む</t>
    <rPh sb="0" eb="6">
      <t>ホジョタイショウケイヒ</t>
    </rPh>
    <rPh sb="11" eb="13">
      <t>センエン</t>
    </rPh>
    <rPh sb="13" eb="14">
      <t>フク</t>
    </rPh>
    <phoneticPr fontId="44"/>
  </si>
  <si>
    <t>LW回収</t>
    <rPh sb="2" eb="4">
      <t>カイシュウ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</si>
</sst>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</numFmts>
  <fonts count="69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color theme="0" tint="-0.499984740745262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7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0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1" applyNumberFormat="0" applyFont="0" applyAlignment="0" applyProtection="0">
      <alignment vertical="center"/>
    </xf>
    <xf numFmtId="0" fontId="7" fillId="0" borderId="5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4" applyNumberFormat="0" applyFill="0" applyAlignment="0" applyProtection="0">
      <alignment vertical="center"/>
    </xf>
    <xf numFmtId="0" fontId="12" fillId="0" borderId="55" applyNumberFormat="0" applyFill="0" applyAlignment="0" applyProtection="0">
      <alignment vertical="center"/>
    </xf>
    <xf numFmtId="0" fontId="13" fillId="0" borderId="5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7" applyNumberFormat="0" applyFill="0" applyAlignment="0" applyProtection="0">
      <alignment vertical="center"/>
    </xf>
    <xf numFmtId="0" fontId="15" fillId="30" borderId="5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3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591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7" xfId="33" applyNumberFormat="1" applyFont="1" applyBorder="1" applyAlignment="1">
      <alignment horizontal="right" vertical="center"/>
    </xf>
    <xf numFmtId="177" fontId="19" fillId="0" borderId="28" xfId="33" applyNumberFormat="1" applyFont="1" applyBorder="1" applyAlignment="1">
      <alignment horizontal="right"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49" xfId="0" applyFont="1" applyBorder="1" applyAlignment="1">
      <alignment horizontal="right" vertical="center"/>
    </xf>
    <xf numFmtId="177" fontId="27" fillId="0" borderId="49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1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59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59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59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176" fontId="20" fillId="0" borderId="64" xfId="33" applyNumberFormat="1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2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49" xfId="0" applyFont="1" applyBorder="1">
      <alignment vertical="center"/>
    </xf>
    <xf numFmtId="38" fontId="19" fillId="0" borderId="60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5" xfId="33" applyFont="1" applyBorder="1">
      <alignment vertical="center"/>
    </xf>
    <xf numFmtId="38" fontId="19" fillId="0" borderId="67" xfId="33" applyFont="1" applyBorder="1">
      <alignment vertical="center"/>
    </xf>
    <xf numFmtId="38" fontId="19" fillId="41" borderId="65" xfId="33" applyFont="1" applyFill="1" applyBorder="1">
      <alignment vertical="center"/>
    </xf>
    <xf numFmtId="38" fontId="28" fillId="41" borderId="65" xfId="33" applyFont="1" applyFill="1" applyBorder="1">
      <alignment vertical="center"/>
    </xf>
    <xf numFmtId="38" fontId="34" fillId="41" borderId="66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7" xfId="33" applyFont="1" applyFill="1" applyBorder="1">
      <alignment vertical="center"/>
    </xf>
    <xf numFmtId="38" fontId="28" fillId="41" borderId="67" xfId="33" applyFont="1" applyFill="1" applyBorder="1">
      <alignment vertical="center"/>
    </xf>
    <xf numFmtId="38" fontId="34" fillId="41" borderId="68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62" xfId="0" applyFont="1" applyBorder="1">
      <alignment vertical="center"/>
    </xf>
    <xf numFmtId="38" fontId="20" fillId="0" borderId="63" xfId="33" applyFont="1" applyFill="1" applyBorder="1">
      <alignment vertical="center"/>
    </xf>
    <xf numFmtId="38" fontId="20" fillId="0" borderId="62" xfId="33" applyFont="1" applyFill="1" applyBorder="1">
      <alignment vertical="center"/>
    </xf>
    <xf numFmtId="0" fontId="20" fillId="0" borderId="2" xfId="0" applyFont="1" applyBorder="1">
      <alignment vertical="center"/>
    </xf>
    <xf numFmtId="38" fontId="20" fillId="0" borderId="11" xfId="33" applyFont="1" applyFill="1" applyBorder="1">
      <alignment vertical="center"/>
    </xf>
    <xf numFmtId="176" fontId="20" fillId="0" borderId="12" xfId="33" applyNumberFormat="1" applyFont="1" applyFill="1" applyBorder="1">
      <alignment vertical="center"/>
    </xf>
    <xf numFmtId="38" fontId="20" fillId="0" borderId="2" xfId="33" applyFont="1" applyFill="1" applyBorder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1" xfId="43" applyNumberFormat="1" applyFont="1" applyFill="1" applyBorder="1" applyAlignment="1">
      <alignment horizontal="center" vertical="center"/>
    </xf>
    <xf numFmtId="180" fontId="51" fillId="44" borderId="74" xfId="43" applyNumberFormat="1" applyFont="1" applyFill="1" applyBorder="1">
      <alignment vertical="center"/>
    </xf>
    <xf numFmtId="0" fontId="43" fillId="0" borderId="76" xfId="43" applyFont="1" applyBorder="1">
      <alignment vertical="center"/>
    </xf>
    <xf numFmtId="38" fontId="43" fillId="0" borderId="77" xfId="44" applyFont="1" applyFill="1" applyBorder="1">
      <alignment vertical="center"/>
    </xf>
    <xf numFmtId="0" fontId="38" fillId="0" borderId="79" xfId="43" applyBorder="1">
      <alignment vertical="center"/>
    </xf>
    <xf numFmtId="38" fontId="43" fillId="0" borderId="68" xfId="44" applyFont="1" applyFill="1" applyBorder="1">
      <alignment vertical="center"/>
    </xf>
    <xf numFmtId="0" fontId="42" fillId="0" borderId="79" xfId="43" applyFont="1" applyBorder="1">
      <alignment vertical="center"/>
    </xf>
    <xf numFmtId="38" fontId="43" fillId="0" borderId="34" xfId="44" applyFont="1" applyFill="1" applyBorder="1">
      <alignment vertical="center"/>
    </xf>
    <xf numFmtId="0" fontId="42" fillId="0" borderId="80" xfId="43" applyFont="1" applyBorder="1">
      <alignment vertical="center"/>
    </xf>
    <xf numFmtId="38" fontId="43" fillId="0" borderId="66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0" fontId="42" fillId="0" borderId="81" xfId="43" applyFont="1" applyBorder="1">
      <alignment vertical="center"/>
    </xf>
    <xf numFmtId="38" fontId="43" fillId="0" borderId="36" xfId="44" applyFont="1" applyFill="1" applyBorder="1">
      <alignment vertical="center"/>
    </xf>
    <xf numFmtId="0" fontId="43" fillId="45" borderId="59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0" fontId="54" fillId="33" borderId="83" xfId="43" applyFont="1" applyFill="1" applyBorder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0" fontId="43" fillId="36" borderId="87" xfId="43" applyFont="1" applyFill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7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4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0" fontId="40" fillId="36" borderId="83" xfId="43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4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103" xfId="44" applyFont="1" applyFill="1" applyBorder="1">
      <alignment vertical="center"/>
    </xf>
    <xf numFmtId="0" fontId="40" fillId="0" borderId="104" xfId="43" applyFont="1" applyBorder="1" applyAlignment="1">
      <alignment horizontal="center" vertical="center"/>
    </xf>
    <xf numFmtId="38" fontId="43" fillId="0" borderId="104" xfId="44" applyFont="1" applyFill="1" applyBorder="1">
      <alignment vertical="center"/>
    </xf>
    <xf numFmtId="38" fontId="43" fillId="36" borderId="106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1" xfId="43" applyNumberFormat="1" applyFont="1" applyFill="1" applyBorder="1">
      <alignment vertical="center"/>
    </xf>
    <xf numFmtId="180" fontId="51" fillId="46" borderId="74" xfId="43" applyNumberFormat="1" applyFont="1" applyFill="1" applyBorder="1">
      <alignment vertical="center"/>
    </xf>
    <xf numFmtId="38" fontId="41" fillId="0" borderId="111" xfId="44" applyFont="1" applyBorder="1">
      <alignment vertical="center"/>
    </xf>
    <xf numFmtId="38" fontId="41" fillId="0" borderId="76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9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1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3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6" xfId="44" applyFont="1" applyBorder="1">
      <alignment vertical="center"/>
    </xf>
    <xf numFmtId="38" fontId="41" fillId="0" borderId="68" xfId="44" applyFont="1" applyBorder="1">
      <alignment vertical="center"/>
    </xf>
    <xf numFmtId="38" fontId="40" fillId="0" borderId="79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79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7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4" xfId="44" applyFont="1" applyFill="1" applyBorder="1">
      <alignment vertical="center"/>
    </xf>
    <xf numFmtId="38" fontId="40" fillId="0" borderId="116" xfId="44" applyFont="1" applyBorder="1">
      <alignment vertical="center"/>
    </xf>
    <xf numFmtId="38" fontId="40" fillId="0" borderId="80" xfId="44" applyFont="1" applyBorder="1">
      <alignment vertical="center"/>
    </xf>
    <xf numFmtId="38" fontId="41" fillId="0" borderId="66" xfId="44" applyFont="1" applyBorder="1">
      <alignment vertical="center"/>
    </xf>
    <xf numFmtId="38" fontId="40" fillId="0" borderId="81" xfId="44" applyFont="1" applyBorder="1">
      <alignment vertical="center"/>
    </xf>
    <xf numFmtId="38" fontId="40" fillId="0" borderId="85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79" xfId="44" applyFont="1" applyBorder="1" applyAlignment="1">
      <alignment vertical="center" shrinkToFit="1"/>
    </xf>
    <xf numFmtId="38" fontId="60" fillId="0" borderId="79" xfId="44" applyFont="1" applyBorder="1" applyAlignment="1">
      <alignment vertical="center" shrinkToFit="1"/>
    </xf>
    <xf numFmtId="38" fontId="58" fillId="0" borderId="79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79" xfId="44" applyFont="1" applyBorder="1" applyAlignment="1">
      <alignment vertical="center" shrinkToFit="1"/>
    </xf>
    <xf numFmtId="38" fontId="40" fillId="0" borderId="81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38" fontId="0" fillId="0" borderId="59" xfId="33" applyFont="1" applyBorder="1">
      <alignment vertical="center"/>
    </xf>
    <xf numFmtId="38" fontId="0" fillId="0" borderId="59" xfId="33" applyFont="1" applyFill="1" applyBorder="1">
      <alignment vertical="center"/>
    </xf>
    <xf numFmtId="57" fontId="0" fillId="0" borderId="59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59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22" xfId="33" applyFont="1" applyFill="1" applyBorder="1">
      <alignment vertical="center"/>
    </xf>
    <xf numFmtId="176" fontId="20" fillId="0" borderId="89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4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42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43" xfId="33" applyFont="1" applyBorder="1">
      <alignment vertical="center"/>
    </xf>
    <xf numFmtId="38" fontId="19" fillId="0" borderId="124" xfId="33" applyFont="1" applyBorder="1">
      <alignment vertical="center"/>
    </xf>
    <xf numFmtId="38" fontId="19" fillId="0" borderId="144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45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47" xfId="33" applyFont="1" applyBorder="1">
      <alignment vertical="center"/>
    </xf>
    <xf numFmtId="38" fontId="25" fillId="0" borderId="134" xfId="33" applyFont="1" applyBorder="1">
      <alignment vertical="center"/>
    </xf>
    <xf numFmtId="38" fontId="25" fillId="0" borderId="140" xfId="33" applyFont="1" applyBorder="1">
      <alignment vertical="center"/>
    </xf>
    <xf numFmtId="38" fontId="25" fillId="0" borderId="133" xfId="33" applyFont="1" applyBorder="1">
      <alignment vertical="center"/>
    </xf>
    <xf numFmtId="38" fontId="25" fillId="0" borderId="146" xfId="33" applyFont="1" applyBorder="1">
      <alignment vertical="center"/>
    </xf>
    <xf numFmtId="38" fontId="19" fillId="0" borderId="133" xfId="33" applyFont="1" applyBorder="1" applyAlignment="1">
      <alignment horizontal="center" vertical="center"/>
    </xf>
    <xf numFmtId="38" fontId="19" fillId="0" borderId="148" xfId="33" applyFont="1" applyBorder="1" applyAlignment="1">
      <alignment horizontal="center" vertical="center"/>
    </xf>
    <xf numFmtId="38" fontId="19" fillId="0" borderId="131" xfId="33" applyFont="1" applyBorder="1" applyAlignment="1">
      <alignment horizontal="center" vertical="center"/>
    </xf>
    <xf numFmtId="38" fontId="19" fillId="0" borderId="146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19" fillId="0" borderId="127" xfId="33" applyNumberFormat="1" applyFont="1" applyBorder="1" applyAlignment="1">
      <alignment horizontal="right" vertical="center"/>
    </xf>
    <xf numFmtId="176" fontId="19" fillId="0" borderId="128" xfId="33" applyNumberFormat="1" applyFont="1" applyBorder="1" applyAlignment="1">
      <alignment horizontal="right" vertical="center"/>
    </xf>
    <xf numFmtId="176" fontId="19" fillId="0" borderId="129" xfId="33" applyNumberFormat="1" applyFont="1" applyBorder="1" applyAlignment="1">
      <alignment horizontal="right" vertical="center"/>
    </xf>
    <xf numFmtId="176" fontId="19" fillId="0" borderId="130" xfId="33" applyNumberFormat="1" applyFont="1" applyBorder="1" applyAlignment="1">
      <alignment horizontal="right" vertical="center"/>
    </xf>
    <xf numFmtId="176" fontId="25" fillId="0" borderId="131" xfId="0" applyNumberFormat="1" applyFont="1" applyBorder="1" applyAlignment="1">
      <alignment horizontal="right" vertical="center"/>
    </xf>
    <xf numFmtId="176" fontId="19" fillId="0" borderId="125" xfId="0" applyNumberFormat="1" applyFont="1" applyBorder="1" applyAlignment="1">
      <alignment horizontal="right" vertical="center"/>
    </xf>
    <xf numFmtId="176" fontId="19" fillId="0" borderId="132" xfId="0" applyNumberFormat="1" applyFont="1" applyBorder="1" applyAlignment="1">
      <alignment horizontal="right" vertical="center"/>
    </xf>
    <xf numFmtId="38" fontId="19" fillId="0" borderId="100" xfId="33" applyFont="1" applyBorder="1" applyAlignment="1">
      <alignment horizontal="center" vertical="center"/>
    </xf>
    <xf numFmtId="38" fontId="19" fillId="0" borderId="162" xfId="33" applyFont="1" applyBorder="1" applyAlignment="1">
      <alignment horizontal="center" vertical="center"/>
    </xf>
    <xf numFmtId="38" fontId="25" fillId="0" borderId="163" xfId="33" applyFont="1" applyBorder="1">
      <alignment vertical="center"/>
    </xf>
    <xf numFmtId="38" fontId="19" fillId="0" borderId="164" xfId="33" applyFont="1" applyBorder="1">
      <alignment vertical="center"/>
    </xf>
    <xf numFmtId="38" fontId="19" fillId="0" borderId="165" xfId="33" applyFont="1" applyBorder="1">
      <alignment vertical="center"/>
    </xf>
    <xf numFmtId="38" fontId="19" fillId="0" borderId="166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7" xfId="33" applyFont="1" applyBorder="1">
      <alignment vertical="center"/>
    </xf>
    <xf numFmtId="38" fontId="25" fillId="0" borderId="162" xfId="33" applyFont="1" applyBorder="1">
      <alignment vertical="center"/>
    </xf>
    <xf numFmtId="38" fontId="19" fillId="0" borderId="163" xfId="33" applyFont="1" applyBorder="1">
      <alignment vertical="center"/>
    </xf>
    <xf numFmtId="38" fontId="19" fillId="0" borderId="168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5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19" fillId="0" borderId="151" xfId="33" applyNumberFormat="1" applyFont="1" applyBorder="1" applyAlignment="1">
      <alignment horizontal="right" vertical="center"/>
    </xf>
    <xf numFmtId="176" fontId="19" fillId="0" borderId="152" xfId="33" applyNumberFormat="1" applyFont="1" applyBorder="1" applyAlignment="1">
      <alignment horizontal="right" vertical="center"/>
    </xf>
    <xf numFmtId="176" fontId="19" fillId="0" borderId="153" xfId="33" applyNumberFormat="1" applyFont="1" applyBorder="1" applyAlignment="1">
      <alignment horizontal="right" vertical="center"/>
    </xf>
    <xf numFmtId="176" fontId="19" fillId="0" borderId="154" xfId="33" applyNumberFormat="1" applyFont="1" applyBorder="1" applyAlignment="1">
      <alignment horizontal="right" vertical="center"/>
    </xf>
    <xf numFmtId="176" fontId="25" fillId="0" borderId="148" xfId="0" applyNumberFormat="1" applyFont="1" applyBorder="1" applyAlignment="1">
      <alignment horizontal="right" vertical="center"/>
    </xf>
    <xf numFmtId="176" fontId="19" fillId="0" borderId="149" xfId="0" applyNumberFormat="1" applyFont="1" applyBorder="1" applyAlignment="1">
      <alignment horizontal="right" vertical="center"/>
    </xf>
    <xf numFmtId="176" fontId="19" fillId="0" borderId="155" xfId="0" applyNumberFormat="1" applyFont="1" applyBorder="1" applyAlignment="1">
      <alignment horizontal="right" vertical="center"/>
    </xf>
    <xf numFmtId="38" fontId="19" fillId="42" borderId="165" xfId="33" applyFont="1" applyFill="1" applyBorder="1">
      <alignment vertical="center"/>
    </xf>
    <xf numFmtId="38" fontId="19" fillId="42" borderId="12" xfId="33" applyFont="1" applyFill="1" applyBorder="1" applyAlignment="1">
      <alignment horizontal="right" vertical="center"/>
    </xf>
    <xf numFmtId="38" fontId="19" fillId="42" borderId="10" xfId="33" applyFont="1" applyFill="1" applyBorder="1" applyAlignment="1">
      <alignment horizontal="right" vertical="center"/>
    </xf>
    <xf numFmtId="38" fontId="19" fillId="42" borderId="89" xfId="33" applyFont="1" applyFill="1" applyBorder="1" applyAlignment="1">
      <alignment horizontal="right" vertical="center"/>
    </xf>
    <xf numFmtId="38" fontId="19" fillId="0" borderId="165" xfId="33" applyFont="1" applyFill="1" applyBorder="1">
      <alignment vertical="center"/>
    </xf>
    <xf numFmtId="38" fontId="21" fillId="42" borderId="2" xfId="33" applyFont="1" applyFill="1" applyBorder="1">
      <alignment vertical="center"/>
    </xf>
    <xf numFmtId="38" fontId="21" fillId="42" borderId="25" xfId="33" applyFont="1" applyFill="1" applyBorder="1">
      <alignment vertical="center"/>
    </xf>
    <xf numFmtId="38" fontId="21" fillId="42" borderId="3" xfId="33" applyFont="1" applyFill="1" applyBorder="1">
      <alignment vertical="center"/>
    </xf>
    <xf numFmtId="38" fontId="21" fillId="42" borderId="0" xfId="33" applyFont="1" applyFill="1" applyBorder="1">
      <alignment vertical="center"/>
    </xf>
    <xf numFmtId="38" fontId="21" fillId="42" borderId="26" xfId="33" applyFont="1" applyFill="1" applyBorder="1">
      <alignment vertical="center"/>
    </xf>
    <xf numFmtId="38" fontId="21" fillId="42" borderId="5" xfId="33" applyFont="1" applyFill="1" applyBorder="1">
      <alignment vertical="center"/>
    </xf>
    <xf numFmtId="176" fontId="19" fillId="42" borderId="10" xfId="0" quotePrefix="1" applyNumberFormat="1" applyFont="1" applyFill="1" applyBorder="1" applyAlignment="1">
      <alignment horizontal="right" vertical="center"/>
    </xf>
    <xf numFmtId="176" fontId="19" fillId="42" borderId="10" xfId="0" applyNumberFormat="1" applyFont="1" applyFill="1" applyBorder="1" applyAlignment="1">
      <alignment horizontal="right" vertical="center"/>
    </xf>
    <xf numFmtId="38" fontId="19" fillId="0" borderId="164" xfId="33" applyFont="1" applyFill="1" applyBorder="1">
      <alignment vertical="center"/>
    </xf>
    <xf numFmtId="38" fontId="19" fillId="36" borderId="165" xfId="33" applyFont="1" applyFill="1" applyBorder="1">
      <alignment vertical="center"/>
    </xf>
    <xf numFmtId="3" fontId="19" fillId="42" borderId="10" xfId="0" applyNumberFormat="1" applyFont="1" applyFill="1" applyBorder="1" applyAlignment="1">
      <alignment horizontal="right" vertical="center"/>
    </xf>
    <xf numFmtId="38" fontId="21" fillId="42" borderId="12" xfId="33" applyFont="1" applyFill="1" applyBorder="1" applyAlignment="1">
      <alignment horizontal="right" vertical="center"/>
    </xf>
    <xf numFmtId="38" fontId="21" fillId="42" borderId="10" xfId="33" applyFont="1" applyFill="1" applyBorder="1" applyAlignment="1">
      <alignment horizontal="right" vertical="center"/>
    </xf>
    <xf numFmtId="176" fontId="21" fillId="42" borderId="10" xfId="0" quotePrefix="1" applyNumberFormat="1" applyFont="1" applyFill="1" applyBorder="1" applyAlignment="1">
      <alignment horizontal="right" vertical="center"/>
    </xf>
    <xf numFmtId="0" fontId="25" fillId="0" borderId="8" xfId="0" applyFont="1" applyBorder="1">
      <alignment vertical="center"/>
    </xf>
    <xf numFmtId="0" fontId="19" fillId="0" borderId="0" xfId="0" applyFont="1" applyAlignment="1">
      <alignment vertical="center" shrinkToFit="1"/>
    </xf>
    <xf numFmtId="176" fontId="19" fillId="0" borderId="0" xfId="33" applyNumberFormat="1" applyFont="1" applyBorder="1">
      <alignment vertical="center"/>
    </xf>
    <xf numFmtId="176" fontId="19" fillId="35" borderId="0" xfId="33" applyNumberFormat="1" applyFont="1" applyFill="1" applyBorder="1">
      <alignment vertical="center"/>
    </xf>
    <xf numFmtId="38" fontId="21" fillId="42" borderId="10" xfId="33" quotePrefix="1" applyFont="1" applyFill="1" applyBorder="1" applyAlignment="1">
      <alignment horizontal="right"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59" xfId="33" applyFont="1" applyBorder="1">
      <alignment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19" fillId="0" borderId="0" xfId="33" applyFont="1" applyAlignment="1">
      <alignment horizontal="right" vertical="center"/>
    </xf>
    <xf numFmtId="38" fontId="54" fillId="33" borderId="40" xfId="44" applyFont="1" applyFill="1" applyBorder="1">
      <alignment vertical="center"/>
    </xf>
    <xf numFmtId="0" fontId="43" fillId="0" borderId="85" xfId="43" applyFont="1" applyBorder="1">
      <alignment vertical="center"/>
    </xf>
    <xf numFmtId="38" fontId="58" fillId="0" borderId="80" xfId="44" applyFont="1" applyBorder="1">
      <alignment vertical="center"/>
    </xf>
    <xf numFmtId="38" fontId="59" fillId="0" borderId="66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59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72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2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59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0" fontId="38" fillId="0" borderId="116" xfId="43" applyBorder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40" fillId="36" borderId="173" xfId="43" applyFont="1" applyFill="1" applyBorder="1">
      <alignment vertical="center"/>
    </xf>
    <xf numFmtId="38" fontId="43" fillId="0" borderId="59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0" xfId="33" applyFont="1" applyBorder="1" applyAlignment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176" fontId="25" fillId="0" borderId="0" xfId="33" applyNumberFormat="1" applyFont="1" applyFill="1" applyBorder="1">
      <alignment vertical="center"/>
    </xf>
    <xf numFmtId="176" fontId="20" fillId="0" borderId="25" xfId="33" applyNumberFormat="1" applyFont="1" applyFill="1" applyBorder="1">
      <alignment vertical="center"/>
    </xf>
    <xf numFmtId="176" fontId="20" fillId="0" borderId="23" xfId="33" applyNumberFormat="1" applyFont="1" applyFill="1" applyBorder="1">
      <alignment vertical="center"/>
    </xf>
    <xf numFmtId="176" fontId="20" fillId="0" borderId="65" xfId="33" applyNumberFormat="1" applyFont="1" applyFill="1" applyBorder="1">
      <alignment vertical="center"/>
    </xf>
    <xf numFmtId="176" fontId="20" fillId="0" borderId="5" xfId="33" applyNumberFormat="1" applyFont="1" applyFill="1" applyBorder="1">
      <alignment vertical="center"/>
    </xf>
    <xf numFmtId="176" fontId="20" fillId="0" borderId="22" xfId="33" applyNumberFormat="1" applyFont="1" applyFill="1" applyBorder="1">
      <alignment vertical="center"/>
    </xf>
    <xf numFmtId="176" fontId="19" fillId="0" borderId="22" xfId="33" applyNumberFormat="1" applyFont="1" applyFill="1" applyBorder="1">
      <alignment vertical="center"/>
    </xf>
    <xf numFmtId="176" fontId="19" fillId="0" borderId="23" xfId="33" applyNumberFormat="1" applyFont="1" applyFill="1" applyBorder="1">
      <alignment vertical="center"/>
    </xf>
    <xf numFmtId="176" fontId="25" fillId="0" borderId="1" xfId="33" applyNumberFormat="1" applyFont="1" applyFill="1" applyBorder="1">
      <alignment vertical="center"/>
    </xf>
    <xf numFmtId="176" fontId="19" fillId="0" borderId="8" xfId="33" applyNumberFormat="1" applyFont="1" applyFill="1" applyBorder="1">
      <alignment vertical="center"/>
    </xf>
    <xf numFmtId="178" fontId="19" fillId="0" borderId="45" xfId="0" applyNumberFormat="1" applyFont="1" applyBorder="1">
      <alignment vertical="center"/>
    </xf>
    <xf numFmtId="0" fontId="25" fillId="0" borderId="3" xfId="0" applyFont="1" applyBorder="1">
      <alignment vertical="center"/>
    </xf>
    <xf numFmtId="0" fontId="20" fillId="0" borderId="3" xfId="0" applyFont="1" applyBorder="1">
      <alignment vertical="center"/>
    </xf>
    <xf numFmtId="0" fontId="20" fillId="0" borderId="174" xfId="0" applyFont="1" applyBorder="1">
      <alignment vertical="center"/>
    </xf>
    <xf numFmtId="38" fontId="20" fillId="0" borderId="3" xfId="0" applyNumberFormat="1" applyFont="1" applyBorder="1">
      <alignment vertical="center"/>
    </xf>
    <xf numFmtId="176" fontId="35" fillId="0" borderId="0" xfId="0" applyNumberFormat="1" applyFont="1">
      <alignment vertical="center"/>
    </xf>
    <xf numFmtId="176" fontId="19" fillId="0" borderId="1" xfId="0" applyNumberFormat="1" applyFont="1" applyBorder="1">
      <alignment vertical="center"/>
    </xf>
    <xf numFmtId="176" fontId="25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76" fontId="20" fillId="0" borderId="5" xfId="0" applyNumberFormat="1" applyFont="1" applyBorder="1">
      <alignment vertical="center"/>
    </xf>
    <xf numFmtId="38" fontId="43" fillId="0" borderId="0" xfId="43" applyNumberFormat="1" applyFont="1">
      <alignment vertical="center"/>
    </xf>
    <xf numFmtId="38" fontId="19" fillId="0" borderId="3" xfId="0" applyNumberFormat="1" applyFont="1" applyBorder="1">
      <alignment vertical="center"/>
    </xf>
    <xf numFmtId="38" fontId="21" fillId="0" borderId="0" xfId="33" applyFont="1" applyFill="1" applyBorder="1" applyAlignment="1">
      <alignment horizontal="right" vertical="center"/>
    </xf>
    <xf numFmtId="176" fontId="21" fillId="0" borderId="0" xfId="0" quotePrefix="1" applyNumberFormat="1" applyFont="1" applyAlignment="1">
      <alignment horizontal="right" vertical="center"/>
    </xf>
    <xf numFmtId="38" fontId="21" fillId="0" borderId="0" xfId="33" applyFont="1" applyFill="1" applyBorder="1" applyAlignment="1">
      <alignment vertical="center"/>
    </xf>
    <xf numFmtId="38" fontId="21" fillId="0" borderId="0" xfId="33" quotePrefix="1" applyFont="1" applyFill="1" applyBorder="1" applyAlignment="1">
      <alignment horizontal="right" vertical="center"/>
    </xf>
    <xf numFmtId="176" fontId="21" fillId="0" borderId="0" xfId="0" quotePrefix="1" applyNumberFormat="1" applyFont="1" applyAlignment="1">
      <alignment horizontal="left" vertical="center"/>
    </xf>
    <xf numFmtId="38" fontId="23" fillId="36" borderId="0" xfId="33" applyFont="1" applyFill="1">
      <alignment vertical="center"/>
    </xf>
    <xf numFmtId="38" fontId="23" fillId="36" borderId="0" xfId="33" applyFont="1" applyFill="1" applyAlignment="1">
      <alignment horizontal="right" vertical="center"/>
    </xf>
    <xf numFmtId="38" fontId="23" fillId="36" borderId="30" xfId="33" applyFont="1" applyFill="1" applyBorder="1" applyAlignment="1">
      <alignment horizontal="right" vertical="center"/>
    </xf>
    <xf numFmtId="38" fontId="19" fillId="36" borderId="164" xfId="33" applyFont="1" applyFill="1" applyBorder="1">
      <alignment vertical="center"/>
    </xf>
    <xf numFmtId="38" fontId="21" fillId="42" borderId="89" xfId="33" applyFont="1" applyFill="1" applyBorder="1" applyAlignment="1">
      <alignment horizontal="right" vertical="center"/>
    </xf>
    <xf numFmtId="0" fontId="67" fillId="0" borderId="0" xfId="0" applyFont="1" applyAlignment="1">
      <alignment horizontal="right" vertical="center"/>
    </xf>
    <xf numFmtId="176" fontId="68" fillId="42" borderId="10" xfId="0" quotePrefix="1" applyNumberFormat="1" applyFont="1" applyFill="1" applyBorder="1" applyAlignment="1">
      <alignment horizontal="right" vertical="center"/>
    </xf>
    <xf numFmtId="38" fontId="21" fillId="42" borderId="0" xfId="33" applyFont="1" applyFill="1" applyBorder="1" applyAlignment="1">
      <alignment vertical="center" shrinkToFit="1"/>
    </xf>
    <xf numFmtId="176" fontId="25" fillId="0" borderId="96" xfId="33" applyNumberFormat="1" applyFont="1" applyBorder="1" applyAlignment="1">
      <alignment horizontal="right" vertical="center"/>
    </xf>
    <xf numFmtId="176" fontId="19" fillId="0" borderId="157" xfId="33" applyNumberFormat="1" applyFont="1" applyBorder="1" applyAlignment="1">
      <alignment horizontal="right" vertical="center"/>
    </xf>
    <xf numFmtId="176" fontId="19" fillId="0" borderId="158" xfId="33" applyNumberFormat="1" applyFont="1" applyBorder="1" applyAlignment="1">
      <alignment horizontal="right" vertical="center"/>
    </xf>
    <xf numFmtId="176" fontId="19" fillId="0" borderId="159" xfId="33" applyNumberFormat="1" applyFont="1" applyBorder="1" applyAlignment="1">
      <alignment horizontal="right" vertical="center"/>
    </xf>
    <xf numFmtId="176" fontId="19" fillId="0" borderId="91" xfId="33" applyNumberFormat="1" applyFont="1" applyBorder="1" applyAlignment="1">
      <alignment horizontal="right" vertical="center"/>
    </xf>
    <xf numFmtId="176" fontId="19" fillId="0" borderId="160" xfId="33" applyNumberFormat="1" applyFont="1" applyBorder="1" applyAlignment="1">
      <alignment horizontal="right" vertical="center"/>
    </xf>
    <xf numFmtId="176" fontId="25" fillId="0" borderId="100" xfId="0" applyNumberFormat="1" applyFont="1" applyBorder="1" applyAlignment="1">
      <alignment horizontal="right" vertical="center"/>
    </xf>
    <xf numFmtId="176" fontId="19" fillId="0" borderId="96" xfId="0" applyNumberFormat="1" applyFont="1" applyBorder="1" applyAlignment="1">
      <alignment horizontal="right" vertical="center"/>
    </xf>
    <xf numFmtId="176" fontId="19" fillId="0" borderId="156" xfId="0" applyNumberFormat="1" applyFont="1" applyBorder="1" applyAlignment="1">
      <alignment horizontal="right" vertical="center"/>
    </xf>
    <xf numFmtId="38" fontId="21" fillId="42" borderId="0" xfId="33" applyFont="1" applyFill="1" applyBorder="1" applyAlignment="1">
      <alignment vertical="center"/>
    </xf>
    <xf numFmtId="176" fontId="21" fillId="42" borderId="10" xfId="33" quotePrefix="1" applyNumberFormat="1" applyFont="1" applyFill="1" applyBorder="1" applyAlignment="1">
      <alignment horizontal="right" vertical="center"/>
    </xf>
    <xf numFmtId="38" fontId="25" fillId="0" borderId="171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32" xfId="33" applyFont="1" applyBorder="1" applyAlignment="1">
      <alignment horizontal="center" vertical="center"/>
    </xf>
    <xf numFmtId="38" fontId="25" fillId="0" borderId="139" xfId="33" applyFont="1" applyBorder="1" applyAlignment="1">
      <alignment horizontal="center" vertical="center"/>
    </xf>
    <xf numFmtId="38" fontId="25" fillId="0" borderId="155" xfId="33" applyFont="1" applyBorder="1" applyAlignment="1">
      <alignment horizontal="center" vertical="center"/>
    </xf>
    <xf numFmtId="38" fontId="25" fillId="0" borderId="147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7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8" xfId="0" applyNumberFormat="1" applyFont="1" applyBorder="1" applyAlignment="1">
      <alignment horizontal="center" vertical="center"/>
    </xf>
    <xf numFmtId="38" fontId="25" fillId="0" borderId="123" xfId="33" applyFont="1" applyBorder="1" applyAlignment="1">
      <alignment horizontal="center" vertical="center"/>
    </xf>
    <xf numFmtId="38" fontId="25" fillId="0" borderId="156" xfId="33" applyFont="1" applyBorder="1" applyAlignment="1">
      <alignment horizontal="center" vertical="center"/>
    </xf>
    <xf numFmtId="178" fontId="25" fillId="0" borderId="139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5" xfId="33" applyNumberFormat="1" applyFont="1" applyBorder="1" applyAlignment="1">
      <alignment horizontal="center"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178" fontId="19" fillId="0" borderId="1" xfId="33" applyNumberFormat="1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9" fillId="36" borderId="92" xfId="43" applyFont="1" applyFill="1" applyBorder="1" applyAlignment="1">
      <alignment horizontal="center" vertical="center"/>
    </xf>
    <xf numFmtId="0" fontId="39" fillId="36" borderId="93" xfId="43" applyFont="1" applyFill="1" applyBorder="1" applyAlignment="1">
      <alignment horizontal="center" vertical="center"/>
    </xf>
    <xf numFmtId="0" fontId="40" fillId="0" borderId="97" xfId="43" applyFont="1" applyBorder="1" applyAlignment="1">
      <alignment horizontal="center" vertical="center"/>
    </xf>
    <xf numFmtId="0" fontId="40" fillId="0" borderId="98" xfId="43" applyFont="1" applyBorder="1" applyAlignment="1">
      <alignment horizontal="center" vertical="center"/>
    </xf>
    <xf numFmtId="0" fontId="40" fillId="36" borderId="84" xfId="43" applyFont="1" applyFill="1" applyBorder="1" applyAlignment="1">
      <alignment horizontal="center" vertical="center" textRotation="255"/>
    </xf>
    <xf numFmtId="0" fontId="43" fillId="36" borderId="78" xfId="43" applyFont="1" applyFill="1" applyBorder="1" applyAlignment="1">
      <alignment horizontal="center" vertical="center" textRotation="255"/>
    </xf>
    <xf numFmtId="0" fontId="43" fillId="36" borderId="86" xfId="43" applyFont="1" applyFill="1" applyBorder="1" applyAlignment="1">
      <alignment horizontal="center" vertical="center" textRotation="255"/>
    </xf>
    <xf numFmtId="0" fontId="40" fillId="36" borderId="90" xfId="43" applyFont="1" applyFill="1" applyBorder="1" applyAlignment="1">
      <alignment horizontal="center" vertical="center"/>
    </xf>
    <xf numFmtId="0" fontId="43" fillId="36" borderId="91" xfId="43" applyFont="1" applyFill="1" applyBorder="1" applyAlignment="1">
      <alignment horizontal="center" vertical="center"/>
    </xf>
    <xf numFmtId="0" fontId="40" fillId="0" borderId="95" xfId="43" applyFont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90" xfId="43" applyFont="1" applyBorder="1" applyAlignment="1">
      <alignment horizontal="center" vertical="center"/>
    </xf>
    <xf numFmtId="0" fontId="40" fillId="0" borderId="91" xfId="43" applyFont="1" applyBorder="1" applyAlignment="1">
      <alignment horizontal="center" vertical="center"/>
    </xf>
    <xf numFmtId="0" fontId="51" fillId="44" borderId="69" xfId="43" applyFont="1" applyFill="1" applyBorder="1" applyAlignment="1">
      <alignment horizontal="center" vertical="center"/>
    </xf>
    <xf numFmtId="0" fontId="51" fillId="44" borderId="70" xfId="43" applyFont="1" applyFill="1" applyBorder="1" applyAlignment="1">
      <alignment horizontal="center" vertical="center"/>
    </xf>
    <xf numFmtId="0" fontId="51" fillId="44" borderId="72" xfId="43" applyFont="1" applyFill="1" applyBorder="1" applyAlignment="1">
      <alignment horizontal="center" vertical="center"/>
    </xf>
    <xf numFmtId="0" fontId="51" fillId="44" borderId="73" xfId="43" applyFont="1" applyFill="1" applyBorder="1" applyAlignment="1">
      <alignment horizontal="center" vertical="center"/>
    </xf>
    <xf numFmtId="0" fontId="54" fillId="33" borderId="75" xfId="43" applyFont="1" applyFill="1" applyBorder="1" applyAlignment="1">
      <alignment horizontal="center" vertical="center" textRotation="255"/>
    </xf>
    <xf numFmtId="0" fontId="54" fillId="33" borderId="78" xfId="43" applyFont="1" applyFill="1" applyBorder="1" applyAlignment="1">
      <alignment horizontal="center" vertical="center" textRotation="255"/>
    </xf>
    <xf numFmtId="0" fontId="54" fillId="33" borderId="82" xfId="43" applyFont="1" applyFill="1" applyBorder="1" applyAlignment="1">
      <alignment horizontal="center" vertical="center" textRotation="255"/>
    </xf>
    <xf numFmtId="0" fontId="43" fillId="36" borderId="84" xfId="43" applyFont="1" applyFill="1" applyBorder="1" applyAlignment="1">
      <alignment horizontal="center" vertical="center" textRotation="255"/>
    </xf>
    <xf numFmtId="0" fontId="54" fillId="33" borderId="169" xfId="43" applyFont="1" applyFill="1" applyBorder="1" applyAlignment="1">
      <alignment horizontal="center" vertical="center"/>
    </xf>
    <xf numFmtId="0" fontId="54" fillId="33" borderId="88" xfId="43" applyFont="1" applyFill="1" applyBorder="1" applyAlignment="1">
      <alignment horizontal="center" vertical="center"/>
    </xf>
    <xf numFmtId="0" fontId="54" fillId="33" borderId="72" xfId="43" applyFont="1" applyFill="1" applyBorder="1" applyAlignment="1">
      <alignment horizontal="center" vertical="center"/>
    </xf>
    <xf numFmtId="0" fontId="54" fillId="33" borderId="73" xfId="43" applyFont="1" applyFill="1" applyBorder="1" applyAlignment="1">
      <alignment horizontal="center" vertical="center"/>
    </xf>
    <xf numFmtId="0" fontId="40" fillId="36" borderId="75" xfId="43" applyFont="1" applyFill="1" applyBorder="1" applyAlignment="1">
      <alignment horizontal="center" vertical="center" textRotation="255"/>
    </xf>
    <xf numFmtId="0" fontId="43" fillId="36" borderId="82" xfId="43" applyFont="1" applyFill="1" applyBorder="1" applyAlignment="1">
      <alignment horizontal="center" vertical="center" textRotation="255"/>
    </xf>
    <xf numFmtId="0" fontId="57" fillId="46" borderId="69" xfId="43" applyFont="1" applyFill="1" applyBorder="1" applyAlignment="1">
      <alignment horizontal="center" vertical="center"/>
    </xf>
    <xf numFmtId="0" fontId="51" fillId="46" borderId="70" xfId="43" applyFont="1" applyFill="1" applyBorder="1" applyAlignment="1">
      <alignment horizontal="center" vertical="center"/>
    </xf>
    <xf numFmtId="0" fontId="51" fillId="46" borderId="72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40" fillId="0" borderId="99" xfId="43" applyFont="1" applyBorder="1" applyAlignment="1">
      <alignment horizontal="center" vertical="center"/>
    </xf>
    <xf numFmtId="0" fontId="40" fillId="0" borderId="100" xfId="43" applyFont="1" applyBorder="1" applyAlignment="1">
      <alignment horizontal="center" vertical="center"/>
    </xf>
    <xf numFmtId="0" fontId="39" fillId="36" borderId="101" xfId="43" applyFont="1" applyFill="1" applyBorder="1" applyAlignment="1">
      <alignment horizontal="center" vertical="center"/>
    </xf>
    <xf numFmtId="0" fontId="39" fillId="36" borderId="102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5" xfId="43" applyFont="1" applyFill="1" applyBorder="1" applyAlignment="1">
      <alignment horizontal="center" vertical="center"/>
    </xf>
    <xf numFmtId="0" fontId="40" fillId="36" borderId="107" xfId="43" applyFont="1" applyFill="1" applyBorder="1" applyAlignment="1">
      <alignment horizontal="center" vertical="center"/>
    </xf>
    <xf numFmtId="0" fontId="40" fillId="36" borderId="108" xfId="43" applyFont="1" applyFill="1" applyBorder="1" applyAlignment="1">
      <alignment horizontal="center" vertical="center"/>
    </xf>
    <xf numFmtId="38" fontId="41" fillId="0" borderId="109" xfId="44" applyFont="1" applyBorder="1" applyAlignment="1">
      <alignment horizontal="center" vertical="center"/>
    </xf>
    <xf numFmtId="38" fontId="41" fillId="0" borderId="110" xfId="44" applyFont="1" applyBorder="1" applyAlignment="1">
      <alignment horizontal="center" vertical="center"/>
    </xf>
    <xf numFmtId="38" fontId="41" fillId="0" borderId="112" xfId="44" applyFont="1" applyBorder="1" applyAlignment="1">
      <alignment horizontal="center" vertical="center" textRotation="255"/>
    </xf>
    <xf numFmtId="38" fontId="41" fillId="0" borderId="113" xfId="44" applyFont="1" applyBorder="1" applyAlignment="1">
      <alignment horizontal="center" vertical="center" textRotation="255"/>
    </xf>
    <xf numFmtId="38" fontId="41" fillId="0" borderId="114" xfId="44" applyFont="1" applyBorder="1" applyAlignment="1">
      <alignment horizontal="center" vertical="center" textRotation="255"/>
    </xf>
    <xf numFmtId="38" fontId="41" fillId="0" borderId="115" xfId="44" applyFont="1" applyBorder="1" applyAlignment="1">
      <alignment horizontal="center" vertical="center" textRotation="255"/>
    </xf>
    <xf numFmtId="38" fontId="41" fillId="0" borderId="117" xfId="44" applyFont="1" applyBorder="1" applyAlignment="1">
      <alignment horizontal="center" vertical="center" textRotation="255"/>
    </xf>
    <xf numFmtId="38" fontId="41" fillId="39" borderId="118" xfId="44" applyFont="1" applyFill="1" applyBorder="1" applyAlignment="1">
      <alignment horizontal="center" vertical="center"/>
    </xf>
    <xf numFmtId="38" fontId="41" fillId="39" borderId="119" xfId="44" applyFont="1" applyFill="1" applyBorder="1" applyAlignment="1">
      <alignment horizontal="center" vertical="center"/>
    </xf>
    <xf numFmtId="38" fontId="41" fillId="49" borderId="120" xfId="44" applyFont="1" applyFill="1" applyBorder="1" applyAlignment="1">
      <alignment horizontal="center" vertical="center"/>
    </xf>
    <xf numFmtId="38" fontId="41" fillId="49" borderId="121" xfId="44" applyFont="1" applyFill="1" applyBorder="1" applyAlignment="1">
      <alignment horizontal="center" vertical="center"/>
    </xf>
    <xf numFmtId="38" fontId="64" fillId="39" borderId="120" xfId="44" applyFont="1" applyFill="1" applyBorder="1" applyAlignment="1">
      <alignment horizontal="center" vertical="center"/>
    </xf>
    <xf numFmtId="38" fontId="41" fillId="39" borderId="170" xfId="44" applyFont="1" applyFill="1" applyBorder="1" applyAlignment="1">
      <alignment horizontal="center" vertical="center"/>
    </xf>
    <xf numFmtId="38" fontId="19" fillId="36" borderId="142" xfId="33" applyFont="1" applyFill="1" applyBorder="1">
      <alignment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&#26376;&#27425;&#38306;&#20418;/es-&#26376;&#27425;&#22577;&#21578;&#36039;&#26009;/&#26376;&#27425;&#22577;&#21578;-2025/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456;&#12531;&#12479;&#12540;&#21454;&#25903;&#20104;&#31639;/es&#12456;&#12531;&#12479;&#12540;&#20104;&#31639;202507&#65374;-202604&#26356;&#260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ke\Downloads\es&#12456;&#12531;&#12479;&#12540;&#20104;&#31639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 refreshError="1"/>
      <sheetData sheetId="2">
        <row r="3">
          <cell r="C3">
            <v>7000000</v>
          </cell>
          <cell r="D3">
            <v>7000000</v>
          </cell>
        </row>
        <row r="4">
          <cell r="C4">
            <v>1785000</v>
          </cell>
          <cell r="D4">
            <v>1785000</v>
          </cell>
          <cell r="E4">
            <v>1785000</v>
          </cell>
          <cell r="F4">
            <v>1785000</v>
          </cell>
          <cell r="G4">
            <v>1785000</v>
          </cell>
          <cell r="H4">
            <v>2422500</v>
          </cell>
          <cell r="I4">
            <v>1785000</v>
          </cell>
          <cell r="J4">
            <v>1785000</v>
          </cell>
          <cell r="K4">
            <v>2167500</v>
          </cell>
        </row>
        <row r="8">
          <cell r="C8">
            <v>570000</v>
          </cell>
          <cell r="D8">
            <v>570000</v>
          </cell>
        </row>
        <row r="9">
          <cell r="C9">
            <v>1050000</v>
          </cell>
          <cell r="D9">
            <v>1050000</v>
          </cell>
        </row>
        <row r="10">
          <cell r="C10">
            <v>85500</v>
          </cell>
          <cell r="D10">
            <v>85500</v>
          </cell>
        </row>
        <row r="14">
          <cell r="C14">
            <v>40000</v>
          </cell>
          <cell r="D14">
            <v>40000</v>
          </cell>
        </row>
        <row r="15">
          <cell r="C15">
            <v>19050</v>
          </cell>
          <cell r="D15">
            <v>19050</v>
          </cell>
        </row>
        <row r="18">
          <cell r="C18">
            <v>10000</v>
          </cell>
        </row>
        <row r="19">
          <cell r="C19">
            <v>565394</v>
          </cell>
          <cell r="D19">
            <v>565394</v>
          </cell>
        </row>
        <row r="20">
          <cell r="C20">
            <v>30000</v>
          </cell>
          <cell r="D20">
            <v>30000</v>
          </cell>
        </row>
        <row r="21">
          <cell r="C21">
            <v>846878</v>
          </cell>
          <cell r="D21">
            <v>846878</v>
          </cell>
        </row>
        <row r="22">
          <cell r="C22">
            <v>32800</v>
          </cell>
          <cell r="D22">
            <v>32800</v>
          </cell>
        </row>
        <row r="23">
          <cell r="C23">
            <v>10000</v>
          </cell>
          <cell r="D23">
            <v>10000</v>
          </cell>
        </row>
        <row r="25">
          <cell r="C25">
            <v>560000</v>
          </cell>
          <cell r="D25">
            <v>560000</v>
          </cell>
        </row>
        <row r="26">
          <cell r="C26">
            <v>140000</v>
          </cell>
          <cell r="D26">
            <v>140000</v>
          </cell>
        </row>
        <row r="27">
          <cell r="C27">
            <v>1000</v>
          </cell>
          <cell r="D27">
            <v>1000</v>
          </cell>
        </row>
        <row r="28">
          <cell r="C28">
            <v>165000</v>
          </cell>
          <cell r="D28">
            <v>165000</v>
          </cell>
        </row>
        <row r="29">
          <cell r="C29">
            <v>160000</v>
          </cell>
          <cell r="D29">
            <v>160000</v>
          </cell>
        </row>
        <row r="32">
          <cell r="C32">
            <v>30000</v>
          </cell>
          <cell r="D32">
            <v>30000</v>
          </cell>
        </row>
      </sheetData>
      <sheetData sheetId="3">
        <row r="3">
          <cell r="C3">
            <v>750000</v>
          </cell>
          <cell r="D3">
            <v>750000</v>
          </cell>
        </row>
        <row r="4">
          <cell r="C4">
            <v>112500</v>
          </cell>
          <cell r="D4">
            <v>112500</v>
          </cell>
          <cell r="E4">
            <v>112500</v>
          </cell>
          <cell r="F4">
            <v>112500</v>
          </cell>
          <cell r="G4">
            <v>112500</v>
          </cell>
          <cell r="H4">
            <v>112500</v>
          </cell>
          <cell r="I4">
            <v>112500</v>
          </cell>
          <cell r="J4">
            <v>112500</v>
          </cell>
          <cell r="K4">
            <v>112500</v>
          </cell>
        </row>
        <row r="9">
          <cell r="C9">
            <v>80000</v>
          </cell>
          <cell r="D9">
            <v>80000</v>
          </cell>
        </row>
        <row r="21">
          <cell r="C21">
            <v>400000</v>
          </cell>
          <cell r="D21">
            <v>400000</v>
          </cell>
        </row>
        <row r="25">
          <cell r="C25">
            <v>100000</v>
          </cell>
          <cell r="D25">
            <v>100000</v>
          </cell>
        </row>
        <row r="29">
          <cell r="C29">
            <v>52500.000000000007</v>
          </cell>
          <cell r="D29">
            <v>52500.000000000007</v>
          </cell>
        </row>
      </sheetData>
      <sheetData sheetId="4">
        <row r="3">
          <cell r="C3">
            <v>350000</v>
          </cell>
          <cell r="D3">
            <v>350000</v>
          </cell>
        </row>
        <row r="4">
          <cell r="C4">
            <v>157500</v>
          </cell>
          <cell r="D4">
            <v>157500</v>
          </cell>
          <cell r="E4">
            <v>157500</v>
          </cell>
          <cell r="F4">
            <v>157500</v>
          </cell>
          <cell r="G4">
            <v>157500</v>
          </cell>
          <cell r="H4">
            <v>157500</v>
          </cell>
          <cell r="I4">
            <v>157500</v>
          </cell>
          <cell r="J4">
            <v>157500</v>
          </cell>
          <cell r="K4">
            <v>157500</v>
          </cell>
        </row>
        <row r="12">
          <cell r="C12">
            <v>175000</v>
          </cell>
          <cell r="D12">
            <v>175000</v>
          </cell>
        </row>
        <row r="26">
          <cell r="C26">
            <v>10000</v>
          </cell>
          <cell r="D26">
            <v>10000</v>
          </cell>
        </row>
      </sheetData>
      <sheetData sheetId="5">
        <row r="3">
          <cell r="C3">
            <v>150000</v>
          </cell>
          <cell r="D3">
            <v>150000</v>
          </cell>
        </row>
        <row r="4">
          <cell r="C4">
            <v>45000</v>
          </cell>
          <cell r="D4">
            <v>45000</v>
          </cell>
          <cell r="E4">
            <v>45000</v>
          </cell>
          <cell r="F4">
            <v>45000</v>
          </cell>
          <cell r="G4">
            <v>45000</v>
          </cell>
          <cell r="H4">
            <v>45000</v>
          </cell>
          <cell r="I4">
            <v>45000</v>
          </cell>
          <cell r="J4">
            <v>45000</v>
          </cell>
          <cell r="K4">
            <v>45000</v>
          </cell>
        </row>
        <row r="12">
          <cell r="C12">
            <v>60000</v>
          </cell>
          <cell r="D12">
            <v>60000</v>
          </cell>
        </row>
      </sheetData>
      <sheetData sheetId="6">
        <row r="3">
          <cell r="C3">
            <v>1000000</v>
          </cell>
          <cell r="D3">
            <v>2620000</v>
          </cell>
        </row>
        <row r="4">
          <cell r="C4">
            <v>100000</v>
          </cell>
          <cell r="D4">
            <v>100000</v>
          </cell>
          <cell r="E4">
            <v>100000</v>
          </cell>
          <cell r="F4">
            <v>100000</v>
          </cell>
          <cell r="G4">
            <v>100000</v>
          </cell>
          <cell r="H4">
            <v>100000</v>
          </cell>
          <cell r="I4">
            <v>100000</v>
          </cell>
          <cell r="J4">
            <v>100000</v>
          </cell>
          <cell r="K4">
            <v>100000</v>
          </cell>
        </row>
        <row r="12">
          <cell r="C12">
            <v>25000</v>
          </cell>
          <cell r="D12">
            <v>25000</v>
          </cell>
        </row>
        <row r="15">
          <cell r="C15">
            <v>24000</v>
          </cell>
          <cell r="D15">
            <v>24000</v>
          </cell>
        </row>
        <row r="19">
          <cell r="C19">
            <v>184560</v>
          </cell>
          <cell r="D19">
            <v>184560</v>
          </cell>
        </row>
        <row r="21">
          <cell r="C21">
            <v>398783</v>
          </cell>
          <cell r="D21">
            <v>398783</v>
          </cell>
        </row>
        <row r="22">
          <cell r="C22">
            <v>7400</v>
          </cell>
          <cell r="D22">
            <v>7400</v>
          </cell>
        </row>
        <row r="25">
          <cell r="C25">
            <v>200000</v>
          </cell>
          <cell r="D25">
            <v>200000</v>
          </cell>
        </row>
        <row r="26">
          <cell r="C26">
            <v>50000</v>
          </cell>
          <cell r="D26">
            <v>50000</v>
          </cell>
        </row>
        <row r="29">
          <cell r="C29">
            <v>40000</v>
          </cell>
          <cell r="D29">
            <v>40000</v>
          </cell>
        </row>
        <row r="32">
          <cell r="C32">
            <v>20000</v>
          </cell>
          <cell r="D32">
            <v>20000</v>
          </cell>
        </row>
      </sheetData>
      <sheetData sheetId="7">
        <row r="3">
          <cell r="C3">
            <v>350000</v>
          </cell>
          <cell r="D3">
            <v>350000</v>
          </cell>
        </row>
        <row r="7">
          <cell r="C7">
            <v>500000</v>
          </cell>
          <cell r="D7">
            <v>500000</v>
          </cell>
        </row>
        <row r="10">
          <cell r="C10">
            <v>75000</v>
          </cell>
          <cell r="D10">
            <v>75000</v>
          </cell>
        </row>
        <row r="13">
          <cell r="C13">
            <v>101819</v>
          </cell>
          <cell r="D13">
            <v>101819</v>
          </cell>
        </row>
        <row r="14">
          <cell r="C14">
            <v>10000</v>
          </cell>
          <cell r="D14">
            <v>10000</v>
          </cell>
        </row>
        <row r="15">
          <cell r="C15">
            <v>20000</v>
          </cell>
          <cell r="D15">
            <v>20000</v>
          </cell>
        </row>
        <row r="22">
          <cell r="C22">
            <v>9500</v>
          </cell>
          <cell r="D22">
            <v>9500</v>
          </cell>
        </row>
        <row r="24">
          <cell r="C24">
            <v>22215</v>
          </cell>
          <cell r="D24">
            <v>22215</v>
          </cell>
        </row>
        <row r="27">
          <cell r="C27">
            <v>130000</v>
          </cell>
        </row>
        <row r="29">
          <cell r="C29">
            <v>29000</v>
          </cell>
          <cell r="D29">
            <v>29000</v>
          </cell>
        </row>
        <row r="31">
          <cell r="C31">
            <v>70000</v>
          </cell>
          <cell r="D31">
            <v>70000</v>
          </cell>
        </row>
        <row r="36">
          <cell r="C36">
            <v>120000</v>
          </cell>
          <cell r="D36">
            <v>120000</v>
          </cell>
        </row>
        <row r="38">
          <cell r="C38">
            <v>200000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予測"/>
      <sheetName val="予実対比用"/>
      <sheetName val="合算"/>
      <sheetName val="2024.07～恵愛予測"/>
      <sheetName val="2024.7~シェアバー予測"/>
      <sheetName val="2024.7~村予測"/>
      <sheetName val="2024.7~弁当予測"/>
      <sheetName val="2024.7~サウナ予測"/>
      <sheetName val="2024.07~本部予測"/>
      <sheetName val="恵愛予算202507～"/>
    </sheetNames>
    <sheetDataSet>
      <sheetData sheetId="0"/>
      <sheetData sheetId="1"/>
      <sheetData sheetId="2"/>
      <sheetData sheetId="3">
        <row r="3">
          <cell r="L3">
            <v>7000000</v>
          </cell>
          <cell r="M3">
            <v>7000000</v>
          </cell>
          <cell r="N3">
            <v>7000000</v>
          </cell>
        </row>
        <row r="4">
          <cell r="L4">
            <v>1785000</v>
          </cell>
          <cell r="M4">
            <v>1785000</v>
          </cell>
          <cell r="N4">
            <v>1785000</v>
          </cell>
        </row>
        <row r="7">
          <cell r="L7"/>
          <cell r="M7"/>
          <cell r="N7"/>
        </row>
        <row r="8">
          <cell r="L8">
            <v>350000</v>
          </cell>
          <cell r="M8">
            <v>350000</v>
          </cell>
          <cell r="N8">
            <v>350000</v>
          </cell>
        </row>
        <row r="9">
          <cell r="L9">
            <v>1190000</v>
          </cell>
          <cell r="M9">
            <v>1190000</v>
          </cell>
          <cell r="N9">
            <v>1190000</v>
          </cell>
        </row>
        <row r="10">
          <cell r="L10">
            <v>80000</v>
          </cell>
          <cell r="M10">
            <v>80000</v>
          </cell>
          <cell r="N10">
            <v>80000</v>
          </cell>
        </row>
        <row r="11">
          <cell r="L11"/>
          <cell r="M11"/>
          <cell r="N11"/>
        </row>
        <row r="12">
          <cell r="L12"/>
          <cell r="M12"/>
          <cell r="N12"/>
        </row>
        <row r="13">
          <cell r="L13"/>
          <cell r="M13"/>
          <cell r="N13"/>
        </row>
        <row r="14">
          <cell r="L14">
            <v>40000</v>
          </cell>
          <cell r="M14">
            <v>40000</v>
          </cell>
          <cell r="N14">
            <v>40000</v>
          </cell>
        </row>
        <row r="15">
          <cell r="L15">
            <v>20530</v>
          </cell>
          <cell r="M15">
            <v>20530</v>
          </cell>
          <cell r="N15">
            <v>20530</v>
          </cell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>
            <v>501574</v>
          </cell>
          <cell r="M19">
            <v>501574</v>
          </cell>
          <cell r="N19">
            <v>501574</v>
          </cell>
        </row>
        <row r="20">
          <cell r="L20">
            <v>30000</v>
          </cell>
          <cell r="M20">
            <v>30000</v>
          </cell>
          <cell r="N20">
            <v>30000</v>
          </cell>
        </row>
        <row r="21">
          <cell r="L21">
            <v>846878</v>
          </cell>
          <cell r="M21">
            <v>846878</v>
          </cell>
          <cell r="N21">
            <v>846878</v>
          </cell>
        </row>
        <row r="22">
          <cell r="L22">
            <v>32800</v>
          </cell>
          <cell r="M22">
            <v>32800</v>
          </cell>
          <cell r="N22">
            <v>32800</v>
          </cell>
        </row>
        <row r="23">
          <cell r="L23">
            <v>10000</v>
          </cell>
          <cell r="M23">
            <v>10000</v>
          </cell>
          <cell r="N23">
            <v>10000</v>
          </cell>
        </row>
        <row r="24">
          <cell r="L24"/>
          <cell r="M24"/>
          <cell r="N24"/>
        </row>
        <row r="25">
          <cell r="L25">
            <v>560000</v>
          </cell>
          <cell r="M25">
            <v>560000</v>
          </cell>
          <cell r="N25">
            <v>560000</v>
          </cell>
        </row>
        <row r="26">
          <cell r="L26">
            <v>140000</v>
          </cell>
          <cell r="M26">
            <v>140000</v>
          </cell>
          <cell r="N26">
            <v>140000</v>
          </cell>
        </row>
        <row r="27">
          <cell r="L27">
            <v>1000</v>
          </cell>
          <cell r="M27">
            <v>1000</v>
          </cell>
          <cell r="N27">
            <v>1000</v>
          </cell>
        </row>
        <row r="28">
          <cell r="L28">
            <v>165000</v>
          </cell>
          <cell r="M28">
            <v>165000</v>
          </cell>
          <cell r="N28">
            <v>165000</v>
          </cell>
        </row>
        <row r="29">
          <cell r="L29">
            <v>160000</v>
          </cell>
          <cell r="M29">
            <v>160000</v>
          </cell>
          <cell r="N29">
            <v>160000</v>
          </cell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>
            <v>30000</v>
          </cell>
          <cell r="M32">
            <v>30000</v>
          </cell>
          <cell r="N32">
            <v>30000</v>
          </cell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4">
        <row r="3">
          <cell r="L3">
            <v>150000</v>
          </cell>
          <cell r="M3">
            <v>150000</v>
          </cell>
          <cell r="N3">
            <v>150000</v>
          </cell>
        </row>
        <row r="4">
          <cell r="L4">
            <v>45000</v>
          </cell>
          <cell r="M4">
            <v>45000</v>
          </cell>
          <cell r="N4">
            <v>45000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>
            <v>60000</v>
          </cell>
          <cell r="M12">
            <v>60000</v>
          </cell>
          <cell r="N12">
            <v>60000</v>
          </cell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/>
          <cell r="M15"/>
          <cell r="N15"/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/>
          <cell r="M21"/>
          <cell r="N21"/>
        </row>
        <row r="22">
          <cell r="L22"/>
          <cell r="M22"/>
          <cell r="N22"/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/>
          <cell r="M25"/>
          <cell r="N25"/>
        </row>
        <row r="26">
          <cell r="L26"/>
          <cell r="M26"/>
          <cell r="N26"/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/>
          <cell r="M29"/>
          <cell r="N29"/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/>
          <cell r="M32"/>
          <cell r="N32"/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5">
        <row r="3">
          <cell r="L3">
            <v>750000</v>
          </cell>
          <cell r="M3">
            <v>750000</v>
          </cell>
          <cell r="N3">
            <v>750000</v>
          </cell>
        </row>
        <row r="4">
          <cell r="L4">
            <v>112500</v>
          </cell>
          <cell r="M4">
            <v>112500</v>
          </cell>
          <cell r="N4">
            <v>112500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>
            <v>60000</v>
          </cell>
          <cell r="M9">
            <v>60000</v>
          </cell>
          <cell r="N9">
            <v>60000</v>
          </cell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/>
          <cell r="M12"/>
          <cell r="N12"/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/>
          <cell r="M15"/>
          <cell r="N15"/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>
            <v>400000</v>
          </cell>
          <cell r="M21">
            <v>400000</v>
          </cell>
          <cell r="N21">
            <v>400000</v>
          </cell>
        </row>
        <row r="22">
          <cell r="L22"/>
          <cell r="M22"/>
          <cell r="N22"/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>
            <v>100000</v>
          </cell>
          <cell r="M25">
            <v>100000</v>
          </cell>
          <cell r="N25">
            <v>100000</v>
          </cell>
        </row>
        <row r="26">
          <cell r="L26"/>
          <cell r="M26"/>
          <cell r="N26"/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>
            <v>52500.000000000007</v>
          </cell>
          <cell r="M29">
            <v>52500.000000000007</v>
          </cell>
          <cell r="N29">
            <v>52500.000000000007</v>
          </cell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/>
          <cell r="M32"/>
          <cell r="N32"/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6">
        <row r="3">
          <cell r="L3">
            <v>350000</v>
          </cell>
          <cell r="M3">
            <v>350000</v>
          </cell>
          <cell r="N3">
            <v>350000</v>
          </cell>
        </row>
        <row r="4">
          <cell r="L4">
            <v>140000</v>
          </cell>
          <cell r="M4">
            <v>140000</v>
          </cell>
          <cell r="N4">
            <v>140000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>
            <v>175000</v>
          </cell>
          <cell r="M12">
            <v>175000</v>
          </cell>
          <cell r="N12">
            <v>175000</v>
          </cell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/>
          <cell r="M15"/>
          <cell r="N15"/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/>
          <cell r="M21"/>
          <cell r="N21"/>
        </row>
        <row r="22">
          <cell r="L22"/>
          <cell r="M22"/>
          <cell r="N22"/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/>
          <cell r="M25"/>
          <cell r="N25"/>
        </row>
        <row r="26">
          <cell r="L26">
            <v>10000</v>
          </cell>
          <cell r="M26">
            <v>10000</v>
          </cell>
          <cell r="N26">
            <v>10000</v>
          </cell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/>
          <cell r="M29"/>
          <cell r="N29"/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/>
          <cell r="M32"/>
          <cell r="N32"/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7">
        <row r="3">
          <cell r="L3">
            <v>1000000</v>
          </cell>
          <cell r="M3">
            <v>1000000</v>
          </cell>
          <cell r="N3">
            <v>1000000</v>
          </cell>
        </row>
        <row r="4">
          <cell r="L4">
            <v>100000</v>
          </cell>
          <cell r="M4">
            <v>100000</v>
          </cell>
          <cell r="N4">
            <v>100000</v>
          </cell>
        </row>
        <row r="7">
          <cell r="L7"/>
          <cell r="M7"/>
          <cell r="N7"/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/>
          <cell r="M10"/>
          <cell r="N10"/>
        </row>
        <row r="11">
          <cell r="L11"/>
          <cell r="M11"/>
          <cell r="N11"/>
        </row>
        <row r="12">
          <cell r="L12">
            <v>25000</v>
          </cell>
          <cell r="M12">
            <v>25000</v>
          </cell>
          <cell r="N12">
            <v>25000</v>
          </cell>
        </row>
        <row r="13">
          <cell r="L13"/>
          <cell r="M13"/>
          <cell r="N13"/>
        </row>
        <row r="14">
          <cell r="L14"/>
          <cell r="M14"/>
          <cell r="N14"/>
        </row>
        <row r="15">
          <cell r="L15">
            <v>24000</v>
          </cell>
          <cell r="M15">
            <v>24000</v>
          </cell>
          <cell r="N15">
            <v>24000</v>
          </cell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>
            <v>189015</v>
          </cell>
          <cell r="M19">
            <v>189015</v>
          </cell>
          <cell r="N19">
            <v>189015</v>
          </cell>
        </row>
        <row r="20">
          <cell r="L20"/>
          <cell r="M20"/>
          <cell r="N20"/>
        </row>
        <row r="21">
          <cell r="L21">
            <v>398783</v>
          </cell>
          <cell r="M21">
            <v>398783</v>
          </cell>
          <cell r="N21">
            <v>398783</v>
          </cell>
        </row>
        <row r="22">
          <cell r="L22">
            <v>7400</v>
          </cell>
          <cell r="M22">
            <v>7400</v>
          </cell>
          <cell r="N22">
            <v>7400</v>
          </cell>
        </row>
        <row r="23">
          <cell r="L23"/>
          <cell r="M23"/>
          <cell r="N23"/>
        </row>
        <row r="24">
          <cell r="L24"/>
          <cell r="M24"/>
          <cell r="N24"/>
        </row>
        <row r="25">
          <cell r="L25">
            <v>200000</v>
          </cell>
          <cell r="M25">
            <v>200000</v>
          </cell>
          <cell r="N25">
            <v>200000</v>
          </cell>
        </row>
        <row r="26">
          <cell r="L26">
            <v>50000</v>
          </cell>
          <cell r="M26">
            <v>50000</v>
          </cell>
          <cell r="N26">
            <v>50000</v>
          </cell>
        </row>
        <row r="27">
          <cell r="L27"/>
          <cell r="M27"/>
          <cell r="N27"/>
        </row>
        <row r="28">
          <cell r="L28"/>
          <cell r="M28"/>
          <cell r="N28"/>
        </row>
        <row r="29">
          <cell r="L29">
            <v>40000</v>
          </cell>
          <cell r="M29">
            <v>40000</v>
          </cell>
          <cell r="N29">
            <v>40000</v>
          </cell>
        </row>
        <row r="30">
          <cell r="L30"/>
          <cell r="M30"/>
          <cell r="N30"/>
        </row>
        <row r="31">
          <cell r="L31"/>
          <cell r="M31"/>
          <cell r="N31"/>
        </row>
        <row r="32">
          <cell r="L32">
            <v>20000</v>
          </cell>
          <cell r="M32">
            <v>20000</v>
          </cell>
          <cell r="N32">
            <v>20000</v>
          </cell>
        </row>
        <row r="36">
          <cell r="L36"/>
          <cell r="M36"/>
          <cell r="N36"/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8">
        <row r="3">
          <cell r="L3">
            <v>350000</v>
          </cell>
          <cell r="M3">
            <v>350000</v>
          </cell>
          <cell r="N3">
            <v>350000</v>
          </cell>
        </row>
        <row r="4">
          <cell r="L4"/>
          <cell r="M4"/>
          <cell r="N4"/>
        </row>
        <row r="7">
          <cell r="L7">
            <v>500000</v>
          </cell>
          <cell r="M7">
            <v>500000</v>
          </cell>
          <cell r="N7">
            <v>500000</v>
          </cell>
        </row>
        <row r="8">
          <cell r="L8"/>
          <cell r="M8"/>
          <cell r="N8"/>
        </row>
        <row r="9">
          <cell r="L9"/>
          <cell r="M9"/>
          <cell r="N9"/>
        </row>
        <row r="10">
          <cell r="L10">
            <v>60000</v>
          </cell>
          <cell r="M10">
            <v>60000</v>
          </cell>
          <cell r="N10">
            <v>60000</v>
          </cell>
        </row>
        <row r="11">
          <cell r="L11"/>
          <cell r="M11"/>
          <cell r="N11"/>
        </row>
        <row r="12">
          <cell r="L12"/>
          <cell r="M12"/>
          <cell r="N12"/>
        </row>
        <row r="13">
          <cell r="L13">
            <v>101819</v>
          </cell>
          <cell r="M13">
            <v>101819</v>
          </cell>
          <cell r="N13">
            <v>101819</v>
          </cell>
        </row>
        <row r="14">
          <cell r="L14">
            <v>10000</v>
          </cell>
          <cell r="M14">
            <v>10000</v>
          </cell>
          <cell r="N14">
            <v>10000</v>
          </cell>
        </row>
        <row r="15">
          <cell r="L15">
            <v>20000</v>
          </cell>
          <cell r="M15">
            <v>20000</v>
          </cell>
          <cell r="N15">
            <v>20000</v>
          </cell>
        </row>
        <row r="16">
          <cell r="L16"/>
          <cell r="M16"/>
          <cell r="N16"/>
        </row>
        <row r="17">
          <cell r="L17"/>
          <cell r="M17"/>
          <cell r="N17"/>
        </row>
        <row r="18">
          <cell r="L18"/>
          <cell r="M18"/>
          <cell r="N18"/>
        </row>
        <row r="19">
          <cell r="L19"/>
          <cell r="M19"/>
          <cell r="N19"/>
        </row>
        <row r="20">
          <cell r="L20"/>
          <cell r="M20"/>
          <cell r="N20"/>
        </row>
        <row r="21">
          <cell r="L21"/>
          <cell r="M21"/>
          <cell r="N21"/>
        </row>
        <row r="22">
          <cell r="L22">
            <v>9500</v>
          </cell>
          <cell r="M22">
            <v>9500</v>
          </cell>
          <cell r="N22">
            <v>9500</v>
          </cell>
        </row>
        <row r="23">
          <cell r="L23"/>
          <cell r="M23"/>
          <cell r="N23"/>
        </row>
        <row r="24">
          <cell r="L24">
            <v>22215</v>
          </cell>
          <cell r="M24">
            <v>22215</v>
          </cell>
          <cell r="N24">
            <v>22215</v>
          </cell>
        </row>
        <row r="25">
          <cell r="L25"/>
          <cell r="M25"/>
          <cell r="N25"/>
        </row>
        <row r="26">
          <cell r="L26"/>
          <cell r="M26"/>
          <cell r="N26"/>
        </row>
        <row r="27">
          <cell r="L27">
            <v>130000</v>
          </cell>
          <cell r="M27"/>
          <cell r="N27"/>
        </row>
        <row r="28">
          <cell r="L28"/>
          <cell r="M28"/>
          <cell r="N28"/>
        </row>
        <row r="29">
          <cell r="L29">
            <v>89000</v>
          </cell>
          <cell r="M29">
            <v>29000</v>
          </cell>
          <cell r="N29">
            <v>79000</v>
          </cell>
        </row>
        <row r="30">
          <cell r="L30"/>
          <cell r="M30"/>
          <cell r="N30"/>
        </row>
        <row r="31">
          <cell r="L31">
            <v>70000</v>
          </cell>
          <cell r="M31">
            <v>70000</v>
          </cell>
          <cell r="N31">
            <v>70000</v>
          </cell>
        </row>
        <row r="32">
          <cell r="L32">
            <v>37000</v>
          </cell>
          <cell r="M32"/>
          <cell r="N32"/>
        </row>
        <row r="36">
          <cell r="L36">
            <v>120000</v>
          </cell>
          <cell r="M36">
            <v>120000</v>
          </cell>
          <cell r="N36">
            <v>120000</v>
          </cell>
        </row>
        <row r="37">
          <cell r="L37"/>
          <cell r="M37"/>
          <cell r="N37"/>
        </row>
        <row r="38">
          <cell r="L38"/>
          <cell r="M38"/>
          <cell r="N38"/>
        </row>
      </sheetData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予測"/>
      <sheetName val="予実対比用"/>
      <sheetName val="合算"/>
      <sheetName val="2024.07～恵愛予測"/>
      <sheetName val="2024.7~シェアバー予測"/>
      <sheetName val="2024.7~村予測"/>
      <sheetName val="2024.7~弁当予測"/>
      <sheetName val="2024.7~サウナ予測"/>
      <sheetName val="2024.07~本部予測"/>
      <sheetName val="恵愛予算202507～"/>
    </sheetNames>
    <sheetDataSet>
      <sheetData sheetId="0"/>
      <sheetData sheetId="1"/>
      <sheetData sheetId="2"/>
      <sheetData sheetId="3">
        <row r="14">
          <cell r="G14">
            <v>40000</v>
          </cell>
          <cell r="H14">
            <v>45000</v>
          </cell>
          <cell r="I14">
            <v>45000</v>
          </cell>
          <cell r="J14">
            <v>45000</v>
          </cell>
          <cell r="K14">
            <v>45000</v>
          </cell>
        </row>
        <row r="15">
          <cell r="G15">
            <v>20530</v>
          </cell>
          <cell r="H15">
            <v>20530</v>
          </cell>
          <cell r="I15">
            <v>20530</v>
          </cell>
          <cell r="J15">
            <v>20530</v>
          </cell>
          <cell r="K15">
            <v>20530</v>
          </cell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>
            <v>20000</v>
          </cell>
          <cell r="I18"/>
          <cell r="J18"/>
          <cell r="K18">
            <v>20000</v>
          </cell>
        </row>
        <row r="19">
          <cell r="G19">
            <v>501574</v>
          </cell>
          <cell r="H19">
            <v>501574</v>
          </cell>
          <cell r="I19">
            <v>501574</v>
          </cell>
          <cell r="J19">
            <v>501574</v>
          </cell>
          <cell r="K19">
            <v>501574</v>
          </cell>
        </row>
        <row r="20">
          <cell r="G20">
            <v>30000</v>
          </cell>
          <cell r="H20">
            <v>30000</v>
          </cell>
          <cell r="I20">
            <v>30000</v>
          </cell>
          <cell r="J20">
            <v>30000</v>
          </cell>
          <cell r="K20">
            <v>30000</v>
          </cell>
        </row>
        <row r="21">
          <cell r="G21">
            <v>846878</v>
          </cell>
          <cell r="H21">
            <v>846878</v>
          </cell>
          <cell r="I21">
            <v>846878</v>
          </cell>
          <cell r="J21">
            <v>846878</v>
          </cell>
          <cell r="K21">
            <v>846878</v>
          </cell>
        </row>
        <row r="22">
          <cell r="G22">
            <v>32800</v>
          </cell>
          <cell r="H22">
            <v>32800</v>
          </cell>
          <cell r="I22">
            <v>32800</v>
          </cell>
          <cell r="J22">
            <v>32800</v>
          </cell>
          <cell r="K22">
            <v>32800</v>
          </cell>
        </row>
        <row r="23">
          <cell r="G23">
            <v>10000</v>
          </cell>
          <cell r="H23">
            <v>10000</v>
          </cell>
          <cell r="I23">
            <v>10000</v>
          </cell>
          <cell r="J23">
            <v>10000</v>
          </cell>
          <cell r="K23">
            <v>10000</v>
          </cell>
        </row>
        <row r="24">
          <cell r="G24"/>
          <cell r="H24"/>
          <cell r="I24"/>
          <cell r="J24"/>
          <cell r="K24"/>
        </row>
        <row r="25">
          <cell r="G25">
            <v>560000</v>
          </cell>
          <cell r="H25">
            <v>760000</v>
          </cell>
          <cell r="I25">
            <v>560000</v>
          </cell>
          <cell r="J25">
            <v>560000</v>
          </cell>
          <cell r="K25">
            <v>680000</v>
          </cell>
        </row>
        <row r="26">
          <cell r="G26">
            <v>140000</v>
          </cell>
          <cell r="H26">
            <v>190000</v>
          </cell>
          <cell r="I26">
            <v>140000</v>
          </cell>
          <cell r="J26">
            <v>140000</v>
          </cell>
          <cell r="K26">
            <v>170000</v>
          </cell>
        </row>
        <row r="27">
          <cell r="G27">
            <v>1000</v>
          </cell>
          <cell r="H27">
            <v>1000</v>
          </cell>
          <cell r="I27">
            <v>1000</v>
          </cell>
          <cell r="J27">
            <v>1000</v>
          </cell>
          <cell r="K27">
            <v>1000</v>
          </cell>
        </row>
        <row r="28">
          <cell r="G28">
            <v>165000</v>
          </cell>
          <cell r="H28">
            <v>165000</v>
          </cell>
          <cell r="I28">
            <v>165000</v>
          </cell>
          <cell r="J28">
            <v>165000</v>
          </cell>
          <cell r="K28">
            <v>165000</v>
          </cell>
        </row>
        <row r="29">
          <cell r="G29">
            <v>160000</v>
          </cell>
          <cell r="H29">
            <v>212500</v>
          </cell>
          <cell r="I29">
            <v>160000</v>
          </cell>
          <cell r="J29">
            <v>160000</v>
          </cell>
          <cell r="K29">
            <v>191500</v>
          </cell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>
            <v>30000</v>
          </cell>
          <cell r="H32">
            <v>30000</v>
          </cell>
          <cell r="I32">
            <v>30000</v>
          </cell>
          <cell r="J32">
            <v>30000</v>
          </cell>
          <cell r="K32">
            <v>30000</v>
          </cell>
        </row>
      </sheetData>
      <sheetData sheetId="4">
        <row r="14">
          <cell r="G14"/>
          <cell r="H14"/>
          <cell r="I14"/>
          <cell r="J14"/>
          <cell r="K14"/>
        </row>
        <row r="15">
          <cell r="G15"/>
          <cell r="H15"/>
          <cell r="I15"/>
          <cell r="J15"/>
          <cell r="K15"/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/>
          <cell r="H21"/>
          <cell r="I21"/>
          <cell r="J21"/>
          <cell r="K21"/>
        </row>
        <row r="22">
          <cell r="G22"/>
          <cell r="H22"/>
          <cell r="I22"/>
          <cell r="J22"/>
          <cell r="K22"/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/>
          <cell r="H25"/>
          <cell r="I25"/>
          <cell r="J25"/>
          <cell r="K25"/>
        </row>
        <row r="26">
          <cell r="G26"/>
          <cell r="H26"/>
          <cell r="I26"/>
          <cell r="K26"/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/>
          <cell r="H29"/>
          <cell r="I29"/>
          <cell r="J29"/>
          <cell r="K29"/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/>
          <cell r="H32"/>
          <cell r="I32"/>
          <cell r="J32"/>
          <cell r="K32"/>
        </row>
      </sheetData>
      <sheetData sheetId="5">
        <row r="14">
          <cell r="G14"/>
          <cell r="H14"/>
          <cell r="I14"/>
          <cell r="J14"/>
          <cell r="K14"/>
        </row>
        <row r="15">
          <cell r="G15"/>
          <cell r="H15"/>
          <cell r="I15"/>
          <cell r="J15"/>
          <cell r="K15"/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>
            <v>400000</v>
          </cell>
          <cell r="H21">
            <v>400000</v>
          </cell>
          <cell r="I21">
            <v>400000</v>
          </cell>
          <cell r="J21">
            <v>400000</v>
          </cell>
          <cell r="K21">
            <v>400000</v>
          </cell>
        </row>
        <row r="22">
          <cell r="G22"/>
          <cell r="H22"/>
          <cell r="I22"/>
          <cell r="J22"/>
          <cell r="K22"/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>
            <v>100000</v>
          </cell>
          <cell r="H25">
            <v>100000</v>
          </cell>
          <cell r="I25">
            <v>100000</v>
          </cell>
          <cell r="J25">
            <v>100000</v>
          </cell>
          <cell r="K25">
            <v>100000</v>
          </cell>
        </row>
        <row r="26">
          <cell r="G26"/>
          <cell r="H26"/>
          <cell r="I26"/>
          <cell r="J26"/>
          <cell r="K26"/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>
            <v>52500.000000000007</v>
          </cell>
          <cell r="H29">
            <v>52500.000000000007</v>
          </cell>
          <cell r="I29">
            <v>52500.000000000007</v>
          </cell>
          <cell r="J29">
            <v>52500.000000000007</v>
          </cell>
          <cell r="K29">
            <v>52500.000000000007</v>
          </cell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/>
          <cell r="H32"/>
          <cell r="I32"/>
          <cell r="J32"/>
          <cell r="K32"/>
        </row>
      </sheetData>
      <sheetData sheetId="6">
        <row r="14">
          <cell r="G14"/>
          <cell r="H14"/>
          <cell r="I14"/>
          <cell r="J14"/>
          <cell r="K14"/>
        </row>
        <row r="15">
          <cell r="G15"/>
          <cell r="H15"/>
          <cell r="I15"/>
          <cell r="J15"/>
          <cell r="K15"/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/>
          <cell r="H21"/>
          <cell r="I21"/>
          <cell r="J21"/>
          <cell r="K21"/>
        </row>
        <row r="22">
          <cell r="G22"/>
          <cell r="H22"/>
          <cell r="I22"/>
          <cell r="J22"/>
          <cell r="K22"/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/>
          <cell r="H25"/>
          <cell r="I25"/>
          <cell r="J25"/>
          <cell r="K25"/>
        </row>
        <row r="26">
          <cell r="G26">
            <v>10000</v>
          </cell>
          <cell r="H26">
            <v>10000</v>
          </cell>
          <cell r="I26">
            <v>10000</v>
          </cell>
          <cell r="J26">
            <v>10000</v>
          </cell>
          <cell r="K26">
            <v>10000</v>
          </cell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/>
          <cell r="H29"/>
          <cell r="I29"/>
          <cell r="J29"/>
          <cell r="K29"/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/>
          <cell r="H32"/>
          <cell r="I32"/>
          <cell r="J32"/>
          <cell r="K32"/>
        </row>
      </sheetData>
      <sheetData sheetId="7">
        <row r="14">
          <cell r="G14"/>
          <cell r="H14"/>
          <cell r="I14"/>
          <cell r="J14"/>
          <cell r="K14"/>
        </row>
        <row r="15">
          <cell r="G15">
            <v>24000</v>
          </cell>
          <cell r="H15">
            <v>24000</v>
          </cell>
          <cell r="I15">
            <v>24000</v>
          </cell>
          <cell r="J15">
            <v>24000</v>
          </cell>
          <cell r="K15">
            <v>24000</v>
          </cell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>
            <v>189015</v>
          </cell>
          <cell r="H19">
            <v>189015</v>
          </cell>
          <cell r="I19">
            <v>189015</v>
          </cell>
          <cell r="J19">
            <v>189015</v>
          </cell>
          <cell r="K19">
            <v>189015</v>
          </cell>
        </row>
        <row r="20">
          <cell r="G20"/>
          <cell r="H20"/>
          <cell r="I20"/>
          <cell r="J20"/>
          <cell r="K20"/>
        </row>
        <row r="21">
          <cell r="G21">
            <v>398783</v>
          </cell>
          <cell r="H21">
            <v>398783</v>
          </cell>
          <cell r="I21">
            <v>398783</v>
          </cell>
          <cell r="J21">
            <v>398783</v>
          </cell>
          <cell r="K21">
            <v>398783</v>
          </cell>
        </row>
        <row r="22">
          <cell r="G22">
            <v>7400</v>
          </cell>
          <cell r="H22">
            <v>7400</v>
          </cell>
          <cell r="I22">
            <v>7400</v>
          </cell>
          <cell r="J22">
            <v>7400</v>
          </cell>
          <cell r="K22">
            <v>7400</v>
          </cell>
        </row>
        <row r="23">
          <cell r="G23"/>
          <cell r="H23"/>
          <cell r="I23"/>
          <cell r="J23"/>
          <cell r="K23"/>
        </row>
        <row r="24">
          <cell r="G24"/>
          <cell r="H24"/>
          <cell r="I24"/>
          <cell r="J24"/>
          <cell r="K24"/>
        </row>
        <row r="25">
          <cell r="G25">
            <v>200000</v>
          </cell>
          <cell r="H25">
            <v>200000</v>
          </cell>
          <cell r="I25">
            <v>200000</v>
          </cell>
          <cell r="J25">
            <v>200000</v>
          </cell>
          <cell r="K25">
            <v>200000</v>
          </cell>
        </row>
        <row r="26">
          <cell r="G26">
            <v>50000</v>
          </cell>
          <cell r="H26">
            <v>50000</v>
          </cell>
          <cell r="I26">
            <v>50000</v>
          </cell>
          <cell r="J26">
            <v>50000</v>
          </cell>
          <cell r="K26">
            <v>50000</v>
          </cell>
        </row>
        <row r="27">
          <cell r="G27"/>
          <cell r="H27"/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>
            <v>40000</v>
          </cell>
          <cell r="H29">
            <v>40000</v>
          </cell>
          <cell r="I29">
            <v>40000</v>
          </cell>
          <cell r="J29">
            <v>40000</v>
          </cell>
          <cell r="K29">
            <v>40000</v>
          </cell>
        </row>
        <row r="30">
          <cell r="G30"/>
          <cell r="H30"/>
          <cell r="I30"/>
          <cell r="J30"/>
          <cell r="K30"/>
        </row>
        <row r="31">
          <cell r="G31"/>
          <cell r="H31"/>
          <cell r="I31"/>
          <cell r="J31"/>
          <cell r="K31"/>
        </row>
        <row r="32">
          <cell r="G32">
            <v>20000</v>
          </cell>
          <cell r="H32">
            <v>20000</v>
          </cell>
          <cell r="I32">
            <v>20000</v>
          </cell>
          <cell r="J32">
            <v>20000</v>
          </cell>
          <cell r="K32">
            <v>20000</v>
          </cell>
        </row>
      </sheetData>
      <sheetData sheetId="8">
        <row r="14">
          <cell r="G14">
            <v>10000</v>
          </cell>
          <cell r="H14">
            <v>10000</v>
          </cell>
          <cell r="I14">
            <v>10000</v>
          </cell>
          <cell r="J14">
            <v>10000</v>
          </cell>
          <cell r="K14">
            <v>10000</v>
          </cell>
        </row>
        <row r="15">
          <cell r="G15">
            <v>20000</v>
          </cell>
          <cell r="H15">
            <v>20000</v>
          </cell>
          <cell r="I15">
            <v>20000</v>
          </cell>
          <cell r="J15">
            <v>20000</v>
          </cell>
          <cell r="K15">
            <v>20000</v>
          </cell>
        </row>
        <row r="16">
          <cell r="G16"/>
          <cell r="H16"/>
          <cell r="I16"/>
          <cell r="J16"/>
          <cell r="K16"/>
        </row>
        <row r="17">
          <cell r="G17"/>
          <cell r="H17"/>
          <cell r="I17"/>
          <cell r="J17"/>
          <cell r="K17"/>
        </row>
        <row r="18">
          <cell r="G18"/>
          <cell r="H18"/>
          <cell r="I18"/>
          <cell r="J18"/>
          <cell r="K18"/>
        </row>
        <row r="19">
          <cell r="G19"/>
          <cell r="H19"/>
          <cell r="I19"/>
          <cell r="J19"/>
          <cell r="K19"/>
        </row>
        <row r="20">
          <cell r="G20"/>
          <cell r="H20"/>
          <cell r="I20"/>
          <cell r="J20"/>
          <cell r="K20"/>
        </row>
        <row r="21">
          <cell r="G21"/>
          <cell r="H21"/>
          <cell r="I21"/>
          <cell r="J21"/>
          <cell r="K21"/>
        </row>
        <row r="22">
          <cell r="G22">
            <v>9500</v>
          </cell>
          <cell r="H22">
            <v>9500</v>
          </cell>
          <cell r="I22">
            <v>9500</v>
          </cell>
          <cell r="J22">
            <v>9500</v>
          </cell>
          <cell r="K22">
            <v>9500</v>
          </cell>
        </row>
        <row r="23">
          <cell r="G23"/>
          <cell r="H23"/>
          <cell r="I23"/>
          <cell r="J23"/>
          <cell r="K23"/>
        </row>
        <row r="24">
          <cell r="G24">
            <v>22215</v>
          </cell>
          <cell r="H24">
            <v>22215</v>
          </cell>
          <cell r="I24">
            <v>22215</v>
          </cell>
          <cell r="J24">
            <v>22215</v>
          </cell>
          <cell r="K24">
            <v>22215</v>
          </cell>
        </row>
        <row r="25">
          <cell r="G25"/>
          <cell r="H25"/>
          <cell r="I25"/>
          <cell r="J25"/>
          <cell r="K25"/>
        </row>
        <row r="26">
          <cell r="G26"/>
          <cell r="H26"/>
          <cell r="I26"/>
          <cell r="J26"/>
          <cell r="K26"/>
        </row>
        <row r="27">
          <cell r="G27"/>
          <cell r="H27">
            <v>130000</v>
          </cell>
          <cell r="I27"/>
          <cell r="J27"/>
          <cell r="K27"/>
        </row>
        <row r="28">
          <cell r="G28"/>
          <cell r="H28"/>
          <cell r="I28"/>
          <cell r="J28"/>
          <cell r="K28"/>
        </row>
        <row r="29">
          <cell r="G29">
            <v>29000</v>
          </cell>
          <cell r="H29">
            <v>29000</v>
          </cell>
          <cell r="I29">
            <v>29000</v>
          </cell>
          <cell r="J29">
            <v>29000</v>
          </cell>
          <cell r="K29">
            <v>29000</v>
          </cell>
        </row>
        <row r="30">
          <cell r="G30"/>
          <cell r="H30"/>
          <cell r="I30"/>
          <cell r="J30"/>
          <cell r="K30"/>
        </row>
        <row r="31">
          <cell r="G31">
            <v>70000</v>
          </cell>
          <cell r="H31">
            <v>70000</v>
          </cell>
          <cell r="I31">
            <v>70000</v>
          </cell>
          <cell r="J31">
            <v>70000</v>
          </cell>
          <cell r="K31">
            <v>70000</v>
          </cell>
        </row>
        <row r="32">
          <cell r="G32"/>
          <cell r="H32"/>
          <cell r="I32"/>
          <cell r="J32"/>
          <cell r="K32">
            <v>24000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71" activePane="bottomRight" state="frozen"/>
      <selection pane="topRight" activeCell="C1" sqref="C1"/>
      <selection pane="bottomLeft" activeCell="A2" sqref="A2"/>
      <selection pane="bottomRight" activeCell="D5" sqref="D5:O93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2" customWidth="1"/>
    <col min="4" max="11" width="11.625" style="2" customWidth="1"/>
    <col min="12" max="15" width="10.625" style="2" customWidth="1"/>
    <col min="16" max="16384" width="9" style="2"/>
  </cols>
  <sheetData>
    <row r="1" spans="1:19" s="401" customFormat="1" ht="16.899999999999999" thickBot="1">
      <c r="B1" s="401" t="s">
        <v>0</v>
      </c>
      <c r="C1" s="402" t="s">
        <v>157</v>
      </c>
      <c r="D1" s="403" t="s">
        <v>1</v>
      </c>
      <c r="E1" s="403" t="s">
        <v>2</v>
      </c>
      <c r="F1" s="403" t="s">
        <v>183</v>
      </c>
      <c r="G1" s="403" t="s">
        <v>205</v>
      </c>
      <c r="H1" s="403" t="s">
        <v>210</v>
      </c>
      <c r="I1" s="403" t="s">
        <v>209</v>
      </c>
      <c r="J1" s="403" t="s">
        <v>211</v>
      </c>
      <c r="K1" s="403" t="s">
        <v>214</v>
      </c>
      <c r="L1" s="403">
        <v>3</v>
      </c>
      <c r="M1" s="403">
        <v>4</v>
      </c>
      <c r="N1" s="403" t="s">
        <v>216</v>
      </c>
      <c r="O1" s="403" t="s">
        <v>217</v>
      </c>
      <c r="P1" s="403"/>
      <c r="Q1" s="403"/>
      <c r="R1" s="403"/>
      <c r="S1" s="403"/>
    </row>
    <row r="2" spans="1:19" ht="16.899999999999999" thickTop="1">
      <c r="A2" s="2" t="s">
        <v>55</v>
      </c>
    </row>
    <row r="3" spans="1:19">
      <c r="A3" s="2" t="s">
        <v>56</v>
      </c>
    </row>
    <row r="4" spans="1:19">
      <c r="A4" s="2" t="s">
        <v>57</v>
      </c>
    </row>
    <row r="5" spans="1:19">
      <c r="B5" s="2" t="s">
        <v>58</v>
      </c>
      <c r="C5" s="112">
        <v>2646681</v>
      </c>
      <c r="D5" s="2">
        <v>2692031</v>
      </c>
      <c r="E5" s="2">
        <v>2697851</v>
      </c>
      <c r="F5" s="2">
        <v>2121031</v>
      </c>
      <c r="G5" s="2">
        <v>2255351</v>
      </c>
      <c r="H5" s="2">
        <v>2791061</v>
      </c>
      <c r="I5" s="2">
        <v>3237871</v>
      </c>
      <c r="J5" s="2">
        <v>2181771</v>
      </c>
      <c r="K5" s="2">
        <v>1832611</v>
      </c>
      <c r="L5" s="2">
        <v>2866171</v>
      </c>
      <c r="M5" s="2">
        <v>2205981</v>
      </c>
      <c r="N5" s="2">
        <v>2181191</v>
      </c>
      <c r="O5" s="2">
        <v>2906811</v>
      </c>
    </row>
    <row r="6" spans="1:19">
      <c r="B6" s="2" t="s">
        <v>59</v>
      </c>
      <c r="C6" s="112">
        <v>37905465</v>
      </c>
      <c r="D6" s="2">
        <v>37560836</v>
      </c>
      <c r="E6" s="2">
        <v>35756047</v>
      </c>
      <c r="F6" s="2">
        <v>35600198</v>
      </c>
      <c r="G6" s="2">
        <v>35188952</v>
      </c>
      <c r="H6" s="2">
        <v>35645955</v>
      </c>
      <c r="I6" s="2">
        <v>36227527</v>
      </c>
      <c r="J6" s="2">
        <v>35625770</v>
      </c>
      <c r="K6" s="2">
        <v>31193217</v>
      </c>
      <c r="L6" s="2">
        <v>29192910</v>
      </c>
      <c r="M6" s="2">
        <v>27892281</v>
      </c>
      <c r="N6" s="2">
        <v>27810336</v>
      </c>
      <c r="O6" s="2">
        <v>31678389</v>
      </c>
    </row>
    <row r="7" spans="1:19">
      <c r="B7" s="2" t="s">
        <v>60</v>
      </c>
      <c r="C7" s="112">
        <v>213497</v>
      </c>
      <c r="D7" s="2">
        <v>31415</v>
      </c>
      <c r="E7" s="2">
        <v>-19488</v>
      </c>
      <c r="F7" s="2">
        <v>92694</v>
      </c>
      <c r="G7" s="2">
        <v>163098</v>
      </c>
      <c r="H7" s="2">
        <v>61084</v>
      </c>
      <c r="I7" s="2">
        <v>162213</v>
      </c>
      <c r="J7" s="2">
        <v>368643</v>
      </c>
      <c r="K7" s="2">
        <v>384155</v>
      </c>
      <c r="L7" s="2">
        <v>324462</v>
      </c>
      <c r="M7" s="2">
        <v>312171</v>
      </c>
      <c r="N7" s="2">
        <v>351796</v>
      </c>
      <c r="O7" s="2">
        <v>316465</v>
      </c>
    </row>
    <row r="8" spans="1:19">
      <c r="A8" s="2" t="s">
        <v>61</v>
      </c>
      <c r="C8" s="112">
        <v>40765643</v>
      </c>
      <c r="D8" s="2">
        <v>40284282</v>
      </c>
      <c r="E8" s="2">
        <v>38434410</v>
      </c>
      <c r="F8" s="2">
        <v>37813923</v>
      </c>
      <c r="G8" s="2">
        <v>37607401</v>
      </c>
      <c r="H8" s="2">
        <v>38498100</v>
      </c>
      <c r="I8" s="2">
        <v>39627611</v>
      </c>
      <c r="J8" s="2">
        <v>38176184</v>
      </c>
      <c r="K8" s="2">
        <v>33409983</v>
      </c>
      <c r="L8" s="2">
        <v>32383543</v>
      </c>
      <c r="M8" s="2">
        <v>30410433</v>
      </c>
      <c r="N8" s="2">
        <v>30343323</v>
      </c>
      <c r="O8" s="2">
        <v>34901665</v>
      </c>
    </row>
    <row r="9" spans="1:19">
      <c r="A9" s="2" t="s">
        <v>62</v>
      </c>
    </row>
    <row r="10" spans="1:19">
      <c r="B10" s="2" t="s">
        <v>63</v>
      </c>
      <c r="C10" s="112">
        <v>8953308</v>
      </c>
      <c r="D10" s="2">
        <v>9906965</v>
      </c>
      <c r="E10" s="2">
        <v>10752692</v>
      </c>
      <c r="F10" s="2">
        <v>10434641</v>
      </c>
      <c r="G10" s="2">
        <v>11510344</v>
      </c>
      <c r="H10" s="2">
        <v>11809720</v>
      </c>
      <c r="I10" s="2">
        <v>13589176</v>
      </c>
      <c r="J10" s="2">
        <v>13035142</v>
      </c>
      <c r="K10" s="2">
        <v>13691148</v>
      </c>
      <c r="L10" s="2">
        <v>14752238</v>
      </c>
      <c r="M10" s="2">
        <v>15273355</v>
      </c>
      <c r="N10" s="2">
        <v>16433660</v>
      </c>
      <c r="O10" s="2">
        <v>9716690</v>
      </c>
    </row>
    <row r="11" spans="1:19">
      <c r="A11" s="2" t="s">
        <v>64</v>
      </c>
      <c r="C11" s="112">
        <v>8953308</v>
      </c>
      <c r="D11" s="2">
        <v>9906965</v>
      </c>
      <c r="E11" s="2">
        <v>10752692</v>
      </c>
      <c r="F11" s="2">
        <v>10434641</v>
      </c>
      <c r="G11" s="2">
        <v>11510344</v>
      </c>
      <c r="H11" s="2">
        <v>11809720</v>
      </c>
      <c r="I11" s="2">
        <v>13589176</v>
      </c>
      <c r="J11" s="2">
        <v>13035142</v>
      </c>
      <c r="K11" s="2">
        <v>13691148</v>
      </c>
      <c r="L11" s="2">
        <v>14752238</v>
      </c>
      <c r="M11" s="2">
        <v>15273355</v>
      </c>
      <c r="N11" s="2">
        <v>16433660</v>
      </c>
      <c r="O11" s="2">
        <v>9716690</v>
      </c>
    </row>
    <row r="12" spans="1:19">
      <c r="A12" s="2" t="s">
        <v>65</v>
      </c>
    </row>
    <row r="13" spans="1:19">
      <c r="A13" s="2" t="s">
        <v>66</v>
      </c>
      <c r="C13" s="11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9">
      <c r="A14" s="2" t="s">
        <v>67</v>
      </c>
    </row>
    <row r="15" spans="1:19">
      <c r="B15" s="2" t="s">
        <v>68</v>
      </c>
      <c r="C15" s="112">
        <v>1324285</v>
      </c>
      <c r="D15" s="2">
        <v>1460296</v>
      </c>
      <c r="E15" s="2">
        <v>1288670</v>
      </c>
      <c r="F15" s="2">
        <v>1317901</v>
      </c>
      <c r="G15" s="2">
        <v>1280808</v>
      </c>
      <c r="H15" s="2">
        <v>1439855</v>
      </c>
      <c r="I15" s="2">
        <v>1677027</v>
      </c>
      <c r="J15" s="2">
        <v>1505883</v>
      </c>
      <c r="K15" s="2">
        <v>1584538</v>
      </c>
      <c r="L15" s="2">
        <v>1653458</v>
      </c>
      <c r="M15" s="2">
        <v>1664854</v>
      </c>
      <c r="N15" s="2">
        <v>1432987</v>
      </c>
      <c r="O15" s="2">
        <v>1319258</v>
      </c>
    </row>
    <row r="16" spans="1:19">
      <c r="B16" s="2" t="s">
        <v>221</v>
      </c>
      <c r="C16" s="112">
        <v>288654</v>
      </c>
      <c r="D16" s="2">
        <v>288654</v>
      </c>
      <c r="E16" s="2">
        <v>288654</v>
      </c>
      <c r="F16" s="2">
        <v>288654</v>
      </c>
      <c r="G16" s="2">
        <v>288654</v>
      </c>
      <c r="H16" s="2">
        <v>288654</v>
      </c>
      <c r="I16" s="2">
        <v>288654</v>
      </c>
      <c r="J16" s="2">
        <v>288654</v>
      </c>
      <c r="K16" s="2">
        <v>288654</v>
      </c>
      <c r="L16" s="2">
        <v>288654</v>
      </c>
      <c r="M16" s="2">
        <v>288654</v>
      </c>
      <c r="N16" s="2">
        <v>288654</v>
      </c>
      <c r="O16" s="2">
        <v>150450</v>
      </c>
    </row>
    <row r="17" spans="1:15">
      <c r="A17" s="2" t="s">
        <v>69</v>
      </c>
      <c r="C17" s="112">
        <v>1612939</v>
      </c>
      <c r="D17" s="2">
        <v>1748950</v>
      </c>
      <c r="E17" s="2">
        <v>1577324</v>
      </c>
      <c r="F17" s="2">
        <v>1606555</v>
      </c>
      <c r="G17" s="2">
        <v>1569462</v>
      </c>
      <c r="H17" s="2">
        <v>1728509</v>
      </c>
      <c r="I17" s="2">
        <v>1965681</v>
      </c>
      <c r="J17" s="2">
        <v>1794537</v>
      </c>
      <c r="K17" s="2">
        <v>1873192</v>
      </c>
      <c r="L17" s="2">
        <v>1942112</v>
      </c>
      <c r="M17" s="2">
        <v>1953508</v>
      </c>
      <c r="N17" s="2">
        <v>1721641</v>
      </c>
      <c r="O17" s="2">
        <v>1469708</v>
      </c>
    </row>
    <row r="18" spans="1:15">
      <c r="A18" s="2" t="s">
        <v>70</v>
      </c>
    </row>
    <row r="19" spans="1:15">
      <c r="B19" s="2" t="s">
        <v>220</v>
      </c>
      <c r="C19" s="112">
        <v>1742739</v>
      </c>
      <c r="D19" s="2">
        <v>1728439</v>
      </c>
      <c r="E19" s="2">
        <v>1714139</v>
      </c>
      <c r="F19" s="2">
        <v>1699839</v>
      </c>
      <c r="G19" s="2">
        <v>1685539</v>
      </c>
      <c r="H19" s="2">
        <v>1828539</v>
      </c>
      <c r="I19" s="2">
        <v>1814239</v>
      </c>
      <c r="J19" s="2">
        <v>1799939</v>
      </c>
      <c r="K19" s="2">
        <v>1785639</v>
      </c>
      <c r="L19" s="2">
        <v>1771339</v>
      </c>
      <c r="M19" s="2">
        <v>1757039</v>
      </c>
      <c r="N19" s="2">
        <v>1742739</v>
      </c>
      <c r="O19" s="2">
        <v>1742739</v>
      </c>
    </row>
    <row r="20" spans="1:15">
      <c r="B20" s="2" t="s">
        <v>71</v>
      </c>
      <c r="C20" s="112">
        <v>626802</v>
      </c>
      <c r="D20" s="2">
        <v>815496</v>
      </c>
      <c r="E20" s="2">
        <v>609227</v>
      </c>
      <c r="F20" s="2">
        <v>781038</v>
      </c>
      <c r="G20" s="2">
        <v>789246</v>
      </c>
      <c r="H20" s="2">
        <v>794149</v>
      </c>
      <c r="I20" s="2">
        <v>816594</v>
      </c>
      <c r="J20" s="2">
        <v>534339</v>
      </c>
      <c r="K20" s="2">
        <v>528396</v>
      </c>
      <c r="L20" s="2">
        <v>357837</v>
      </c>
      <c r="M20" s="2">
        <v>507497</v>
      </c>
      <c r="N20" s="2">
        <v>664615</v>
      </c>
      <c r="O20" s="2">
        <v>866085</v>
      </c>
    </row>
    <row r="21" spans="1:15">
      <c r="B21" s="2" t="s">
        <v>218</v>
      </c>
      <c r="C21" s="112">
        <v>26813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B22" s="2" t="s">
        <v>207</v>
      </c>
      <c r="C22" s="112">
        <v>0</v>
      </c>
      <c r="D22" s="2">
        <v>0</v>
      </c>
      <c r="E22" s="2">
        <v>0</v>
      </c>
      <c r="F22" s="2">
        <v>12943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13150</v>
      </c>
      <c r="M22" s="2">
        <v>0</v>
      </c>
      <c r="N22" s="2">
        <v>0</v>
      </c>
      <c r="O22" s="2">
        <v>0</v>
      </c>
    </row>
    <row r="23" spans="1:15">
      <c r="B23" s="2" t="s">
        <v>72</v>
      </c>
      <c r="C23" s="112">
        <v>0</v>
      </c>
      <c r="D23" s="2">
        <v>602181</v>
      </c>
      <c r="E23" s="2">
        <v>1181263</v>
      </c>
      <c r="F23" s="2">
        <v>1723683</v>
      </c>
      <c r="G23" s="2">
        <v>2238998</v>
      </c>
      <c r="H23" s="2">
        <v>2785358</v>
      </c>
      <c r="I23" s="2">
        <v>3451329</v>
      </c>
      <c r="J23" s="2">
        <v>3971010</v>
      </c>
      <c r="K23" s="2">
        <v>4699700</v>
      </c>
      <c r="L23" s="2">
        <v>5271705</v>
      </c>
      <c r="M23" s="2">
        <v>5800805</v>
      </c>
      <c r="N23" s="2">
        <v>6308184</v>
      </c>
      <c r="O23" s="2">
        <v>6820350</v>
      </c>
    </row>
    <row r="24" spans="1:15">
      <c r="A24" s="2" t="s">
        <v>73</v>
      </c>
      <c r="C24" s="112">
        <v>2396354</v>
      </c>
      <c r="D24" s="2">
        <v>3146116</v>
      </c>
      <c r="E24" s="2">
        <v>3504629</v>
      </c>
      <c r="F24" s="2">
        <v>4217503</v>
      </c>
      <c r="G24" s="2">
        <v>4713783</v>
      </c>
      <c r="H24" s="2">
        <v>5408046</v>
      </c>
      <c r="I24" s="2">
        <v>6082162</v>
      </c>
      <c r="J24" s="2">
        <v>6305288</v>
      </c>
      <c r="K24" s="2">
        <v>7013735</v>
      </c>
      <c r="L24" s="2">
        <v>7414031</v>
      </c>
      <c r="M24" s="2">
        <v>8065341</v>
      </c>
      <c r="N24" s="2">
        <v>8715538</v>
      </c>
      <c r="O24" s="2">
        <v>9429174</v>
      </c>
    </row>
    <row r="25" spans="1:15">
      <c r="A25" s="2" t="s">
        <v>74</v>
      </c>
      <c r="C25" s="112">
        <v>53728244</v>
      </c>
      <c r="D25" s="2">
        <v>55086313</v>
      </c>
      <c r="E25" s="2">
        <v>54269055</v>
      </c>
      <c r="F25" s="2">
        <v>54072622</v>
      </c>
      <c r="G25" s="2">
        <v>55400990</v>
      </c>
      <c r="H25" s="2">
        <v>57444375</v>
      </c>
      <c r="I25" s="2">
        <v>61264630</v>
      </c>
      <c r="J25" s="2">
        <v>59311151</v>
      </c>
      <c r="K25" s="2">
        <v>55988058</v>
      </c>
      <c r="L25" s="2">
        <v>56491924</v>
      </c>
      <c r="M25" s="2">
        <v>55702637</v>
      </c>
      <c r="N25" s="2">
        <v>57214162</v>
      </c>
      <c r="O25" s="2">
        <v>55517237</v>
      </c>
    </row>
    <row r="26" spans="1:15">
      <c r="A26" s="2" t="s">
        <v>75</v>
      </c>
    </row>
    <row r="27" spans="1:15">
      <c r="A27" s="2" t="s">
        <v>76</v>
      </c>
    </row>
    <row r="28" spans="1:15">
      <c r="B28" s="2" t="s">
        <v>77</v>
      </c>
      <c r="C28" s="112">
        <v>16345912</v>
      </c>
      <c r="D28" s="2">
        <v>16345912</v>
      </c>
      <c r="E28" s="2">
        <v>16345912</v>
      </c>
      <c r="F28" s="2">
        <v>16345912</v>
      </c>
      <c r="G28" s="2">
        <v>16345912</v>
      </c>
      <c r="H28" s="2">
        <v>16345912</v>
      </c>
      <c r="I28" s="2">
        <v>16345912</v>
      </c>
      <c r="J28" s="2">
        <v>16345912</v>
      </c>
      <c r="K28" s="2">
        <v>16345912</v>
      </c>
      <c r="L28" s="2">
        <v>16345912</v>
      </c>
      <c r="M28" s="2">
        <v>16345912</v>
      </c>
      <c r="N28" s="2">
        <v>16345912</v>
      </c>
      <c r="O28" s="2">
        <v>16345912</v>
      </c>
    </row>
    <row r="29" spans="1:15">
      <c r="B29" s="2" t="s">
        <v>78</v>
      </c>
      <c r="C29" s="112">
        <v>29167466</v>
      </c>
      <c r="D29" s="2">
        <v>29167466</v>
      </c>
      <c r="E29" s="2">
        <v>29167466</v>
      </c>
      <c r="F29" s="2">
        <v>29167466</v>
      </c>
      <c r="G29" s="2">
        <v>29167466</v>
      </c>
      <c r="H29" s="2">
        <v>29167466</v>
      </c>
      <c r="I29" s="2">
        <v>29167466</v>
      </c>
      <c r="J29" s="2">
        <v>29167466</v>
      </c>
      <c r="K29" s="2">
        <v>29167466</v>
      </c>
      <c r="L29" s="2">
        <v>29167466</v>
      </c>
      <c r="M29" s="2">
        <v>29167466</v>
      </c>
      <c r="N29" s="2">
        <v>29167466</v>
      </c>
      <c r="O29" s="2">
        <v>29167466</v>
      </c>
    </row>
    <row r="30" spans="1:15">
      <c r="B30" s="2" t="s">
        <v>79</v>
      </c>
      <c r="C30" s="112">
        <v>7249232</v>
      </c>
      <c r="D30" s="2">
        <v>7249232</v>
      </c>
      <c r="E30" s="2">
        <v>7249232</v>
      </c>
      <c r="F30" s="2">
        <v>7249232</v>
      </c>
      <c r="G30" s="2">
        <v>7249232</v>
      </c>
      <c r="H30" s="2">
        <v>7249232</v>
      </c>
      <c r="I30" s="2">
        <v>7404232</v>
      </c>
      <c r="J30" s="2">
        <v>7404232</v>
      </c>
      <c r="K30" s="2">
        <v>7404232</v>
      </c>
      <c r="L30" s="2">
        <v>7404232</v>
      </c>
      <c r="M30" s="2">
        <v>7404232</v>
      </c>
      <c r="N30" s="2">
        <v>7404232</v>
      </c>
      <c r="O30" s="2">
        <v>7404232</v>
      </c>
    </row>
    <row r="31" spans="1:15">
      <c r="B31" s="2" t="s">
        <v>80</v>
      </c>
      <c r="C31" s="112">
        <v>526316</v>
      </c>
      <c r="D31" s="2">
        <v>526316</v>
      </c>
      <c r="E31" s="2">
        <v>526316</v>
      </c>
      <c r="F31" s="2">
        <v>526316</v>
      </c>
      <c r="G31" s="2">
        <v>526316</v>
      </c>
      <c r="H31" s="2">
        <v>526316</v>
      </c>
      <c r="I31" s="2">
        <v>526316</v>
      </c>
      <c r="J31" s="2">
        <v>526316</v>
      </c>
      <c r="K31" s="2">
        <v>526316</v>
      </c>
      <c r="L31" s="2">
        <v>526316</v>
      </c>
      <c r="M31" s="2">
        <v>526316</v>
      </c>
      <c r="N31" s="2">
        <v>526316</v>
      </c>
      <c r="O31" s="2">
        <v>526316</v>
      </c>
    </row>
    <row r="32" spans="1:15">
      <c r="B32" s="2" t="s">
        <v>81</v>
      </c>
      <c r="C32" s="112">
        <v>0</v>
      </c>
      <c r="D32" s="2">
        <v>-586635</v>
      </c>
      <c r="E32" s="2">
        <v>-1173270</v>
      </c>
      <c r="F32" s="2">
        <v>-1759905</v>
      </c>
      <c r="G32" s="2">
        <v>-2346540</v>
      </c>
      <c r="H32" s="2">
        <v>-2933175</v>
      </c>
      <c r="I32" s="2">
        <v>-3519810</v>
      </c>
      <c r="J32" s="2">
        <v>-4106445</v>
      </c>
      <c r="K32" s="2">
        <v>-4693080</v>
      </c>
      <c r="L32" s="2">
        <v>-5279715</v>
      </c>
      <c r="M32" s="2">
        <v>-5866350</v>
      </c>
      <c r="N32" s="2">
        <v>-6452985</v>
      </c>
      <c r="O32" s="2">
        <v>-7039620</v>
      </c>
    </row>
    <row r="33" spans="1:15">
      <c r="A33" s="2" t="s">
        <v>82</v>
      </c>
      <c r="C33" s="112">
        <v>53288926</v>
      </c>
      <c r="D33" s="2">
        <v>52702291</v>
      </c>
      <c r="E33" s="2">
        <v>52115656</v>
      </c>
      <c r="F33" s="2">
        <v>51529021</v>
      </c>
      <c r="G33" s="2">
        <v>50942386</v>
      </c>
      <c r="H33" s="2">
        <v>50355751</v>
      </c>
      <c r="I33" s="2">
        <v>49924116</v>
      </c>
      <c r="J33" s="2">
        <v>49337481</v>
      </c>
      <c r="K33" s="2">
        <v>48750846</v>
      </c>
      <c r="L33" s="2">
        <v>48164211</v>
      </c>
      <c r="M33" s="2">
        <v>47577576</v>
      </c>
      <c r="N33" s="2">
        <v>46990941</v>
      </c>
      <c r="O33" s="2">
        <v>46404306</v>
      </c>
    </row>
    <row r="34" spans="1:15">
      <c r="A34" s="2" t="s">
        <v>83</v>
      </c>
    </row>
    <row r="35" spans="1:15">
      <c r="B35" s="1" t="s">
        <v>190</v>
      </c>
      <c r="C35" s="112">
        <v>3801185</v>
      </c>
      <c r="D35" s="2">
        <v>3697231</v>
      </c>
      <c r="E35" s="2">
        <v>3593277</v>
      </c>
      <c r="F35" s="2">
        <v>3489323</v>
      </c>
      <c r="G35" s="2">
        <v>3385369</v>
      </c>
      <c r="H35" s="2">
        <v>3281415</v>
      </c>
      <c r="I35" s="2">
        <v>3177461</v>
      </c>
      <c r="J35" s="2">
        <v>3073507</v>
      </c>
      <c r="K35" s="2">
        <v>2969553</v>
      </c>
      <c r="L35" s="2">
        <v>2865599</v>
      </c>
      <c r="M35" s="2">
        <v>2761645</v>
      </c>
      <c r="N35" s="2">
        <v>2657691</v>
      </c>
      <c r="O35" s="2">
        <v>2553737</v>
      </c>
    </row>
    <row r="36" spans="1:15">
      <c r="A36" s="2" t="s">
        <v>84</v>
      </c>
      <c r="C36" s="112">
        <v>3801185</v>
      </c>
      <c r="D36" s="2">
        <v>3697231</v>
      </c>
      <c r="E36" s="2">
        <v>3593277</v>
      </c>
      <c r="F36" s="2">
        <v>3489323</v>
      </c>
      <c r="G36" s="2">
        <v>3385369</v>
      </c>
      <c r="H36" s="2">
        <v>3281415</v>
      </c>
      <c r="I36" s="2">
        <v>3177461</v>
      </c>
      <c r="J36" s="2">
        <v>3073507</v>
      </c>
      <c r="K36" s="2">
        <v>2969553</v>
      </c>
      <c r="L36" s="2">
        <v>2865599</v>
      </c>
      <c r="M36" s="2">
        <v>2761645</v>
      </c>
      <c r="N36" s="2">
        <v>2657691</v>
      </c>
      <c r="O36" s="2">
        <v>2553737</v>
      </c>
    </row>
    <row r="37" spans="1:15">
      <c r="A37" s="2" t="s">
        <v>85</v>
      </c>
    </row>
    <row r="38" spans="1:15">
      <c r="B38" s="2" t="s">
        <v>188</v>
      </c>
      <c r="C38" s="112">
        <v>8825960</v>
      </c>
      <c r="D38" s="2">
        <v>8825960</v>
      </c>
      <c r="E38" s="2">
        <v>8825960</v>
      </c>
      <c r="F38" s="2">
        <v>8825960</v>
      </c>
      <c r="G38" s="2">
        <v>8825960</v>
      </c>
      <c r="H38" s="2">
        <v>8825960</v>
      </c>
      <c r="I38" s="2">
        <v>8825960</v>
      </c>
      <c r="J38" s="2">
        <v>8825960</v>
      </c>
      <c r="K38" s="2">
        <v>8825960</v>
      </c>
      <c r="L38" s="2">
        <v>8825960</v>
      </c>
      <c r="M38" s="2">
        <v>8825960</v>
      </c>
      <c r="N38" s="2">
        <v>8825960</v>
      </c>
      <c r="O38" s="2">
        <v>8825960</v>
      </c>
    </row>
    <row r="39" spans="1:15">
      <c r="B39" s="2" t="s">
        <v>206</v>
      </c>
      <c r="C39" s="112">
        <v>1092742</v>
      </c>
      <c r="D39" s="2">
        <v>1092742</v>
      </c>
      <c r="E39" s="2">
        <v>1092742</v>
      </c>
      <c r="F39" s="2">
        <v>1092742</v>
      </c>
      <c r="G39" s="2">
        <v>1092742</v>
      </c>
      <c r="H39" s="2">
        <v>1092742</v>
      </c>
      <c r="I39" s="2">
        <v>1092742</v>
      </c>
      <c r="J39" s="2">
        <v>1092742</v>
      </c>
      <c r="K39" s="2">
        <v>1092742</v>
      </c>
      <c r="L39" s="2">
        <v>1092742</v>
      </c>
      <c r="M39" s="2">
        <v>1092742</v>
      </c>
      <c r="N39" s="2">
        <v>1092742</v>
      </c>
      <c r="O39" s="2">
        <v>1092742</v>
      </c>
    </row>
    <row r="40" spans="1:15">
      <c r="B40" s="2" t="s">
        <v>86</v>
      </c>
      <c r="C40" s="112">
        <v>2126486</v>
      </c>
      <c r="D40" s="2">
        <v>2126486</v>
      </c>
      <c r="E40" s="2">
        <v>2126486</v>
      </c>
      <c r="F40" s="2">
        <v>2126486</v>
      </c>
      <c r="G40" s="2">
        <v>2126486</v>
      </c>
      <c r="H40" s="2">
        <v>2126486</v>
      </c>
      <c r="I40" s="2">
        <v>2126486</v>
      </c>
      <c r="J40" s="2">
        <v>2126486</v>
      </c>
      <c r="K40" s="2">
        <v>2126486</v>
      </c>
      <c r="L40" s="2">
        <v>2126486</v>
      </c>
      <c r="M40" s="2">
        <v>2126486</v>
      </c>
      <c r="N40" s="2">
        <v>2126486</v>
      </c>
      <c r="O40" s="2">
        <v>2126486</v>
      </c>
    </row>
    <row r="41" spans="1:15">
      <c r="B41" s="2" t="s">
        <v>87</v>
      </c>
      <c r="C41" s="112">
        <v>13330514</v>
      </c>
      <c r="D41" s="2">
        <v>13333569</v>
      </c>
      <c r="E41" s="2">
        <v>13336624</v>
      </c>
      <c r="F41" s="2">
        <v>13339679</v>
      </c>
      <c r="G41" s="2">
        <v>13342734</v>
      </c>
      <c r="H41" s="2">
        <v>13345789</v>
      </c>
      <c r="I41" s="2">
        <v>13348844</v>
      </c>
      <c r="J41" s="2">
        <v>13351899</v>
      </c>
      <c r="K41" s="2">
        <v>13354954</v>
      </c>
      <c r="L41" s="2">
        <v>13358009</v>
      </c>
      <c r="M41" s="2">
        <v>13361064</v>
      </c>
      <c r="N41" s="2">
        <v>13364119</v>
      </c>
      <c r="O41" s="2">
        <v>13367174</v>
      </c>
    </row>
    <row r="42" spans="1:15">
      <c r="A42" s="2" t="s">
        <v>88</v>
      </c>
      <c r="C42" s="112">
        <v>25375702</v>
      </c>
      <c r="D42" s="2">
        <v>25378757</v>
      </c>
      <c r="E42" s="2">
        <v>25381812</v>
      </c>
      <c r="F42" s="2">
        <v>25384867</v>
      </c>
      <c r="G42" s="2">
        <v>25387922</v>
      </c>
      <c r="H42" s="2">
        <v>25390977</v>
      </c>
      <c r="I42" s="2">
        <v>25394032</v>
      </c>
      <c r="J42" s="2">
        <v>25397087</v>
      </c>
      <c r="K42" s="2">
        <v>25400142</v>
      </c>
      <c r="L42" s="2">
        <v>25403197</v>
      </c>
      <c r="M42" s="2">
        <v>25406252</v>
      </c>
      <c r="N42" s="2">
        <v>25409307</v>
      </c>
      <c r="O42" s="2">
        <v>25412362</v>
      </c>
    </row>
    <row r="43" spans="1:15">
      <c r="A43" s="2" t="s">
        <v>89</v>
      </c>
      <c r="C43" s="112">
        <v>82465813</v>
      </c>
      <c r="D43" s="2">
        <v>81778279</v>
      </c>
      <c r="E43" s="2">
        <v>81090745</v>
      </c>
      <c r="F43" s="2">
        <v>80403211</v>
      </c>
      <c r="G43" s="2">
        <v>79715677</v>
      </c>
      <c r="H43" s="2">
        <v>79028143</v>
      </c>
      <c r="I43" s="2">
        <v>78495609</v>
      </c>
      <c r="J43" s="2">
        <v>77808075</v>
      </c>
      <c r="K43" s="2">
        <v>77120541</v>
      </c>
      <c r="L43" s="2">
        <v>76433007</v>
      </c>
      <c r="M43" s="2">
        <v>75745473</v>
      </c>
      <c r="N43" s="2">
        <v>75057939</v>
      </c>
      <c r="O43" s="2">
        <v>74370405</v>
      </c>
    </row>
    <row r="44" spans="1:15">
      <c r="A44" s="2" t="s">
        <v>90</v>
      </c>
    </row>
    <row r="45" spans="1:15">
      <c r="A45" s="2" t="s">
        <v>91</v>
      </c>
      <c r="C45" s="11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2" t="s">
        <v>92</v>
      </c>
    </row>
    <row r="47" spans="1:15">
      <c r="A47" s="2" t="s">
        <v>93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 s="113" customFormat="1">
      <c r="A48" s="113" t="s">
        <v>94</v>
      </c>
      <c r="C48" s="404">
        <v>136194057</v>
      </c>
      <c r="D48" s="113">
        <v>136864592</v>
      </c>
      <c r="E48" s="113">
        <v>135359800</v>
      </c>
      <c r="F48" s="113">
        <v>134475833</v>
      </c>
      <c r="G48" s="113">
        <v>135116667</v>
      </c>
      <c r="H48" s="113">
        <v>136472518</v>
      </c>
      <c r="I48" s="113">
        <v>139760239</v>
      </c>
      <c r="J48" s="113">
        <v>137119226</v>
      </c>
      <c r="K48" s="113">
        <v>133108599</v>
      </c>
      <c r="L48" s="113">
        <v>132924931</v>
      </c>
      <c r="M48" s="113">
        <v>131448110</v>
      </c>
      <c r="N48" s="113">
        <v>132272101</v>
      </c>
      <c r="O48" s="113">
        <v>129887642</v>
      </c>
    </row>
    <row r="49" spans="1:15">
      <c r="A49" s="2" t="s">
        <v>95</v>
      </c>
    </row>
    <row r="50" spans="1:15">
      <c r="A50" s="2" t="s">
        <v>96</v>
      </c>
    </row>
    <row r="51" spans="1:15">
      <c r="A51" s="2" t="s">
        <v>97</v>
      </c>
    </row>
    <row r="52" spans="1:15">
      <c r="B52" s="2" t="s">
        <v>98</v>
      </c>
      <c r="C52" s="112">
        <v>2376878</v>
      </c>
      <c r="D52" s="2">
        <v>2756954</v>
      </c>
      <c r="E52" s="2">
        <v>2121552</v>
      </c>
      <c r="F52" s="2">
        <v>2001114</v>
      </c>
      <c r="G52" s="2">
        <v>1850037</v>
      </c>
      <c r="H52" s="2">
        <v>2104093</v>
      </c>
      <c r="I52" s="2">
        <v>3201488</v>
      </c>
      <c r="J52" s="2">
        <v>1688264</v>
      </c>
      <c r="K52" s="2">
        <v>2103386</v>
      </c>
      <c r="L52" s="2">
        <v>2282310</v>
      </c>
      <c r="M52" s="2">
        <v>2152706</v>
      </c>
      <c r="N52" s="2">
        <v>1880645</v>
      </c>
      <c r="O52" s="2">
        <v>1861886</v>
      </c>
    </row>
    <row r="53" spans="1:15">
      <c r="A53" s="2" t="s">
        <v>99</v>
      </c>
      <c r="C53" s="112">
        <v>2376878</v>
      </c>
      <c r="D53" s="2">
        <v>2756954</v>
      </c>
      <c r="E53" s="2">
        <v>2121552</v>
      </c>
      <c r="F53" s="2">
        <v>2001114</v>
      </c>
      <c r="G53" s="2">
        <v>1850037</v>
      </c>
      <c r="H53" s="2">
        <v>2104093</v>
      </c>
      <c r="I53" s="2">
        <v>3201488</v>
      </c>
      <c r="J53" s="2">
        <v>1688264</v>
      </c>
      <c r="K53" s="2">
        <v>2103386</v>
      </c>
      <c r="L53" s="2">
        <v>2282310</v>
      </c>
      <c r="M53" s="2">
        <v>2152706</v>
      </c>
      <c r="N53" s="2">
        <v>1880645</v>
      </c>
      <c r="O53" s="2">
        <v>1861886</v>
      </c>
    </row>
    <row r="54" spans="1:15">
      <c r="A54" s="2" t="s">
        <v>100</v>
      </c>
    </row>
    <row r="55" spans="1:15">
      <c r="B55" s="2" t="s">
        <v>101</v>
      </c>
      <c r="C55" s="112">
        <v>2309203</v>
      </c>
      <c r="D55" s="2">
        <v>2268358</v>
      </c>
      <c r="E55" s="2">
        <v>2367983</v>
      </c>
      <c r="F55" s="2">
        <v>1849965</v>
      </c>
      <c r="G55" s="2">
        <v>1955664</v>
      </c>
      <c r="H55" s="2">
        <v>2059728</v>
      </c>
      <c r="I55" s="2">
        <v>2472595</v>
      </c>
      <c r="J55" s="2">
        <v>2307651</v>
      </c>
      <c r="K55" s="2">
        <v>2266708</v>
      </c>
      <c r="L55" s="2">
        <v>2219258</v>
      </c>
      <c r="M55" s="2">
        <v>2153565</v>
      </c>
      <c r="N55" s="2">
        <v>2466486</v>
      </c>
      <c r="O55" s="2">
        <v>2493064</v>
      </c>
    </row>
    <row r="56" spans="1:15">
      <c r="B56" s="2" t="s">
        <v>102</v>
      </c>
      <c r="C56" s="112">
        <v>718349</v>
      </c>
      <c r="D56" s="2">
        <v>770689</v>
      </c>
      <c r="E56" s="2">
        <v>1021439</v>
      </c>
      <c r="F56" s="2">
        <v>809818</v>
      </c>
      <c r="G56" s="2">
        <v>643765</v>
      </c>
      <c r="H56" s="2">
        <v>1370914</v>
      </c>
      <c r="I56" s="2">
        <v>1433570</v>
      </c>
      <c r="J56" s="2">
        <v>1134350</v>
      </c>
      <c r="K56" s="2">
        <v>1215135</v>
      </c>
      <c r="L56" s="2">
        <v>689102</v>
      </c>
      <c r="M56" s="2">
        <v>806989</v>
      </c>
      <c r="N56" s="2">
        <v>1338511</v>
      </c>
      <c r="O56" s="2">
        <v>726789</v>
      </c>
    </row>
    <row r="57" spans="1:15">
      <c r="B57" s="2" t="s">
        <v>103</v>
      </c>
      <c r="C57" s="112">
        <v>23400</v>
      </c>
      <c r="D57" s="2">
        <v>22800</v>
      </c>
      <c r="E57" s="2">
        <v>22800</v>
      </c>
      <c r="F57" s="2">
        <v>22800</v>
      </c>
      <c r="G57" s="2">
        <v>22200</v>
      </c>
      <c r="H57" s="2">
        <v>22200</v>
      </c>
      <c r="I57" s="2">
        <v>22200</v>
      </c>
      <c r="J57" s="2">
        <v>22200</v>
      </c>
      <c r="K57" s="2">
        <v>22200</v>
      </c>
      <c r="L57" s="2">
        <v>22200</v>
      </c>
      <c r="M57" s="2">
        <v>22200</v>
      </c>
      <c r="N57" s="2">
        <v>22200</v>
      </c>
      <c r="O57" s="2">
        <v>22200</v>
      </c>
    </row>
    <row r="58" spans="1:15">
      <c r="B58" s="2" t="s">
        <v>104</v>
      </c>
      <c r="C58" s="112">
        <v>531601</v>
      </c>
      <c r="D58" s="2">
        <v>369626</v>
      </c>
      <c r="E58" s="2">
        <v>512853</v>
      </c>
      <c r="F58" s="2">
        <v>676661</v>
      </c>
      <c r="G58" s="2">
        <v>829318</v>
      </c>
      <c r="H58" s="2">
        <v>836931</v>
      </c>
      <c r="I58" s="2">
        <v>427545</v>
      </c>
      <c r="J58" s="2">
        <v>443228</v>
      </c>
      <c r="K58" s="2">
        <v>623445</v>
      </c>
      <c r="L58" s="2">
        <v>850738</v>
      </c>
      <c r="M58" s="2">
        <v>1019965</v>
      </c>
      <c r="N58" s="2">
        <v>1130992</v>
      </c>
      <c r="O58" s="2">
        <v>544601</v>
      </c>
    </row>
    <row r="59" spans="1:15">
      <c r="B59" s="2" t="s">
        <v>105</v>
      </c>
      <c r="C59" s="112">
        <v>239046</v>
      </c>
      <c r="D59" s="2">
        <v>33139</v>
      </c>
      <c r="E59" s="2">
        <v>214940</v>
      </c>
      <c r="F59" s="2">
        <v>191786</v>
      </c>
      <c r="G59" s="2">
        <v>427368</v>
      </c>
      <c r="H59" s="2">
        <v>214004</v>
      </c>
      <c r="I59" s="2">
        <v>0</v>
      </c>
      <c r="J59" s="2">
        <v>13961</v>
      </c>
      <c r="K59" s="2">
        <v>0</v>
      </c>
      <c r="L59" s="2">
        <v>73266</v>
      </c>
      <c r="M59" s="2">
        <v>8994</v>
      </c>
      <c r="N59" s="2">
        <v>0</v>
      </c>
      <c r="O59" s="2">
        <v>7540</v>
      </c>
    </row>
    <row r="60" spans="1:15">
      <c r="B60" s="2" t="s">
        <v>222</v>
      </c>
      <c r="C60" s="112">
        <v>3385500</v>
      </c>
      <c r="D60" s="2">
        <v>3385500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-1943500</v>
      </c>
      <c r="L60" s="2">
        <v>-1943500</v>
      </c>
      <c r="M60" s="2">
        <v>-1943500</v>
      </c>
      <c r="N60" s="2">
        <v>-1943500</v>
      </c>
      <c r="O60" s="2">
        <v>-1943500</v>
      </c>
    </row>
    <row r="61" spans="1:15">
      <c r="B61" s="2" t="s">
        <v>106</v>
      </c>
      <c r="C61" s="112">
        <v>70000</v>
      </c>
      <c r="D61" s="2">
        <v>70000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>
      <c r="B62" s="2" t="s">
        <v>107</v>
      </c>
      <c r="C62" s="112">
        <v>0</v>
      </c>
      <c r="D62" s="2">
        <v>920133</v>
      </c>
      <c r="E62" s="2">
        <v>1910425</v>
      </c>
      <c r="F62" s="2">
        <v>2693123</v>
      </c>
      <c r="G62" s="2">
        <v>3519305</v>
      </c>
      <c r="H62" s="2">
        <v>4332684</v>
      </c>
      <c r="I62" s="2">
        <v>5492929</v>
      </c>
      <c r="J62" s="2">
        <v>6266069</v>
      </c>
      <c r="K62" s="2">
        <v>7069319</v>
      </c>
      <c r="L62" s="2">
        <v>7937456</v>
      </c>
      <c r="M62" s="2">
        <v>8649396</v>
      </c>
      <c r="N62" s="2">
        <v>9400740</v>
      </c>
      <c r="O62" s="2">
        <v>10161136</v>
      </c>
    </row>
    <row r="63" spans="1:15">
      <c r="B63" s="2" t="s">
        <v>108</v>
      </c>
      <c r="C63" s="112">
        <v>3120000</v>
      </c>
      <c r="D63" s="2">
        <v>2585000</v>
      </c>
      <c r="E63" s="2">
        <v>2585000</v>
      </c>
      <c r="F63" s="2">
        <v>2115000</v>
      </c>
      <c r="G63" s="2">
        <v>1880000</v>
      </c>
      <c r="H63" s="2">
        <v>1880000</v>
      </c>
      <c r="I63" s="2">
        <v>1645000</v>
      </c>
      <c r="J63" s="2">
        <v>1410000</v>
      </c>
      <c r="K63" s="2">
        <v>1175000</v>
      </c>
      <c r="L63" s="2">
        <v>705000</v>
      </c>
      <c r="M63" s="2">
        <v>470000</v>
      </c>
      <c r="N63" s="2">
        <v>470000</v>
      </c>
      <c r="O63" s="2">
        <v>0</v>
      </c>
    </row>
    <row r="64" spans="1:15">
      <c r="A64" s="2" t="s">
        <v>109</v>
      </c>
      <c r="C64" s="112">
        <v>10397099</v>
      </c>
      <c r="D64" s="2">
        <v>10425245</v>
      </c>
      <c r="E64" s="2">
        <v>8635440</v>
      </c>
      <c r="F64" s="2">
        <v>8359153</v>
      </c>
      <c r="G64" s="2">
        <v>9277620</v>
      </c>
      <c r="H64" s="2">
        <v>10716461</v>
      </c>
      <c r="I64" s="2">
        <v>11493839</v>
      </c>
      <c r="J64" s="2">
        <v>11597459</v>
      </c>
      <c r="K64" s="2">
        <v>10428307</v>
      </c>
      <c r="L64" s="2">
        <v>10553520</v>
      </c>
      <c r="M64" s="2">
        <v>11187609</v>
      </c>
      <c r="N64" s="2">
        <v>12885429</v>
      </c>
      <c r="O64" s="2">
        <v>12011830</v>
      </c>
    </row>
    <row r="65" spans="1:15">
      <c r="A65" s="2" t="s">
        <v>110</v>
      </c>
      <c r="C65" s="112">
        <v>12773977</v>
      </c>
      <c r="D65" s="2">
        <v>13182199</v>
      </c>
      <c r="E65" s="2">
        <v>10756992</v>
      </c>
      <c r="F65" s="2">
        <v>10360267</v>
      </c>
      <c r="G65" s="2">
        <v>11127657</v>
      </c>
      <c r="H65" s="2">
        <v>12820554</v>
      </c>
      <c r="I65" s="2">
        <v>14695327</v>
      </c>
      <c r="J65" s="2">
        <v>13285723</v>
      </c>
      <c r="K65" s="2">
        <v>12531693</v>
      </c>
      <c r="L65" s="2">
        <v>12835830</v>
      </c>
      <c r="M65" s="2">
        <v>13340315</v>
      </c>
      <c r="N65" s="2">
        <v>14766074</v>
      </c>
      <c r="O65" s="2">
        <v>13873716</v>
      </c>
    </row>
    <row r="66" spans="1:15">
      <c r="A66" s="2" t="s">
        <v>111</v>
      </c>
    </row>
    <row r="67" spans="1:15">
      <c r="B67" s="2" t="s">
        <v>112</v>
      </c>
      <c r="C67" s="112">
        <v>136120000</v>
      </c>
      <c r="D67" s="2">
        <v>136420000</v>
      </c>
      <c r="E67" s="2">
        <v>136420000</v>
      </c>
      <c r="F67" s="2">
        <v>136420000</v>
      </c>
      <c r="G67" s="2">
        <v>136420000</v>
      </c>
      <c r="H67" s="2">
        <v>136420000</v>
      </c>
      <c r="I67" s="2">
        <v>136420000</v>
      </c>
      <c r="J67" s="2">
        <v>136420000</v>
      </c>
      <c r="K67" s="2">
        <v>136420000</v>
      </c>
      <c r="L67" s="2">
        <v>135960000</v>
      </c>
      <c r="M67" s="2">
        <v>135715000</v>
      </c>
      <c r="N67" s="2">
        <v>135715000</v>
      </c>
      <c r="O67" s="2">
        <v>135225000</v>
      </c>
    </row>
    <row r="68" spans="1:15">
      <c r="A68" s="2" t="s">
        <v>113</v>
      </c>
      <c r="C68" s="112">
        <v>136120000</v>
      </c>
      <c r="D68" s="2">
        <v>136420000</v>
      </c>
      <c r="E68" s="2">
        <v>136420000</v>
      </c>
      <c r="F68" s="2">
        <v>136420000</v>
      </c>
      <c r="G68" s="2">
        <v>136420000</v>
      </c>
      <c r="H68" s="2">
        <v>136420000</v>
      </c>
      <c r="I68" s="2">
        <v>136420000</v>
      </c>
      <c r="J68" s="2">
        <v>136420000</v>
      </c>
      <c r="K68" s="2">
        <v>136420000</v>
      </c>
      <c r="L68" s="2">
        <v>135960000</v>
      </c>
      <c r="M68" s="2">
        <v>135715000</v>
      </c>
      <c r="N68" s="2">
        <v>135715000</v>
      </c>
      <c r="O68" s="2">
        <v>135225000</v>
      </c>
    </row>
    <row r="69" spans="1:15" s="113" customFormat="1">
      <c r="A69" s="113" t="s">
        <v>114</v>
      </c>
      <c r="C69" s="404">
        <v>148893977</v>
      </c>
      <c r="D69" s="113">
        <v>149602199</v>
      </c>
      <c r="E69" s="113">
        <v>147176992</v>
      </c>
      <c r="F69" s="113">
        <v>146780267</v>
      </c>
      <c r="G69" s="113">
        <v>147547657</v>
      </c>
      <c r="H69" s="113">
        <v>149240554</v>
      </c>
      <c r="I69" s="113">
        <v>151115327</v>
      </c>
      <c r="J69" s="113">
        <v>149705723</v>
      </c>
      <c r="K69" s="113">
        <v>148951693</v>
      </c>
      <c r="L69" s="113">
        <v>148795830</v>
      </c>
      <c r="M69" s="113">
        <v>149055315</v>
      </c>
      <c r="N69" s="113">
        <v>150481074</v>
      </c>
      <c r="O69" s="113">
        <v>149098716</v>
      </c>
    </row>
    <row r="70" spans="1:15">
      <c r="A70" s="2" t="s">
        <v>115</v>
      </c>
    </row>
    <row r="71" spans="1:15">
      <c r="A71" s="2" t="s">
        <v>116</v>
      </c>
    </row>
    <row r="72" spans="1:15">
      <c r="A72" s="2" t="s">
        <v>117</v>
      </c>
    </row>
    <row r="73" spans="1:15">
      <c r="B73" s="2" t="s">
        <v>117</v>
      </c>
      <c r="C73" s="112">
        <v>5000000</v>
      </c>
      <c r="D73" s="2">
        <v>5000000</v>
      </c>
      <c r="E73" s="2">
        <v>5000000</v>
      </c>
      <c r="F73" s="2">
        <v>5000000</v>
      </c>
      <c r="G73" s="2">
        <v>5000000</v>
      </c>
      <c r="H73" s="2">
        <v>5000000</v>
      </c>
      <c r="I73" s="2">
        <v>5000000</v>
      </c>
      <c r="J73" s="2">
        <v>5000000</v>
      </c>
      <c r="K73" s="2">
        <v>5000000</v>
      </c>
      <c r="L73" s="2">
        <v>5000000</v>
      </c>
      <c r="M73" s="2">
        <v>5000000</v>
      </c>
      <c r="N73" s="2">
        <v>5000000</v>
      </c>
      <c r="O73" s="2">
        <v>5000000</v>
      </c>
    </row>
    <row r="74" spans="1:15">
      <c r="A74" s="2" t="s">
        <v>118</v>
      </c>
      <c r="C74" s="112">
        <v>5000000</v>
      </c>
      <c r="D74" s="2">
        <v>5000000</v>
      </c>
      <c r="E74" s="2">
        <v>5000000</v>
      </c>
      <c r="F74" s="2">
        <v>5000000</v>
      </c>
      <c r="G74" s="2">
        <v>5000000</v>
      </c>
      <c r="H74" s="2">
        <v>5000000</v>
      </c>
      <c r="I74" s="2">
        <v>5000000</v>
      </c>
      <c r="J74" s="2">
        <v>5000000</v>
      </c>
      <c r="K74" s="2">
        <v>5000000</v>
      </c>
      <c r="L74" s="2">
        <v>5000000</v>
      </c>
      <c r="M74" s="2">
        <v>5000000</v>
      </c>
      <c r="N74" s="2">
        <v>5000000</v>
      </c>
      <c r="O74" s="2">
        <v>5000000</v>
      </c>
    </row>
    <row r="75" spans="1:15">
      <c r="A75" s="2" t="s">
        <v>119</v>
      </c>
    </row>
    <row r="76" spans="1:15">
      <c r="A76" s="2" t="s">
        <v>120</v>
      </c>
      <c r="C76" s="11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2" t="s">
        <v>121</v>
      </c>
    </row>
    <row r="78" spans="1:15">
      <c r="A78" s="2" t="s">
        <v>122</v>
      </c>
      <c r="C78" s="11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2" t="s">
        <v>123</v>
      </c>
    </row>
    <row r="80" spans="1:15">
      <c r="A80" s="2" t="s">
        <v>124</v>
      </c>
      <c r="C80" s="112">
        <v>-17699920</v>
      </c>
      <c r="D80" s="2">
        <v>-17737607</v>
      </c>
      <c r="E80" s="2">
        <v>-16817192</v>
      </c>
      <c r="F80" s="2">
        <v>-17304434</v>
      </c>
      <c r="G80" s="2">
        <v>-17430990</v>
      </c>
      <c r="H80" s="2">
        <v>-17768036</v>
      </c>
      <c r="I80" s="2">
        <v>-16355088</v>
      </c>
      <c r="J80" s="2">
        <v>-17586497</v>
      </c>
      <c r="K80" s="2">
        <v>-20843094</v>
      </c>
      <c r="L80" s="2">
        <v>-20870899</v>
      </c>
      <c r="M80" s="2">
        <v>-22607205</v>
      </c>
      <c r="N80" s="2">
        <v>-23208973</v>
      </c>
      <c r="O80" s="2">
        <v>-24211074</v>
      </c>
    </row>
    <row r="81" spans="1:15">
      <c r="A81" s="2" t="s">
        <v>125</v>
      </c>
      <c r="C81" s="112">
        <v>0</v>
      </c>
      <c r="D81" s="2">
        <v>-37687</v>
      </c>
      <c r="E81" s="2">
        <v>882728</v>
      </c>
      <c r="F81" s="2">
        <v>395486</v>
      </c>
      <c r="G81" s="2">
        <v>268930</v>
      </c>
      <c r="H81" s="2">
        <v>-68116</v>
      </c>
      <c r="I81" s="2">
        <v>1344832</v>
      </c>
      <c r="J81" s="2">
        <v>113423</v>
      </c>
      <c r="K81" s="2">
        <v>-3143174</v>
      </c>
      <c r="L81" s="2">
        <v>-3170979</v>
      </c>
      <c r="M81" s="2">
        <v>-4907285</v>
      </c>
      <c r="N81" s="2">
        <v>-5509053</v>
      </c>
      <c r="O81" s="2">
        <v>-6511154</v>
      </c>
    </row>
    <row r="82" spans="1:15">
      <c r="A82" s="2" t="s">
        <v>126</v>
      </c>
      <c r="C82" s="112">
        <v>-17699920</v>
      </c>
      <c r="D82" s="2">
        <v>-17737607</v>
      </c>
      <c r="E82" s="2">
        <v>-16817192</v>
      </c>
      <c r="F82" s="2">
        <v>-17304434</v>
      </c>
      <c r="G82" s="2">
        <v>-17430990</v>
      </c>
      <c r="H82" s="2">
        <v>-17768036</v>
      </c>
      <c r="I82" s="2">
        <v>-16355088</v>
      </c>
      <c r="J82" s="2">
        <v>-17586497</v>
      </c>
      <c r="K82" s="2">
        <v>-20843094</v>
      </c>
      <c r="L82" s="2">
        <v>-20870899</v>
      </c>
      <c r="M82" s="2">
        <v>-22607205</v>
      </c>
      <c r="N82" s="2">
        <v>-23208973</v>
      </c>
      <c r="O82" s="2">
        <v>-24211074</v>
      </c>
    </row>
    <row r="83" spans="1:15">
      <c r="A83" s="2" t="s">
        <v>127</v>
      </c>
    </row>
    <row r="84" spans="1:15">
      <c r="A84" s="2" t="s">
        <v>128</v>
      </c>
      <c r="C84" s="11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2" t="s">
        <v>129</v>
      </c>
    </row>
    <row r="86" spans="1:15">
      <c r="A86" s="2" t="s">
        <v>130</v>
      </c>
      <c r="C86" s="11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2" t="s">
        <v>131</v>
      </c>
      <c r="C87" s="112">
        <v>-12699920</v>
      </c>
      <c r="D87" s="2">
        <v>-12737607</v>
      </c>
      <c r="E87" s="2">
        <v>-11817192</v>
      </c>
      <c r="F87" s="2">
        <v>-12304434</v>
      </c>
      <c r="G87" s="2">
        <v>-12430990</v>
      </c>
      <c r="H87" s="2">
        <v>-12768036</v>
      </c>
      <c r="I87" s="2">
        <v>-11355088</v>
      </c>
      <c r="J87" s="2">
        <v>-12586497</v>
      </c>
      <c r="K87" s="2">
        <v>-15843094</v>
      </c>
      <c r="L87" s="2">
        <v>-15870899</v>
      </c>
      <c r="M87" s="2">
        <v>-17607205</v>
      </c>
      <c r="N87" s="2">
        <v>-18208973</v>
      </c>
      <c r="O87" s="2">
        <v>-19211074</v>
      </c>
    </row>
    <row r="88" spans="1:15">
      <c r="A88" s="2" t="s">
        <v>132</v>
      </c>
    </row>
    <row r="89" spans="1:15">
      <c r="A89" s="2" t="s">
        <v>133</v>
      </c>
      <c r="C89" s="11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2" t="s">
        <v>134</v>
      </c>
    </row>
    <row r="91" spans="1:15">
      <c r="A91" s="2" t="s">
        <v>135</v>
      </c>
      <c r="C91" s="11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s="113" customFormat="1">
      <c r="A92" s="113" t="s">
        <v>136</v>
      </c>
      <c r="C92" s="404">
        <v>-12699920</v>
      </c>
      <c r="D92" s="113">
        <v>-12737607</v>
      </c>
      <c r="E92" s="113">
        <v>-11817192</v>
      </c>
      <c r="F92" s="113">
        <v>-12304434</v>
      </c>
      <c r="G92" s="113">
        <v>-12430990</v>
      </c>
      <c r="H92" s="113">
        <v>-12768036</v>
      </c>
      <c r="I92" s="113">
        <v>-11355088</v>
      </c>
      <c r="J92" s="113">
        <v>-12586497</v>
      </c>
      <c r="K92" s="113">
        <v>-15843094</v>
      </c>
      <c r="L92" s="113">
        <v>-15870899</v>
      </c>
      <c r="M92" s="113">
        <v>-17607205</v>
      </c>
      <c r="N92" s="113">
        <v>-18208973</v>
      </c>
      <c r="O92" s="113">
        <v>-19211074</v>
      </c>
    </row>
    <row r="93" spans="1:15" s="113" customFormat="1">
      <c r="A93" s="113" t="s">
        <v>137</v>
      </c>
      <c r="C93" s="404">
        <v>136194057</v>
      </c>
      <c r="D93" s="113">
        <v>136864592</v>
      </c>
      <c r="E93" s="113">
        <v>135359800</v>
      </c>
      <c r="F93" s="113">
        <v>134475833</v>
      </c>
      <c r="G93" s="113">
        <v>135116667</v>
      </c>
      <c r="H93" s="113">
        <v>136472518</v>
      </c>
      <c r="I93" s="113">
        <v>139760239</v>
      </c>
      <c r="J93" s="113">
        <v>137119226</v>
      </c>
      <c r="K93" s="113">
        <v>133108599</v>
      </c>
      <c r="L93" s="113">
        <v>132924931</v>
      </c>
      <c r="M93" s="113">
        <v>131448110</v>
      </c>
      <c r="N93" s="113">
        <v>132272101</v>
      </c>
      <c r="O93" s="113">
        <v>129887642</v>
      </c>
    </row>
    <row r="94" spans="1:15" s="496" customFormat="1">
      <c r="B94" s="497" t="s">
        <v>208</v>
      </c>
      <c r="C94" s="498" t="str">
        <f>IF(C93&lt;&gt;0,+IF(C48=C93,"OK",C48-C93),"")</f>
        <v>OK</v>
      </c>
      <c r="D94" s="497" t="str">
        <f t="shared" ref="D94:I94" si="0">IF(D93&lt;&gt;0,+IF(D48=D93,"OK",D48-D93),"")</f>
        <v>OK</v>
      </c>
      <c r="E94" s="497" t="str">
        <f t="shared" si="0"/>
        <v>OK</v>
      </c>
      <c r="F94" s="497" t="str">
        <f t="shared" si="0"/>
        <v>OK</v>
      </c>
      <c r="G94" s="497" t="str">
        <f t="shared" si="0"/>
        <v>OK</v>
      </c>
      <c r="H94" s="497" t="str">
        <f t="shared" si="0"/>
        <v>OK</v>
      </c>
      <c r="I94" s="497" t="str">
        <f t="shared" si="0"/>
        <v>OK</v>
      </c>
      <c r="J94" s="497" t="str">
        <f t="shared" ref="J94" si="1">IF(J93&lt;&gt;0,+IF(J48=J93,"OK",J48-J93),"")</f>
        <v>OK</v>
      </c>
      <c r="K94" s="497" t="str">
        <f t="shared" ref="K94" si="2">IF(K93&lt;&gt;0,+IF(K48=K93,"OK",K48-K93),"")</f>
        <v>OK</v>
      </c>
      <c r="L94" s="497" t="str">
        <f t="shared" ref="L94" si="3">IF(L93&lt;&gt;0,+IF(L48=L93,"OK",L48-L93),"")</f>
        <v>OK</v>
      </c>
      <c r="M94" s="497" t="str">
        <f t="shared" ref="M94" si="4">IF(M93&lt;&gt;0,+IF(M48=M93,"OK",M48-M93),"")</f>
        <v>OK</v>
      </c>
      <c r="N94" s="497" t="str">
        <f t="shared" ref="N94" si="5">IF(N93&lt;&gt;0,+IF(N48=N93,"OK",N48-N93),"")</f>
        <v>OK</v>
      </c>
      <c r="O94" s="497" t="str">
        <f t="shared" ref="O94" si="6">IF(O93&lt;&gt;0,+IF(O48=O93,"OK",O48-O93),"")</f>
        <v>OK</v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8" sqref="G8"/>
    </sheetView>
  </sheetViews>
  <sheetFormatPr defaultRowHeight="17.649999999999999"/>
  <cols>
    <col min="1" max="2" width="14.625" customWidth="1"/>
    <col min="3" max="3" width="10.625" style="129" customWidth="1"/>
    <col min="4" max="12" width="10.625" style="18" customWidth="1"/>
    <col min="13" max="15" width="10.625" customWidth="1"/>
  </cols>
  <sheetData>
    <row r="1" spans="1:45" s="136" customFormat="1" ht="18" thickBot="1">
      <c r="B1" s="136" t="s">
        <v>0</v>
      </c>
      <c r="C1" s="137" t="s">
        <v>157</v>
      </c>
      <c r="D1" s="138" t="s">
        <v>1</v>
      </c>
      <c r="E1" s="138" t="s">
        <v>2</v>
      </c>
      <c r="F1" s="138" t="str">
        <f>+月次BS!F1</f>
        <v>9月</v>
      </c>
      <c r="G1" s="138" t="str">
        <f>+月次BS!G1</f>
        <v>10月</v>
      </c>
      <c r="H1" s="138" t="str">
        <f>+月次BS!H1</f>
        <v>11月</v>
      </c>
      <c r="I1" s="138" t="str">
        <f>+月次BS!I1</f>
        <v>12月</v>
      </c>
      <c r="J1" s="138" t="str">
        <f>+月次BS!J1</f>
        <v>1月</v>
      </c>
      <c r="K1" s="138" t="str">
        <f>+月次BS!K1</f>
        <v>2月</v>
      </c>
      <c r="L1" s="138">
        <f>+月次BS!L1</f>
        <v>3</v>
      </c>
      <c r="M1" s="138">
        <f>+月次BS!M1</f>
        <v>4</v>
      </c>
      <c r="N1" s="138" t="str">
        <f>+月次BS!N1</f>
        <v>5月</v>
      </c>
      <c r="O1" s="138" t="str">
        <f>+月次BS!O1</f>
        <v>6月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5">
        <f>+月次BS!C5/1000</f>
        <v>2646.681</v>
      </c>
      <c r="D5" s="18">
        <f>+月次BS!D5/1000</f>
        <v>2692.0309999999999</v>
      </c>
      <c r="E5" s="18">
        <f>+月次BS!E5/1000</f>
        <v>2697.8510000000001</v>
      </c>
      <c r="F5" s="18">
        <f>+月次BS!F5/1000</f>
        <v>2121.0309999999999</v>
      </c>
      <c r="G5" s="18">
        <f>+月次BS!G5/1000</f>
        <v>2255.3510000000001</v>
      </c>
      <c r="H5" s="18">
        <f>+月次BS!H5/1000</f>
        <v>2791.0610000000001</v>
      </c>
      <c r="I5" s="18">
        <f>+月次BS!I5/1000</f>
        <v>3237.8710000000001</v>
      </c>
      <c r="J5" s="18">
        <f>+月次BS!J5/1000</f>
        <v>2181.7710000000002</v>
      </c>
      <c r="K5" s="18">
        <f>+月次BS!K5/1000</f>
        <v>1832.6110000000001</v>
      </c>
      <c r="L5" s="18">
        <f>+月次BS!L5/1000</f>
        <v>2866.1709999999998</v>
      </c>
      <c r="M5" s="18">
        <f>+月次BS!M5/1000</f>
        <v>2205.9810000000002</v>
      </c>
      <c r="N5" s="18">
        <f>+月次BS!N5/1000</f>
        <v>2181.1909999999998</v>
      </c>
      <c r="O5" s="18">
        <f>+月次BS!O5/1000</f>
        <v>2906.8110000000001</v>
      </c>
    </row>
    <row r="6" spans="1:45">
      <c r="A6">
        <f>+月次BS!A6</f>
        <v>0</v>
      </c>
      <c r="B6" s="19" t="str">
        <f>+月次BS!B6</f>
        <v>普通預金</v>
      </c>
      <c r="C6" s="125">
        <f>+月次BS!C6/1000</f>
        <v>37905.464999999997</v>
      </c>
      <c r="D6" s="18">
        <f>+月次BS!D6/1000</f>
        <v>37560.836000000003</v>
      </c>
      <c r="E6" s="18">
        <f>+月次BS!E6/1000</f>
        <v>35756.046999999999</v>
      </c>
      <c r="F6" s="18">
        <f>+月次BS!F6/1000</f>
        <v>35600.197999999997</v>
      </c>
      <c r="G6" s="18">
        <f>+月次BS!G6/1000</f>
        <v>35188.951999999997</v>
      </c>
      <c r="H6" s="18">
        <f>+月次BS!H6/1000</f>
        <v>35645.955000000002</v>
      </c>
      <c r="I6" s="18">
        <f>+月次BS!I6/1000</f>
        <v>36227.527000000002</v>
      </c>
      <c r="J6" s="18">
        <f>+月次BS!J6/1000</f>
        <v>35625.769999999997</v>
      </c>
      <c r="K6" s="18">
        <f>+月次BS!K6/1000</f>
        <v>31193.217000000001</v>
      </c>
      <c r="L6" s="18">
        <f>+月次BS!L6/1000</f>
        <v>29192.91</v>
      </c>
      <c r="M6" s="18">
        <f>+月次BS!M6/1000</f>
        <v>27892.280999999999</v>
      </c>
      <c r="N6" s="18">
        <f>+月次BS!N6/1000</f>
        <v>27810.335999999999</v>
      </c>
      <c r="O6" s="18">
        <f>+月次BS!O6/1000</f>
        <v>31678.388999999999</v>
      </c>
    </row>
    <row r="7" spans="1:45">
      <c r="A7">
        <f>+月次BS!A7</f>
        <v>0</v>
      </c>
      <c r="B7" s="19" t="str">
        <f>+月次BS!B7</f>
        <v>小口現金</v>
      </c>
      <c r="C7" s="125">
        <f>+月次BS!C7/1000</f>
        <v>213.49700000000001</v>
      </c>
      <c r="D7" s="18">
        <f>+月次BS!D7/1000</f>
        <v>31.414999999999999</v>
      </c>
      <c r="E7" s="18">
        <f>+月次BS!E7/1000</f>
        <v>-19.488</v>
      </c>
      <c r="F7" s="18">
        <f>+月次BS!F7/1000</f>
        <v>92.694000000000003</v>
      </c>
      <c r="G7" s="18">
        <f>+月次BS!G7/1000</f>
        <v>163.09800000000001</v>
      </c>
      <c r="H7" s="18">
        <f>+月次BS!H7/1000</f>
        <v>61.084000000000003</v>
      </c>
      <c r="I7" s="18">
        <f>+月次BS!I7/1000</f>
        <v>162.21299999999999</v>
      </c>
      <c r="J7" s="18">
        <f>+月次BS!J7/1000</f>
        <v>368.64299999999997</v>
      </c>
      <c r="K7" s="18">
        <f>+月次BS!K7/1000</f>
        <v>384.15499999999997</v>
      </c>
      <c r="L7" s="18">
        <f>+月次BS!L7/1000</f>
        <v>324.46199999999999</v>
      </c>
      <c r="M7" s="18">
        <f>+月次BS!M7/1000</f>
        <v>312.17099999999999</v>
      </c>
      <c r="N7" s="18">
        <f>+月次BS!N7/1000</f>
        <v>351.79599999999999</v>
      </c>
      <c r="O7" s="18">
        <f>+月次BS!O7/1000</f>
        <v>316.46499999999997</v>
      </c>
    </row>
    <row r="8" spans="1:45" s="21" customFormat="1">
      <c r="A8" s="21" t="str">
        <f>+月次BS!A8</f>
        <v>現金及び預金合計</v>
      </c>
      <c r="B8" s="130">
        <f>+月次BS!B8</f>
        <v>0</v>
      </c>
      <c r="C8" s="126">
        <f>+月次BS!C8/1000</f>
        <v>40765.642999999996</v>
      </c>
      <c r="D8" s="22">
        <f>+月次BS!D8/1000</f>
        <v>40284.281999999999</v>
      </c>
      <c r="E8" s="22">
        <f>+月次BS!E8/1000</f>
        <v>38434.410000000003</v>
      </c>
      <c r="F8" s="22">
        <f>+月次BS!F8/1000</f>
        <v>37813.923000000003</v>
      </c>
      <c r="G8" s="22">
        <f>+月次BS!G8/1000</f>
        <v>37607.400999999998</v>
      </c>
      <c r="H8" s="22">
        <f>+月次BS!H8/1000</f>
        <v>38498.1</v>
      </c>
      <c r="I8" s="22">
        <f>+月次BS!I8/1000</f>
        <v>39627.610999999997</v>
      </c>
      <c r="J8" s="22">
        <f>+月次BS!J8/1000</f>
        <v>38176.184000000001</v>
      </c>
      <c r="K8" s="22">
        <f>+月次BS!K8/1000</f>
        <v>33409.983</v>
      </c>
      <c r="L8" s="22">
        <f>+月次BS!L8/1000</f>
        <v>32383.543000000001</v>
      </c>
      <c r="M8" s="22">
        <f>+月次BS!M8/1000</f>
        <v>30410.433000000001</v>
      </c>
      <c r="N8" s="22">
        <f>+月次BS!N8/1000</f>
        <v>30343.323</v>
      </c>
      <c r="O8" s="22">
        <f>+月次BS!O8/1000</f>
        <v>34901.665000000001</v>
      </c>
    </row>
    <row r="9" spans="1:45">
      <c r="A9" t="str">
        <f>+月次BS!A9</f>
        <v>売上債権</v>
      </c>
      <c r="B9" s="19">
        <f>+月次BS!B9</f>
        <v>0</v>
      </c>
      <c r="C9" s="125">
        <f>+月次BS!C9/1000</f>
        <v>0</v>
      </c>
      <c r="D9" s="18">
        <f>+月次BS!D9/1000</f>
        <v>0</v>
      </c>
      <c r="E9" s="18">
        <f>+月次BS!E9/1000</f>
        <v>0</v>
      </c>
      <c r="F9" s="18">
        <f>+月次BS!F9/1000</f>
        <v>0</v>
      </c>
      <c r="G9" s="18">
        <f>+月次BS!G9/1000</f>
        <v>0</v>
      </c>
      <c r="H9" s="18">
        <f>+月次BS!H9/1000</f>
        <v>0</v>
      </c>
      <c r="I9" s="18">
        <f>+月次BS!I9/1000</f>
        <v>0</v>
      </c>
      <c r="J9" s="18">
        <f>+月次BS!J9/1000</f>
        <v>0</v>
      </c>
      <c r="K9" s="18">
        <f>+月次BS!K9/1000</f>
        <v>0</v>
      </c>
      <c r="L9" s="18">
        <f>+月次BS!L9/1000</f>
        <v>0</v>
      </c>
      <c r="M9" s="18">
        <f>+月次BS!M9/1000</f>
        <v>0</v>
      </c>
      <c r="N9" s="18">
        <f>+月次BS!N9/1000</f>
        <v>0</v>
      </c>
      <c r="O9" s="18">
        <f>+月次BS!O9/1000</f>
        <v>0</v>
      </c>
    </row>
    <row r="10" spans="1:45" s="20" customFormat="1">
      <c r="A10">
        <f>+月次BS!A10</f>
        <v>0</v>
      </c>
      <c r="B10" s="19" t="str">
        <f>+月次BS!B10</f>
        <v>売掛金</v>
      </c>
      <c r="C10" s="125">
        <f>+月次BS!C10/1000</f>
        <v>8953.3080000000009</v>
      </c>
      <c r="D10" s="18">
        <f>+月次BS!D10/1000</f>
        <v>9906.9650000000001</v>
      </c>
      <c r="E10" s="18">
        <f>+月次BS!E10/1000</f>
        <v>10752.691999999999</v>
      </c>
      <c r="F10" s="18">
        <f>+月次BS!F10/1000</f>
        <v>10434.641</v>
      </c>
      <c r="G10" s="18">
        <f>+月次BS!G10/1000</f>
        <v>11510.343999999999</v>
      </c>
      <c r="H10" s="18">
        <f>+月次BS!H10/1000</f>
        <v>11809.72</v>
      </c>
      <c r="I10" s="18">
        <f>+月次BS!I10/1000</f>
        <v>13589.175999999999</v>
      </c>
      <c r="J10" s="18">
        <f>+月次BS!J10/1000</f>
        <v>13035.142</v>
      </c>
      <c r="K10" s="18">
        <f>+月次BS!K10/1000</f>
        <v>13691.147999999999</v>
      </c>
      <c r="L10" s="18">
        <f>+月次BS!L10/1000</f>
        <v>14752.237999999999</v>
      </c>
      <c r="M10" s="18">
        <f>+月次BS!M10/1000</f>
        <v>15273.355</v>
      </c>
      <c r="N10" s="18">
        <f>+月次BS!N10/1000</f>
        <v>16433.66</v>
      </c>
      <c r="O10" s="18">
        <f>+月次BS!O10/1000</f>
        <v>9716.69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s="23" customFormat="1">
      <c r="A11" s="21" t="str">
        <f>+月次BS!A11</f>
        <v>売上債権合計</v>
      </c>
      <c r="B11" s="130">
        <f>+月次BS!B11</f>
        <v>0</v>
      </c>
      <c r="C11" s="126">
        <f>+月次BS!C11/1000</f>
        <v>8953.3080000000009</v>
      </c>
      <c r="D11" s="22">
        <f>+月次BS!D11/1000</f>
        <v>9906.9650000000001</v>
      </c>
      <c r="E11" s="22">
        <f>+月次BS!E11/1000</f>
        <v>10752.691999999999</v>
      </c>
      <c r="F11" s="22">
        <f>+月次BS!F11/1000</f>
        <v>10434.641</v>
      </c>
      <c r="G11" s="22">
        <f>+月次BS!G11/1000</f>
        <v>11510.343999999999</v>
      </c>
      <c r="H11" s="22">
        <f>+月次BS!H11/1000</f>
        <v>11809.72</v>
      </c>
      <c r="I11" s="22">
        <f>+月次BS!I11/1000</f>
        <v>13589.175999999999</v>
      </c>
      <c r="J11" s="22">
        <f>+月次BS!J11/1000</f>
        <v>13035.142</v>
      </c>
      <c r="K11" s="22">
        <f>+月次BS!K11/1000</f>
        <v>13691.147999999999</v>
      </c>
      <c r="L11" s="22">
        <f>+月次BS!L11/1000</f>
        <v>14752.237999999999</v>
      </c>
      <c r="M11" s="22">
        <f>+月次BS!M11/1000</f>
        <v>15273.355</v>
      </c>
      <c r="N11" s="22">
        <f>+月次BS!N11/1000</f>
        <v>16433.66</v>
      </c>
      <c r="O11" s="22">
        <f>+月次BS!O11/1000</f>
        <v>9716.69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</row>
    <row r="12" spans="1:45">
      <c r="A12" t="str">
        <f>+月次BS!A12</f>
        <v>有価証券</v>
      </c>
      <c r="B12" s="19">
        <f>+月次BS!B12</f>
        <v>0</v>
      </c>
      <c r="C12" s="125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有価証券合計</v>
      </c>
      <c r="B13" s="19">
        <f>+月次BS!B13</f>
        <v>0</v>
      </c>
      <c r="C13" s="125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>
      <c r="A14" t="str">
        <f>+月次BS!A14</f>
        <v>棚卸資産</v>
      </c>
      <c r="B14" s="19">
        <f>+月次BS!B14</f>
        <v>0</v>
      </c>
      <c r="C14" s="125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</row>
    <row r="15" spans="1:45" s="20" customFormat="1">
      <c r="A15">
        <f>+月次BS!A15</f>
        <v>0</v>
      </c>
      <c r="B15" s="19" t="str">
        <f>+月次BS!B15</f>
        <v>商品</v>
      </c>
      <c r="C15" s="125">
        <f>+月次BS!C15/1000</f>
        <v>1324.2850000000001</v>
      </c>
      <c r="D15" s="18">
        <f>+月次BS!D15/1000</f>
        <v>1460.296</v>
      </c>
      <c r="E15" s="18">
        <f>+月次BS!E15/1000</f>
        <v>1288.67</v>
      </c>
      <c r="F15" s="18">
        <f>+月次BS!F15/1000</f>
        <v>1317.9010000000001</v>
      </c>
      <c r="G15" s="18">
        <f>+月次BS!G15/1000</f>
        <v>1280.808</v>
      </c>
      <c r="H15" s="18">
        <f>+月次BS!H15/1000</f>
        <v>1439.855</v>
      </c>
      <c r="I15" s="18">
        <f>+月次BS!I15/1000</f>
        <v>1677.027</v>
      </c>
      <c r="J15" s="18">
        <f>+月次BS!J15/1000</f>
        <v>1505.883</v>
      </c>
      <c r="K15" s="18">
        <f>+月次BS!K15/1000</f>
        <v>1584.538</v>
      </c>
      <c r="L15" s="18">
        <f>+月次BS!L15/1000</f>
        <v>1653.4580000000001</v>
      </c>
      <c r="M15" s="18">
        <f>+月次BS!M15/1000</f>
        <v>1664.854</v>
      </c>
      <c r="N15" s="18">
        <f>+月次BS!N15/1000</f>
        <v>1432.9870000000001</v>
      </c>
      <c r="O15" s="18">
        <f>+月次BS!O15/1000</f>
        <v>1319.258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131" customFormat="1">
      <c r="A16">
        <f>+月次BS!A16</f>
        <v>0</v>
      </c>
      <c r="B16" s="19" t="str">
        <f>+月次BS!B16</f>
        <v>貯蔵品</v>
      </c>
      <c r="C16" s="125">
        <f>+月次BS!C16/1000</f>
        <v>288.654</v>
      </c>
      <c r="D16" s="18">
        <f>+月次BS!D16/1000</f>
        <v>288.654</v>
      </c>
      <c r="E16" s="18">
        <f>+月次BS!E16/1000</f>
        <v>288.654</v>
      </c>
      <c r="F16" s="18">
        <f>+月次BS!F16/1000</f>
        <v>288.654</v>
      </c>
      <c r="G16" s="18">
        <f>+月次BS!G16/1000</f>
        <v>288.654</v>
      </c>
      <c r="H16" s="18">
        <f>+月次BS!H16/1000</f>
        <v>288.654</v>
      </c>
      <c r="I16" s="18">
        <f>+月次BS!I16/1000</f>
        <v>288.654</v>
      </c>
      <c r="J16" s="18">
        <f>+月次BS!J16/1000</f>
        <v>288.654</v>
      </c>
      <c r="K16" s="18">
        <f>+月次BS!K16/1000</f>
        <v>288.654</v>
      </c>
      <c r="L16" s="18">
        <f>+月次BS!L16/1000</f>
        <v>288.654</v>
      </c>
      <c r="M16" s="18">
        <f>+月次BS!M16/1000</f>
        <v>288.654</v>
      </c>
      <c r="N16" s="18">
        <f>+月次BS!N16/1000</f>
        <v>288.654</v>
      </c>
      <c r="O16" s="18">
        <f>+月次BS!O16/1000</f>
        <v>150.44999999999999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</row>
    <row r="17" spans="1:45" s="21" customFormat="1">
      <c r="A17" s="21" t="str">
        <f>+月次BS!A17</f>
        <v>棚卸資産合計</v>
      </c>
      <c r="B17" s="130">
        <f>+月次BS!B17</f>
        <v>0</v>
      </c>
      <c r="C17" s="126">
        <f>+月次BS!C17/1000</f>
        <v>1612.9390000000001</v>
      </c>
      <c r="D17" s="22">
        <f>+月次BS!D17/1000</f>
        <v>1748.95</v>
      </c>
      <c r="E17" s="22">
        <f>+月次BS!E17/1000</f>
        <v>1577.3240000000001</v>
      </c>
      <c r="F17" s="22">
        <f>+月次BS!F17/1000</f>
        <v>1606.5550000000001</v>
      </c>
      <c r="G17" s="22">
        <f>+月次BS!G17/1000</f>
        <v>1569.462</v>
      </c>
      <c r="H17" s="22">
        <f>+月次BS!H17/1000</f>
        <v>1728.509</v>
      </c>
      <c r="I17" s="22">
        <f>+月次BS!I17/1000</f>
        <v>1965.681</v>
      </c>
      <c r="J17" s="22">
        <f>+月次BS!J17/1000</f>
        <v>1794.537</v>
      </c>
      <c r="K17" s="22">
        <f>+月次BS!K17/1000</f>
        <v>1873.192</v>
      </c>
      <c r="L17" s="22">
        <f>+月次BS!L17/1000</f>
        <v>1942.1120000000001</v>
      </c>
      <c r="M17" s="22">
        <f>+月次BS!M17/1000</f>
        <v>1953.508</v>
      </c>
      <c r="N17" s="22">
        <f>+月次BS!N17/1000</f>
        <v>1721.6410000000001</v>
      </c>
      <c r="O17" s="22">
        <f>+月次BS!O17/1000</f>
        <v>1469.7080000000001</v>
      </c>
    </row>
    <row r="18" spans="1:45">
      <c r="A18" t="str">
        <f>+月次BS!A18</f>
        <v>その他流動資産</v>
      </c>
      <c r="B18" s="19">
        <f>+月次BS!B18</f>
        <v>0</v>
      </c>
      <c r="C18" s="125">
        <f>+月次BS!C18/1000</f>
        <v>0</v>
      </c>
      <c r="D18" s="18">
        <f>+月次BS!D18/1000</f>
        <v>0</v>
      </c>
      <c r="E18" s="18">
        <f>+月次BS!E18/1000</f>
        <v>0</v>
      </c>
      <c r="F18" s="18">
        <f>+月次BS!F18/1000</f>
        <v>0</v>
      </c>
      <c r="G18" s="18">
        <f>+月次BS!G18/1000</f>
        <v>0</v>
      </c>
      <c r="H18" s="18">
        <f>+月次BS!H18/1000</f>
        <v>0</v>
      </c>
      <c r="I18" s="18">
        <f>+月次BS!I18/1000</f>
        <v>0</v>
      </c>
      <c r="J18" s="18">
        <f>+月次BS!J18/1000</f>
        <v>0</v>
      </c>
      <c r="K18" s="18">
        <f>+月次BS!K18/1000</f>
        <v>0</v>
      </c>
      <c r="L18" s="18">
        <f>+月次BS!L18/1000</f>
        <v>0</v>
      </c>
      <c r="M18" s="18">
        <f>+月次BS!M18/1000</f>
        <v>0</v>
      </c>
      <c r="N18" s="18">
        <f>+月次BS!N18/1000</f>
        <v>0</v>
      </c>
      <c r="O18" s="18">
        <f>+月次BS!O18/1000</f>
        <v>0</v>
      </c>
    </row>
    <row r="19" spans="1:45">
      <c r="A19">
        <f>+月次BS!A19</f>
        <v>0</v>
      </c>
      <c r="B19" s="19" t="str">
        <f>+月次BS!B19</f>
        <v>前払費用</v>
      </c>
      <c r="C19" s="125">
        <f>+月次BS!C19/1000</f>
        <v>1742.739</v>
      </c>
      <c r="D19" s="18">
        <f>+月次BS!D19/1000</f>
        <v>1728.4390000000001</v>
      </c>
      <c r="E19" s="18">
        <f>+月次BS!E19/1000</f>
        <v>1714.1389999999999</v>
      </c>
      <c r="F19" s="18">
        <f>+月次BS!F19/1000</f>
        <v>1699.8389999999999</v>
      </c>
      <c r="G19" s="18">
        <f>+月次BS!G19/1000</f>
        <v>1685.539</v>
      </c>
      <c r="H19" s="18">
        <f>+月次BS!H19/1000</f>
        <v>1828.539</v>
      </c>
      <c r="I19" s="18">
        <f>+月次BS!I19/1000</f>
        <v>1814.239</v>
      </c>
      <c r="J19" s="18">
        <f>+月次BS!J19/1000</f>
        <v>1799.9390000000001</v>
      </c>
      <c r="K19" s="18">
        <f>+月次BS!K19/1000</f>
        <v>1785.6389999999999</v>
      </c>
      <c r="L19" s="18">
        <f>+月次BS!L19/1000</f>
        <v>1771.3389999999999</v>
      </c>
      <c r="M19" s="18">
        <f>+月次BS!M19/1000</f>
        <v>1757.039</v>
      </c>
      <c r="N19" s="18">
        <f>+月次BS!N19/1000</f>
        <v>1742.739</v>
      </c>
      <c r="O19" s="18">
        <f>+月次BS!O19/1000</f>
        <v>1742.739</v>
      </c>
    </row>
    <row r="20" spans="1:45">
      <c r="A20">
        <f>+月次BS!A20</f>
        <v>0</v>
      </c>
      <c r="B20" s="19" t="str">
        <f>+月次BS!B20</f>
        <v>立替金</v>
      </c>
      <c r="C20" s="125">
        <f>+月次BS!C20/1000</f>
        <v>626.80200000000002</v>
      </c>
      <c r="D20" s="18">
        <f>+月次BS!D20/1000</f>
        <v>815.49599999999998</v>
      </c>
      <c r="E20" s="18">
        <f>+月次BS!E20/1000</f>
        <v>609.22699999999998</v>
      </c>
      <c r="F20" s="18">
        <f>+月次BS!F20/1000</f>
        <v>781.03800000000001</v>
      </c>
      <c r="G20" s="18">
        <f>+月次BS!G20/1000</f>
        <v>789.24599999999998</v>
      </c>
      <c r="H20" s="18">
        <f>+月次BS!H20/1000</f>
        <v>794.149</v>
      </c>
      <c r="I20" s="18">
        <f>+月次BS!I20/1000</f>
        <v>816.59400000000005</v>
      </c>
      <c r="J20" s="18">
        <f>+月次BS!J20/1000</f>
        <v>534.33900000000006</v>
      </c>
      <c r="K20" s="18">
        <f>+月次BS!K20/1000</f>
        <v>528.39599999999996</v>
      </c>
      <c r="L20" s="18">
        <f>+月次BS!L20/1000</f>
        <v>357.83699999999999</v>
      </c>
      <c r="M20" s="18">
        <f>+月次BS!M20/1000</f>
        <v>507.49700000000001</v>
      </c>
      <c r="N20" s="18">
        <f>+月次BS!N20/1000</f>
        <v>664.61500000000001</v>
      </c>
      <c r="O20" s="18">
        <f>+月次BS!O20/1000</f>
        <v>866.08500000000004</v>
      </c>
    </row>
    <row r="21" spans="1:45">
      <c r="A21">
        <f>+月次BS!A21</f>
        <v>0</v>
      </c>
      <c r="B21" s="19" t="str">
        <f>+月次BS!B21</f>
        <v>未収入金</v>
      </c>
      <c r="C21" s="125">
        <f>+月次BS!C21/1000</f>
        <v>26.812999999999999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</row>
    <row r="22" spans="1:45" s="21" customFormat="1">
      <c r="A22">
        <f>+月次BS!A22</f>
        <v>0</v>
      </c>
      <c r="B22" s="19" t="str">
        <f>+月次BS!B22</f>
        <v>仮払金</v>
      </c>
      <c r="C22" s="125">
        <f>+月次BS!C22/1000</f>
        <v>0</v>
      </c>
      <c r="D22" s="18">
        <f>+月次BS!D22/1000</f>
        <v>0</v>
      </c>
      <c r="E22" s="18">
        <f>+月次BS!E22/1000</f>
        <v>0</v>
      </c>
      <c r="F22" s="18">
        <f>+月次BS!F22/1000</f>
        <v>12.943</v>
      </c>
      <c r="G22" s="18">
        <f>+月次BS!G22/1000</f>
        <v>0</v>
      </c>
      <c r="H22" s="18">
        <f>+月次BS!H22/1000</f>
        <v>0</v>
      </c>
      <c r="I22" s="18">
        <f>+月次BS!I22/1000</f>
        <v>0</v>
      </c>
      <c r="J22" s="18">
        <f>+月次BS!J22/1000</f>
        <v>0</v>
      </c>
      <c r="K22" s="18">
        <f>+月次BS!K22/1000</f>
        <v>0</v>
      </c>
      <c r="L22" s="18">
        <f>+月次BS!L22/1000</f>
        <v>13.15</v>
      </c>
      <c r="M22" s="18">
        <f>+月次BS!M22/1000</f>
        <v>0</v>
      </c>
      <c r="N22" s="18">
        <f>+月次BS!N22/1000</f>
        <v>0</v>
      </c>
      <c r="O22" s="18">
        <f>+月次BS!O22/1000</f>
        <v>0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 spans="1:45">
      <c r="A23">
        <f>+月次BS!A23</f>
        <v>0</v>
      </c>
      <c r="B23" s="19" t="str">
        <f>+月次BS!B23</f>
        <v>仮払消費税</v>
      </c>
      <c r="C23" s="125">
        <f>+月次BS!C23/1000</f>
        <v>0</v>
      </c>
      <c r="D23" s="18">
        <f>+月次BS!D23/1000</f>
        <v>602.18100000000004</v>
      </c>
      <c r="E23" s="18">
        <f>+月次BS!E23/1000</f>
        <v>1181.2629999999999</v>
      </c>
      <c r="F23" s="18">
        <f>+月次BS!F23/1000</f>
        <v>1723.683</v>
      </c>
      <c r="G23" s="18">
        <f>+月次BS!G23/1000</f>
        <v>2238.998</v>
      </c>
      <c r="H23" s="18">
        <f>+月次BS!H23/1000</f>
        <v>2785.3580000000002</v>
      </c>
      <c r="I23" s="18">
        <f>+月次BS!I23/1000</f>
        <v>3451.3290000000002</v>
      </c>
      <c r="J23" s="18">
        <f>+月次BS!J23/1000</f>
        <v>3971.01</v>
      </c>
      <c r="K23" s="18">
        <f>+月次BS!K23/1000</f>
        <v>4699.7</v>
      </c>
      <c r="L23" s="18">
        <f>+月次BS!L23/1000</f>
        <v>5271.7049999999999</v>
      </c>
      <c r="M23" s="18">
        <f>+月次BS!M23/1000</f>
        <v>5800.8050000000003</v>
      </c>
      <c r="N23" s="18">
        <f>+月次BS!N23/1000</f>
        <v>6308.1840000000002</v>
      </c>
      <c r="O23" s="18">
        <f>+月次BS!O23/1000</f>
        <v>6820.35</v>
      </c>
    </row>
    <row r="24" spans="1:45" s="21" customFormat="1">
      <c r="A24" s="21" t="str">
        <f>+月次BS!A24</f>
        <v>その他流動資産合計</v>
      </c>
      <c r="B24" s="130">
        <f>+月次BS!B24</f>
        <v>0</v>
      </c>
      <c r="C24" s="126">
        <f>+月次BS!C24/1000</f>
        <v>2396.3539999999998</v>
      </c>
      <c r="D24" s="22">
        <f>+月次BS!D24/1000</f>
        <v>3146.116</v>
      </c>
      <c r="E24" s="22">
        <f>+月次BS!E24/1000</f>
        <v>3504.6289999999999</v>
      </c>
      <c r="F24" s="22">
        <f>+月次BS!F24/1000</f>
        <v>4217.5029999999997</v>
      </c>
      <c r="G24" s="22">
        <f>+月次BS!G24/1000</f>
        <v>4713.7830000000004</v>
      </c>
      <c r="H24" s="22">
        <f>+月次BS!H24/1000</f>
        <v>5408.0460000000003</v>
      </c>
      <c r="I24" s="22">
        <f>+月次BS!I24/1000</f>
        <v>6082.1620000000003</v>
      </c>
      <c r="J24" s="22">
        <f>+月次BS!J24/1000</f>
        <v>6305.2879999999996</v>
      </c>
      <c r="K24" s="22">
        <f>+月次BS!K24/1000</f>
        <v>7013.7349999999997</v>
      </c>
      <c r="L24" s="22">
        <f>+月次BS!L24/1000</f>
        <v>7414.0309999999999</v>
      </c>
      <c r="M24" s="22">
        <f>+月次BS!M24/1000</f>
        <v>8065.3410000000003</v>
      </c>
      <c r="N24" s="22">
        <f>+月次BS!N24/1000</f>
        <v>8715.5380000000005</v>
      </c>
      <c r="O24" s="22">
        <f>+月次BS!O24/1000</f>
        <v>9429.1740000000009</v>
      </c>
    </row>
    <row r="25" spans="1:45" s="132" customFormat="1">
      <c r="A25" s="132" t="str">
        <f>+月次BS!A25</f>
        <v>流動資産合計</v>
      </c>
      <c r="B25" s="133">
        <f>+月次BS!B25</f>
        <v>0</v>
      </c>
      <c r="C25" s="134">
        <f>+月次BS!C25/1000</f>
        <v>53728.243999999999</v>
      </c>
      <c r="D25" s="135">
        <f>+月次BS!D25/1000</f>
        <v>55086.313000000002</v>
      </c>
      <c r="E25" s="135">
        <f>+月次BS!E25/1000</f>
        <v>54269.055</v>
      </c>
      <c r="F25" s="135">
        <f>+月次BS!F25/1000</f>
        <v>54072.622000000003</v>
      </c>
      <c r="G25" s="135">
        <f>+月次BS!G25/1000</f>
        <v>55400.99</v>
      </c>
      <c r="H25" s="135">
        <f>+月次BS!H25/1000</f>
        <v>57444.375</v>
      </c>
      <c r="I25" s="135">
        <f>+月次BS!I25/1000</f>
        <v>61264.63</v>
      </c>
      <c r="J25" s="135">
        <f>+月次BS!J25/1000</f>
        <v>59311.150999999998</v>
      </c>
      <c r="K25" s="135">
        <f>+月次BS!K25/1000</f>
        <v>55988.057999999997</v>
      </c>
      <c r="L25" s="135">
        <f>+月次BS!L25/1000</f>
        <v>56491.923999999999</v>
      </c>
      <c r="M25" s="135">
        <f>+月次BS!M25/1000</f>
        <v>55702.637000000002</v>
      </c>
      <c r="N25" s="135">
        <f>+月次BS!N25/1000</f>
        <v>57214.161999999997</v>
      </c>
      <c r="O25" s="135">
        <f>+月次BS!O25/1000</f>
        <v>55517.237000000001</v>
      </c>
    </row>
    <row r="26" spans="1:45" s="20" customFormat="1">
      <c r="A26" t="str">
        <f>+月次BS!A26</f>
        <v>固定資産</v>
      </c>
      <c r="B26" s="19">
        <f>+月次BS!B26</f>
        <v>0</v>
      </c>
      <c r="C26" s="125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 t="str">
        <f>+月次BS!A27</f>
        <v>有形固定資産</v>
      </c>
      <c r="B27" s="19">
        <f>+月次BS!B27</f>
        <v>0</v>
      </c>
      <c r="C27" s="125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建物</v>
      </c>
      <c r="C28" s="125">
        <f>+月次BS!C28/1000</f>
        <v>16345.912</v>
      </c>
      <c r="D28" s="18">
        <f>+月次BS!D28/1000</f>
        <v>16345.912</v>
      </c>
      <c r="E28" s="18">
        <f>+月次BS!E28/1000</f>
        <v>16345.912</v>
      </c>
      <c r="F28" s="18">
        <f>+月次BS!F28/1000</f>
        <v>16345.912</v>
      </c>
      <c r="G28" s="18">
        <f>+月次BS!G28/1000</f>
        <v>16345.912</v>
      </c>
      <c r="H28" s="18">
        <f>+月次BS!H28/1000</f>
        <v>16345.912</v>
      </c>
      <c r="I28" s="18">
        <f>+月次BS!I28/1000</f>
        <v>16345.912</v>
      </c>
      <c r="J28" s="18">
        <f>+月次BS!J28/1000</f>
        <v>16345.912</v>
      </c>
      <c r="K28" s="18">
        <f>+月次BS!K28/1000</f>
        <v>16345.912</v>
      </c>
      <c r="L28" s="18">
        <f>+月次BS!L28/1000</f>
        <v>16345.912</v>
      </c>
      <c r="M28" s="18">
        <f>+月次BS!M28/1000</f>
        <v>16345.912</v>
      </c>
      <c r="N28" s="18">
        <f>+月次BS!N28/1000</f>
        <v>16345.912</v>
      </c>
      <c r="O28" s="18">
        <f>+月次BS!O28/1000</f>
        <v>16345.912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附属設備</v>
      </c>
      <c r="C29" s="125">
        <f>+月次BS!C29/1000</f>
        <v>29167.466</v>
      </c>
      <c r="D29" s="18">
        <f>+月次BS!D29/1000</f>
        <v>29167.466</v>
      </c>
      <c r="E29" s="18">
        <f>+月次BS!E29/1000</f>
        <v>29167.466</v>
      </c>
      <c r="F29" s="18">
        <f>+月次BS!F29/1000</f>
        <v>29167.466</v>
      </c>
      <c r="G29" s="18">
        <f>+月次BS!G29/1000</f>
        <v>29167.466</v>
      </c>
      <c r="H29" s="18">
        <f>+月次BS!H29/1000</f>
        <v>29167.466</v>
      </c>
      <c r="I29" s="18">
        <f>+月次BS!I29/1000</f>
        <v>29167.466</v>
      </c>
      <c r="J29" s="18">
        <f>+月次BS!J29/1000</f>
        <v>29167.466</v>
      </c>
      <c r="K29" s="18">
        <f>+月次BS!K29/1000</f>
        <v>29167.466</v>
      </c>
      <c r="L29" s="18">
        <f>+月次BS!L29/1000</f>
        <v>29167.466</v>
      </c>
      <c r="M29" s="18">
        <f>+月次BS!M29/1000</f>
        <v>29167.466</v>
      </c>
      <c r="N29" s="18">
        <f>+月次BS!N29/1000</f>
        <v>29167.466</v>
      </c>
      <c r="O29" s="18">
        <f>+月次BS!O29/1000</f>
        <v>29167.466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工具器具備品</v>
      </c>
      <c r="C30" s="125">
        <f>+月次BS!C30/1000</f>
        <v>7249.232</v>
      </c>
      <c r="D30" s="18">
        <f>+月次BS!D30/1000</f>
        <v>7249.232</v>
      </c>
      <c r="E30" s="18">
        <f>+月次BS!E30/1000</f>
        <v>7249.232</v>
      </c>
      <c r="F30" s="18">
        <f>+月次BS!F30/1000</f>
        <v>7249.232</v>
      </c>
      <c r="G30" s="18">
        <f>+月次BS!G30/1000</f>
        <v>7249.232</v>
      </c>
      <c r="H30" s="18">
        <f>+月次BS!H30/1000</f>
        <v>7249.232</v>
      </c>
      <c r="I30" s="18">
        <f>+月次BS!I30/1000</f>
        <v>7404.232</v>
      </c>
      <c r="J30" s="18">
        <f>+月次BS!J30/1000</f>
        <v>7404.232</v>
      </c>
      <c r="K30" s="18">
        <f>+月次BS!K30/1000</f>
        <v>7404.232</v>
      </c>
      <c r="L30" s="18">
        <f>+月次BS!L30/1000</f>
        <v>7404.232</v>
      </c>
      <c r="M30" s="18">
        <f>+月次BS!M30/1000</f>
        <v>7404.232</v>
      </c>
      <c r="N30" s="18">
        <f>+月次BS!N30/1000</f>
        <v>7404.232</v>
      </c>
      <c r="O30" s="18">
        <f>+月次BS!O30/1000</f>
        <v>7404.232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20" customFormat="1">
      <c r="A31">
        <f>+月次BS!A31</f>
        <v>0</v>
      </c>
      <c r="B31" s="19" t="str">
        <f>+月次BS!B31</f>
        <v>一括償却資産</v>
      </c>
      <c r="C31" s="125">
        <f>+月次BS!C31/1000</f>
        <v>526.31600000000003</v>
      </c>
      <c r="D31" s="18">
        <f>+月次BS!D31/1000</f>
        <v>526.31600000000003</v>
      </c>
      <c r="E31" s="18">
        <f>+月次BS!E31/1000</f>
        <v>526.31600000000003</v>
      </c>
      <c r="F31" s="18">
        <f>+月次BS!F31/1000</f>
        <v>526.31600000000003</v>
      </c>
      <c r="G31" s="18">
        <f>+月次BS!G31/1000</f>
        <v>526.31600000000003</v>
      </c>
      <c r="H31" s="18">
        <f>+月次BS!H31/1000</f>
        <v>526.31600000000003</v>
      </c>
      <c r="I31" s="18">
        <f>+月次BS!I31/1000</f>
        <v>526.31600000000003</v>
      </c>
      <c r="J31" s="18">
        <f>+月次BS!J31/1000</f>
        <v>526.31600000000003</v>
      </c>
      <c r="K31" s="18">
        <f>+月次BS!K31/1000</f>
        <v>526.31600000000003</v>
      </c>
      <c r="L31" s="18">
        <f>+月次BS!L31/1000</f>
        <v>526.31600000000003</v>
      </c>
      <c r="M31" s="18">
        <f>+月次BS!M31/1000</f>
        <v>526.31600000000003</v>
      </c>
      <c r="N31" s="18">
        <f>+月次BS!N31/1000</f>
        <v>526.31600000000003</v>
      </c>
      <c r="O31" s="18">
        <f>+月次BS!O31/1000</f>
        <v>526.31600000000003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131" customFormat="1">
      <c r="A32">
        <f>+月次BS!A32</f>
        <v>0</v>
      </c>
      <c r="B32" s="19" t="str">
        <f>+月次BS!B32</f>
        <v>減価償却累計額</v>
      </c>
      <c r="C32" s="125">
        <f>+月次BS!C32/1000</f>
        <v>0</v>
      </c>
      <c r="D32" s="18">
        <f>+月次BS!D32/1000</f>
        <v>-586.63499999999999</v>
      </c>
      <c r="E32" s="18">
        <f>+月次BS!E32/1000</f>
        <v>-1173.27</v>
      </c>
      <c r="F32" s="18">
        <f>+月次BS!F32/1000</f>
        <v>-1759.905</v>
      </c>
      <c r="G32" s="18">
        <f>+月次BS!G32/1000</f>
        <v>-2346.54</v>
      </c>
      <c r="H32" s="18">
        <f>+月次BS!H32/1000</f>
        <v>-2933.1750000000002</v>
      </c>
      <c r="I32" s="18">
        <f>+月次BS!I32/1000</f>
        <v>-3519.81</v>
      </c>
      <c r="J32" s="18">
        <f>+月次BS!J32/1000</f>
        <v>-4106.4449999999997</v>
      </c>
      <c r="K32" s="18">
        <f>+月次BS!K32/1000</f>
        <v>-4693.08</v>
      </c>
      <c r="L32" s="18">
        <f>+月次BS!L32/1000</f>
        <v>-5279.7150000000001</v>
      </c>
      <c r="M32" s="18">
        <f>+月次BS!M32/1000</f>
        <v>-5866.35</v>
      </c>
      <c r="N32" s="18">
        <f>+月次BS!N32/1000</f>
        <v>-6452.9849999999997</v>
      </c>
      <c r="O32" s="18">
        <f>+月次BS!O32/1000</f>
        <v>-7039.62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 s="21" customFormat="1">
      <c r="A33" s="21" t="str">
        <f>+月次BS!A33</f>
        <v>有形固定資産合計</v>
      </c>
      <c r="B33" s="130">
        <f>+月次BS!B33</f>
        <v>0</v>
      </c>
      <c r="C33" s="126">
        <f>+月次BS!C33/1000</f>
        <v>53288.925999999999</v>
      </c>
      <c r="D33" s="22">
        <f>+月次BS!D33/1000</f>
        <v>52702.290999999997</v>
      </c>
      <c r="E33" s="22">
        <f>+月次BS!E33/1000</f>
        <v>52115.656000000003</v>
      </c>
      <c r="F33" s="22">
        <f>+月次BS!F33/1000</f>
        <v>51529.021000000001</v>
      </c>
      <c r="G33" s="22">
        <f>+月次BS!G33/1000</f>
        <v>50942.385999999999</v>
      </c>
      <c r="H33" s="22">
        <f>+月次BS!H33/1000</f>
        <v>50355.750999999997</v>
      </c>
      <c r="I33" s="22">
        <f>+月次BS!I33/1000</f>
        <v>49924.116000000002</v>
      </c>
      <c r="J33" s="22">
        <f>+月次BS!J33/1000</f>
        <v>49337.481</v>
      </c>
      <c r="K33" s="22">
        <f>+月次BS!K33/1000</f>
        <v>48750.845999999998</v>
      </c>
      <c r="L33" s="22">
        <f>+月次BS!L33/1000</f>
        <v>48164.211000000003</v>
      </c>
      <c r="M33" s="22">
        <f>+月次BS!M33/1000</f>
        <v>47577.576000000001</v>
      </c>
      <c r="N33" s="22">
        <f>+月次BS!N33/1000</f>
        <v>46990.940999999999</v>
      </c>
      <c r="O33" s="22">
        <f>+月次BS!O33/1000</f>
        <v>46404.305999999997</v>
      </c>
    </row>
    <row r="34" spans="1:45" s="20" customFormat="1">
      <c r="A34" t="str">
        <f>+月次BS!A34</f>
        <v>無形固定資産</v>
      </c>
      <c r="B34" s="19">
        <f>+月次BS!B34</f>
        <v>0</v>
      </c>
      <c r="C34" s="125">
        <f>+月次BS!C34/1000</f>
        <v>0</v>
      </c>
      <c r="D34" s="18">
        <f>+月次BS!D34/1000</f>
        <v>0</v>
      </c>
      <c r="E34" s="18">
        <f>+月次BS!E34/1000</f>
        <v>0</v>
      </c>
      <c r="F34" s="18">
        <f>+月次BS!F34/1000</f>
        <v>0</v>
      </c>
      <c r="G34" s="18">
        <f>+月次BS!G34/1000</f>
        <v>0</v>
      </c>
      <c r="H34" s="18">
        <f>+月次BS!H34/1000</f>
        <v>0</v>
      </c>
      <c r="I34" s="18">
        <f>+月次BS!I34/1000</f>
        <v>0</v>
      </c>
      <c r="J34" s="18">
        <f>+月次BS!J34/1000</f>
        <v>0</v>
      </c>
      <c r="K34" s="18">
        <f>+月次BS!K34/1000</f>
        <v>0</v>
      </c>
      <c r="L34" s="18">
        <f>+月次BS!L34/1000</f>
        <v>0</v>
      </c>
      <c r="M34" s="18">
        <f>+月次BS!M34/1000</f>
        <v>0</v>
      </c>
      <c r="N34" s="18">
        <f>+月次BS!N34/1000</f>
        <v>0</v>
      </c>
      <c r="O34" s="18">
        <f>+月次BS!O34/1000</f>
        <v>0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1:45">
      <c r="A35">
        <f>+月次BS!A35</f>
        <v>0</v>
      </c>
      <c r="B35" s="19" t="str">
        <f>+月次BS!B35</f>
        <v>ソフトウェア</v>
      </c>
      <c r="C35" s="125">
        <f>+月次BS!C35/1000</f>
        <v>3801.1849999999999</v>
      </c>
      <c r="D35" s="18">
        <f>+月次BS!D35/1000</f>
        <v>3697.2310000000002</v>
      </c>
      <c r="E35" s="18">
        <f>+月次BS!E35/1000</f>
        <v>3593.277</v>
      </c>
      <c r="F35" s="18">
        <f>+月次BS!F35/1000</f>
        <v>3489.3229999999999</v>
      </c>
      <c r="G35" s="18">
        <f>+月次BS!G35/1000</f>
        <v>3385.3690000000001</v>
      </c>
      <c r="H35" s="18">
        <f>+月次BS!H35/1000</f>
        <v>3281.415</v>
      </c>
      <c r="I35" s="18">
        <f>+月次BS!I35/1000</f>
        <v>3177.4609999999998</v>
      </c>
      <c r="J35" s="18">
        <f>+月次BS!J35/1000</f>
        <v>3073.5070000000001</v>
      </c>
      <c r="K35" s="18">
        <f>+月次BS!K35/1000</f>
        <v>2969.5529999999999</v>
      </c>
      <c r="L35" s="18">
        <f>+月次BS!L35/1000</f>
        <v>2865.5990000000002</v>
      </c>
      <c r="M35" s="18">
        <f>+月次BS!M35/1000</f>
        <v>2761.645</v>
      </c>
      <c r="N35" s="18">
        <f>+月次BS!N35/1000</f>
        <v>2657.6909999999998</v>
      </c>
      <c r="O35" s="18">
        <f>+月次BS!O35/1000</f>
        <v>2553.7370000000001</v>
      </c>
    </row>
    <row r="36" spans="1:45" s="21" customFormat="1">
      <c r="A36" s="21" t="str">
        <f>+月次BS!A36</f>
        <v>無形固定資産合計</v>
      </c>
      <c r="B36" s="130">
        <f>+月次BS!B36</f>
        <v>0</v>
      </c>
      <c r="C36" s="126">
        <f>+月次BS!C36/1000</f>
        <v>3801.1849999999999</v>
      </c>
      <c r="D36" s="22">
        <f>+月次BS!D36/1000</f>
        <v>3697.2310000000002</v>
      </c>
      <c r="E36" s="22">
        <f>+月次BS!E36/1000</f>
        <v>3593.277</v>
      </c>
      <c r="F36" s="22">
        <f>+月次BS!F36/1000</f>
        <v>3489.3229999999999</v>
      </c>
      <c r="G36" s="22">
        <f>+月次BS!G36/1000</f>
        <v>3385.3690000000001</v>
      </c>
      <c r="H36" s="22">
        <f>+月次BS!H36/1000</f>
        <v>3281.415</v>
      </c>
      <c r="I36" s="22">
        <f>+月次BS!I36/1000</f>
        <v>3177.4609999999998</v>
      </c>
      <c r="J36" s="22">
        <f>+月次BS!J36/1000</f>
        <v>3073.5070000000001</v>
      </c>
      <c r="K36" s="22">
        <f>+月次BS!K36/1000</f>
        <v>2969.5529999999999</v>
      </c>
      <c r="L36" s="22">
        <f>+月次BS!L36/1000</f>
        <v>2865.5990000000002</v>
      </c>
      <c r="M36" s="22">
        <f>+月次BS!M36/1000</f>
        <v>2761.645</v>
      </c>
      <c r="N36" s="22">
        <f>+月次BS!N36/1000</f>
        <v>2657.6909999999998</v>
      </c>
      <c r="O36" s="22">
        <f>+月次BS!O36/1000</f>
        <v>2553.7370000000001</v>
      </c>
    </row>
    <row r="37" spans="1:45" s="20" customFormat="1">
      <c r="A37" t="str">
        <f>+月次BS!A37</f>
        <v>投資その他の資産</v>
      </c>
      <c r="B37" s="19">
        <f>+月次BS!B37</f>
        <v>0</v>
      </c>
      <c r="C37" s="125">
        <f>+月次BS!C37/1000</f>
        <v>0</v>
      </c>
      <c r="D37" s="18">
        <f>+月次BS!D37/1000</f>
        <v>0</v>
      </c>
      <c r="E37" s="18">
        <f>+月次BS!E37/1000</f>
        <v>0</v>
      </c>
      <c r="F37" s="18">
        <f>+月次BS!F37/1000</f>
        <v>0</v>
      </c>
      <c r="G37" s="18">
        <f>+月次BS!G37/1000</f>
        <v>0</v>
      </c>
      <c r="H37" s="18">
        <f>+月次BS!H37/1000</f>
        <v>0</v>
      </c>
      <c r="I37" s="18">
        <f>+月次BS!I37/1000</f>
        <v>0</v>
      </c>
      <c r="J37" s="18">
        <f>+月次BS!J37/1000</f>
        <v>0</v>
      </c>
      <c r="K37" s="18">
        <f>+月次BS!K37/1000</f>
        <v>0</v>
      </c>
      <c r="L37" s="18">
        <f>+月次BS!L37/1000</f>
        <v>0</v>
      </c>
      <c r="M37" s="18">
        <f>+月次BS!M37/1000</f>
        <v>0</v>
      </c>
      <c r="N37" s="18">
        <f>+月次BS!N37/1000</f>
        <v>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出資金</v>
      </c>
      <c r="C38" s="125">
        <f>+月次BS!C38/1000</f>
        <v>8825.9599999999991</v>
      </c>
      <c r="D38" s="18">
        <f>+月次BS!D38/1000</f>
        <v>8825.9599999999991</v>
      </c>
      <c r="E38" s="18">
        <f>+月次BS!E38/1000</f>
        <v>8825.9599999999991</v>
      </c>
      <c r="F38" s="18">
        <f>+月次BS!F38/1000</f>
        <v>8825.9599999999991</v>
      </c>
      <c r="G38" s="18">
        <f>+月次BS!G38/1000</f>
        <v>8825.9599999999991</v>
      </c>
      <c r="H38" s="18">
        <f>+月次BS!H38/1000</f>
        <v>8825.9599999999991</v>
      </c>
      <c r="I38" s="18">
        <f>+月次BS!I38/1000</f>
        <v>8825.9599999999991</v>
      </c>
      <c r="J38" s="18">
        <f>+月次BS!J38/1000</f>
        <v>8825.9599999999991</v>
      </c>
      <c r="K38" s="18">
        <f>+月次BS!K38/1000</f>
        <v>8825.9599999999991</v>
      </c>
      <c r="L38" s="18">
        <f>+月次BS!L38/1000</f>
        <v>8825.9599999999991</v>
      </c>
      <c r="M38" s="18">
        <f>+月次BS!M38/1000</f>
        <v>8825.9599999999991</v>
      </c>
      <c r="N38" s="18">
        <f>+月次BS!N38/1000</f>
        <v>8825.9599999999991</v>
      </c>
      <c r="O38" s="18">
        <f>+月次BS!O38/1000</f>
        <v>8825.9599999999991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長期前払費用</v>
      </c>
      <c r="C39" s="125">
        <f>+月次BS!C39/1000</f>
        <v>1092.742</v>
      </c>
      <c r="D39" s="18">
        <f>+月次BS!D39/1000</f>
        <v>1092.742</v>
      </c>
      <c r="E39" s="18">
        <f>+月次BS!E39/1000</f>
        <v>1092.742</v>
      </c>
      <c r="F39" s="18">
        <f>+月次BS!F39/1000</f>
        <v>1092.742</v>
      </c>
      <c r="G39" s="18">
        <f>+月次BS!G39/1000</f>
        <v>1092.742</v>
      </c>
      <c r="H39" s="18">
        <f>+月次BS!H39/1000</f>
        <v>1092.742</v>
      </c>
      <c r="I39" s="18">
        <f>+月次BS!I39/1000</f>
        <v>1092.742</v>
      </c>
      <c r="J39" s="18">
        <f>+月次BS!J39/1000</f>
        <v>1092.742</v>
      </c>
      <c r="K39" s="18">
        <f>+月次BS!K39/1000</f>
        <v>1092.742</v>
      </c>
      <c r="L39" s="18">
        <f>+月次BS!L39/1000</f>
        <v>1092.742</v>
      </c>
      <c r="M39" s="18">
        <f>+月次BS!M39/1000</f>
        <v>1092.742</v>
      </c>
      <c r="N39" s="18">
        <f>+月次BS!N39/1000</f>
        <v>1092.742</v>
      </c>
      <c r="O39" s="18">
        <f>+月次BS!O39/1000</f>
        <v>1092.742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20" customFormat="1">
      <c r="A40">
        <f>+月次BS!A40</f>
        <v>0</v>
      </c>
      <c r="B40" s="19" t="str">
        <f>+月次BS!B40</f>
        <v>敷金</v>
      </c>
      <c r="C40" s="125">
        <f>+月次BS!C40/1000</f>
        <v>2126.4859999999999</v>
      </c>
      <c r="D40" s="18">
        <f>+月次BS!D40/1000</f>
        <v>2126.4859999999999</v>
      </c>
      <c r="E40" s="18">
        <f>+月次BS!E40/1000</f>
        <v>2126.4859999999999</v>
      </c>
      <c r="F40" s="18">
        <f>+月次BS!F40/1000</f>
        <v>2126.4859999999999</v>
      </c>
      <c r="G40" s="18">
        <f>+月次BS!G40/1000</f>
        <v>2126.4859999999999</v>
      </c>
      <c r="H40" s="18">
        <f>+月次BS!H40/1000</f>
        <v>2126.4859999999999</v>
      </c>
      <c r="I40" s="18">
        <f>+月次BS!I40/1000</f>
        <v>2126.4859999999999</v>
      </c>
      <c r="J40" s="18">
        <f>+月次BS!J40/1000</f>
        <v>2126.4859999999999</v>
      </c>
      <c r="K40" s="18">
        <f>+月次BS!K40/1000</f>
        <v>2126.4859999999999</v>
      </c>
      <c r="L40" s="18">
        <f>+月次BS!L40/1000</f>
        <v>2126.4859999999999</v>
      </c>
      <c r="M40" s="18">
        <f>+月次BS!M40/1000</f>
        <v>2126.4859999999999</v>
      </c>
      <c r="N40" s="18">
        <f>+月次BS!N40/1000</f>
        <v>2126.4859999999999</v>
      </c>
      <c r="O40" s="18">
        <f>+月次BS!O40/1000</f>
        <v>2126.4859999999999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131" customFormat="1">
      <c r="A41">
        <f>+月次BS!A41</f>
        <v>0</v>
      </c>
      <c r="B41" s="19" t="str">
        <f>+月次BS!B41</f>
        <v>保険積立金</v>
      </c>
      <c r="C41" s="125">
        <f>+月次BS!C41/1000</f>
        <v>13330.513999999999</v>
      </c>
      <c r="D41" s="18">
        <f>+月次BS!D41/1000</f>
        <v>13333.569</v>
      </c>
      <c r="E41" s="18">
        <f>+月次BS!E41/1000</f>
        <v>13336.624</v>
      </c>
      <c r="F41" s="18">
        <f>+月次BS!F41/1000</f>
        <v>13339.679</v>
      </c>
      <c r="G41" s="18">
        <f>+月次BS!G41/1000</f>
        <v>13342.734</v>
      </c>
      <c r="H41" s="18">
        <f>+月次BS!H41/1000</f>
        <v>13345.789000000001</v>
      </c>
      <c r="I41" s="18">
        <f>+月次BS!I41/1000</f>
        <v>13348.843999999999</v>
      </c>
      <c r="J41" s="18">
        <f>+月次BS!J41/1000</f>
        <v>13351.898999999999</v>
      </c>
      <c r="K41" s="18">
        <f>+月次BS!K41/1000</f>
        <v>13354.954</v>
      </c>
      <c r="L41" s="18">
        <f>+月次BS!L41/1000</f>
        <v>13358.009</v>
      </c>
      <c r="M41" s="18">
        <f>+月次BS!M41/1000</f>
        <v>13361.064</v>
      </c>
      <c r="N41" s="18">
        <f>+月次BS!N41/1000</f>
        <v>13364.119000000001</v>
      </c>
      <c r="O41" s="18">
        <f>+月次BS!O41/1000</f>
        <v>13367.174000000001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1:45" s="21" customFormat="1">
      <c r="A42" s="21" t="str">
        <f>+月次BS!A42</f>
        <v>投資その他の資産合計</v>
      </c>
      <c r="B42" s="130">
        <f>+月次BS!B42</f>
        <v>0</v>
      </c>
      <c r="C42" s="126">
        <f>+月次BS!C42/1000</f>
        <v>25375.702000000001</v>
      </c>
      <c r="D42" s="22">
        <f>+月次BS!D42/1000</f>
        <v>25378.757000000001</v>
      </c>
      <c r="E42" s="22">
        <f>+月次BS!E42/1000</f>
        <v>25381.812000000002</v>
      </c>
      <c r="F42" s="22">
        <f>+月次BS!F42/1000</f>
        <v>25384.866999999998</v>
      </c>
      <c r="G42" s="22">
        <f>+月次BS!G42/1000</f>
        <v>25387.921999999999</v>
      </c>
      <c r="H42" s="22">
        <f>+月次BS!H42/1000</f>
        <v>25390.976999999999</v>
      </c>
      <c r="I42" s="22">
        <f>+月次BS!I42/1000</f>
        <v>25394.031999999999</v>
      </c>
      <c r="J42" s="22">
        <f>+月次BS!J42/1000</f>
        <v>25397.087</v>
      </c>
      <c r="K42" s="22">
        <f>+月次BS!K42/1000</f>
        <v>25400.142</v>
      </c>
      <c r="L42" s="22">
        <f>+月次BS!L42/1000</f>
        <v>25403.197</v>
      </c>
      <c r="M42" s="22">
        <f>+月次BS!M42/1000</f>
        <v>25406.252</v>
      </c>
      <c r="N42" s="22">
        <f>+月次BS!N42/1000</f>
        <v>25409.307000000001</v>
      </c>
      <c r="O42" s="22">
        <f>+月次BS!O42/1000</f>
        <v>25412.362000000001</v>
      </c>
    </row>
    <row r="43" spans="1:45" s="132" customFormat="1">
      <c r="A43" s="132" t="str">
        <f>+月次BS!A43</f>
        <v>固定資産合計</v>
      </c>
      <c r="B43" s="133">
        <f>+月次BS!B43</f>
        <v>0</v>
      </c>
      <c r="C43" s="134">
        <f>+月次BS!C43/1000</f>
        <v>82465.812999999995</v>
      </c>
      <c r="D43" s="135">
        <f>+月次BS!D43/1000</f>
        <v>81778.278999999995</v>
      </c>
      <c r="E43" s="135">
        <f>+月次BS!E43/1000</f>
        <v>81090.744999999995</v>
      </c>
      <c r="F43" s="135">
        <f>+月次BS!F43/1000</f>
        <v>80403.210999999996</v>
      </c>
      <c r="G43" s="135">
        <f>+月次BS!G43/1000</f>
        <v>79715.676999999996</v>
      </c>
      <c r="H43" s="135">
        <f>+月次BS!H43/1000</f>
        <v>79028.142999999996</v>
      </c>
      <c r="I43" s="135">
        <f>+月次BS!I43/1000</f>
        <v>78495.608999999997</v>
      </c>
      <c r="J43" s="135">
        <f>+月次BS!J43/1000</f>
        <v>77808.074999999997</v>
      </c>
      <c r="K43" s="135">
        <f>+月次BS!K43/1000</f>
        <v>77120.540999999997</v>
      </c>
      <c r="L43" s="135">
        <f>+月次BS!L43/1000</f>
        <v>76433.006999999998</v>
      </c>
      <c r="M43" s="135">
        <f>+月次BS!M43/1000</f>
        <v>75745.472999999998</v>
      </c>
      <c r="N43" s="135">
        <f>+月次BS!N43/1000</f>
        <v>75057.938999999998</v>
      </c>
      <c r="O43" s="135">
        <f>+月次BS!O43/1000</f>
        <v>74370.404999999999</v>
      </c>
    </row>
    <row r="44" spans="1:45">
      <c r="A44" t="str">
        <f>+月次BS!A44</f>
        <v>繰延資産</v>
      </c>
      <c r="B44" s="19">
        <f>+月次BS!B44</f>
        <v>0</v>
      </c>
      <c r="C44" s="125">
        <f>+月次BS!C44/1000</f>
        <v>0</v>
      </c>
      <c r="D44" s="18">
        <f>+月次BS!D44/1000</f>
        <v>0</v>
      </c>
      <c r="E44" s="18">
        <f>+月次BS!E44/1000</f>
        <v>0</v>
      </c>
      <c r="F44" s="18">
        <f>+月次BS!F44/1000</f>
        <v>0</v>
      </c>
      <c r="G44" s="18">
        <f>+月次BS!G44/1000</f>
        <v>0</v>
      </c>
      <c r="H44" s="18">
        <f>+月次BS!H44/1000</f>
        <v>0</v>
      </c>
      <c r="I44" s="18">
        <f>+月次BS!I44/1000</f>
        <v>0</v>
      </c>
      <c r="J44" s="18">
        <f>+月次BS!J44/1000</f>
        <v>0</v>
      </c>
      <c r="K44" s="18">
        <f>+月次BS!K44/1000</f>
        <v>0</v>
      </c>
      <c r="L44" s="18">
        <f>+月次BS!L44/1000</f>
        <v>0</v>
      </c>
      <c r="M44" s="18">
        <f>+月次BS!M44/1000</f>
        <v>0</v>
      </c>
      <c r="N44" s="18">
        <f>+月次BS!N44/1000</f>
        <v>0</v>
      </c>
      <c r="O44" s="18">
        <f>+月次BS!O44/1000</f>
        <v>0</v>
      </c>
    </row>
    <row r="45" spans="1:45" s="21" customFormat="1">
      <c r="A45" s="21" t="str">
        <f>+月次BS!A45</f>
        <v>繰延資産合計</v>
      </c>
      <c r="B45" s="130">
        <f>+月次BS!B45</f>
        <v>0</v>
      </c>
      <c r="C45" s="126">
        <f>+月次BS!C45/1000</f>
        <v>0</v>
      </c>
      <c r="D45" s="22">
        <f>+月次BS!D45/1000</f>
        <v>0</v>
      </c>
      <c r="E45" s="22">
        <f>+月次BS!E45/1000</f>
        <v>0</v>
      </c>
      <c r="F45" s="22">
        <f>+月次BS!F45/1000</f>
        <v>0</v>
      </c>
      <c r="G45" s="22">
        <f>+月次BS!G45/1000</f>
        <v>0</v>
      </c>
      <c r="H45" s="22">
        <f>+月次BS!H45/1000</f>
        <v>0</v>
      </c>
      <c r="I45" s="22">
        <f>+月次BS!I45/1000</f>
        <v>0</v>
      </c>
      <c r="J45" s="22">
        <f>+月次BS!J45/1000</f>
        <v>0</v>
      </c>
      <c r="K45" s="22">
        <f>+月次BS!K45/1000</f>
        <v>0</v>
      </c>
      <c r="L45" s="22">
        <f>+月次BS!L45/1000</f>
        <v>0</v>
      </c>
      <c r="M45" s="22">
        <f>+月次BS!M45/1000</f>
        <v>0</v>
      </c>
      <c r="N45" s="22">
        <f>+月次BS!N45/1000</f>
        <v>0</v>
      </c>
      <c r="O45" s="22">
        <f>+月次BS!O45/1000</f>
        <v>0</v>
      </c>
    </row>
    <row r="46" spans="1:45">
      <c r="A46" t="str">
        <f>+月次BS!A46</f>
        <v>諸口</v>
      </c>
      <c r="B46" s="19">
        <f>+月次BS!B46</f>
        <v>0</v>
      </c>
      <c r="C46" s="125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>
      <c r="A47" t="str">
        <f>+月次BS!A47</f>
        <v>諸口合計</v>
      </c>
      <c r="B47" s="19">
        <f>+月次BS!B47</f>
        <v>0</v>
      </c>
      <c r="C47" s="125">
        <f>+月次BS!C47/1000</f>
        <v>0</v>
      </c>
      <c r="D47" s="18">
        <f>+月次BS!D47/1000</f>
        <v>0</v>
      </c>
      <c r="E47" s="18">
        <f>+月次BS!E47/1000</f>
        <v>0</v>
      </c>
      <c r="F47" s="18">
        <f>+月次BS!F47/1000</f>
        <v>0</v>
      </c>
      <c r="G47" s="18">
        <f>+月次BS!G47/1000</f>
        <v>0</v>
      </c>
      <c r="H47" s="18">
        <f>+月次BS!H47/1000</f>
        <v>0</v>
      </c>
      <c r="I47" s="18">
        <f>+月次BS!I47/1000</f>
        <v>0</v>
      </c>
      <c r="J47" s="18">
        <f>+月次BS!J47/1000</f>
        <v>0</v>
      </c>
      <c r="K47" s="18">
        <f>+月次BS!K47/1000</f>
        <v>0</v>
      </c>
      <c r="L47" s="18">
        <f>+月次BS!L47/1000</f>
        <v>0</v>
      </c>
      <c r="M47" s="18">
        <f>+月次BS!M47/1000</f>
        <v>0</v>
      </c>
      <c r="N47" s="18">
        <f>+月次BS!N47/1000</f>
        <v>0</v>
      </c>
      <c r="O47" s="18">
        <f>+月次BS!O47/1000</f>
        <v>0</v>
      </c>
    </row>
    <row r="48" spans="1:45" s="139" customFormat="1" ht="18" thickBot="1">
      <c r="A48" s="139" t="str">
        <f>+月次BS!A48</f>
        <v>資産の部合計</v>
      </c>
      <c r="B48" s="140">
        <f>+月次BS!B48</f>
        <v>0</v>
      </c>
      <c r="C48" s="141">
        <f>+月次BS!C48/1000</f>
        <v>136194.057</v>
      </c>
      <c r="D48" s="142">
        <f>+月次BS!D48/1000</f>
        <v>136864.592</v>
      </c>
      <c r="E48" s="142">
        <f>+月次BS!E48/1000</f>
        <v>135359.79999999999</v>
      </c>
      <c r="F48" s="142">
        <f>+月次BS!F48/1000</f>
        <v>134475.83300000001</v>
      </c>
      <c r="G48" s="142">
        <f>+月次BS!G48/1000</f>
        <v>135116.66699999999</v>
      </c>
      <c r="H48" s="142">
        <f>+月次BS!H48/1000</f>
        <v>136472.51800000001</v>
      </c>
      <c r="I48" s="142">
        <f>+月次BS!I48/1000</f>
        <v>139760.239</v>
      </c>
      <c r="J48" s="142">
        <f>+月次BS!J48/1000</f>
        <v>137119.226</v>
      </c>
      <c r="K48" s="142">
        <f>+月次BS!K48/1000</f>
        <v>133108.59899999999</v>
      </c>
      <c r="L48" s="142">
        <f>+月次BS!L48/1000</f>
        <v>132924.93100000001</v>
      </c>
      <c r="M48" s="142">
        <f>+月次BS!M48/1000</f>
        <v>131448.10999999999</v>
      </c>
      <c r="N48" s="142">
        <f>+月次BS!N48/1000</f>
        <v>132272.101</v>
      </c>
      <c r="O48" s="142">
        <f>+月次BS!O48/1000</f>
        <v>129887.64200000001</v>
      </c>
    </row>
    <row r="49" spans="1:45" ht="18" thickTop="1">
      <c r="A49" t="str">
        <f>+月次BS!A49</f>
        <v>負債の部</v>
      </c>
      <c r="B49" s="19">
        <f>+月次BS!B49</f>
        <v>0</v>
      </c>
      <c r="C49" s="125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>
      <c r="A50" t="str">
        <f>+月次BS!A50</f>
        <v>流動負債</v>
      </c>
      <c r="B50" s="19">
        <f>+月次BS!B50</f>
        <v>0</v>
      </c>
      <c r="C50" s="125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</row>
    <row r="51" spans="1:45" s="20" customFormat="1">
      <c r="A51" t="str">
        <f>+月次BS!A51</f>
        <v>仕入債務</v>
      </c>
      <c r="B51" s="19">
        <f>+月次BS!B51</f>
        <v>0</v>
      </c>
      <c r="C51" s="125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0" customFormat="1">
      <c r="A52">
        <f>+月次BS!A52</f>
        <v>0</v>
      </c>
      <c r="B52" s="19" t="str">
        <f>+月次BS!B52</f>
        <v>買掛金</v>
      </c>
      <c r="C52" s="125">
        <f>+月次BS!C52/1000</f>
        <v>2376.8780000000002</v>
      </c>
      <c r="D52" s="18">
        <f>+月次BS!D52/1000</f>
        <v>2756.9540000000002</v>
      </c>
      <c r="E52" s="18">
        <f>+月次BS!E52/1000</f>
        <v>2121.5520000000001</v>
      </c>
      <c r="F52" s="18">
        <f>+月次BS!F52/1000</f>
        <v>2001.114</v>
      </c>
      <c r="G52" s="18">
        <f>+月次BS!G52/1000</f>
        <v>1850.037</v>
      </c>
      <c r="H52" s="18">
        <f>+月次BS!H52/1000</f>
        <v>2104.0929999999998</v>
      </c>
      <c r="I52" s="18">
        <f>+月次BS!I52/1000</f>
        <v>3201.4879999999998</v>
      </c>
      <c r="J52" s="18">
        <f>+月次BS!J52/1000</f>
        <v>1688.2639999999999</v>
      </c>
      <c r="K52" s="18">
        <f>+月次BS!K52/1000</f>
        <v>2103.386</v>
      </c>
      <c r="L52" s="18">
        <f>+月次BS!L52/1000</f>
        <v>2282.31</v>
      </c>
      <c r="M52" s="18">
        <f>+月次BS!M52/1000</f>
        <v>2152.7060000000001</v>
      </c>
      <c r="N52" s="18">
        <f>+月次BS!N52/1000</f>
        <v>1880.645</v>
      </c>
      <c r="O52" s="18">
        <f>+月次BS!O52/1000</f>
        <v>1861.886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</row>
    <row r="53" spans="1:45" s="21" customFormat="1">
      <c r="A53" s="21" t="str">
        <f>+月次BS!A53</f>
        <v>仕入債務合計</v>
      </c>
      <c r="B53" s="130">
        <f>+月次BS!B53</f>
        <v>0</v>
      </c>
      <c r="C53" s="126">
        <f>+月次BS!C53/1000</f>
        <v>2376.8780000000002</v>
      </c>
      <c r="D53" s="22">
        <f>+月次BS!D53/1000</f>
        <v>2756.9540000000002</v>
      </c>
      <c r="E53" s="22">
        <f>+月次BS!E53/1000</f>
        <v>2121.5520000000001</v>
      </c>
      <c r="F53" s="22">
        <f>+月次BS!F53/1000</f>
        <v>2001.114</v>
      </c>
      <c r="G53" s="22">
        <f>+月次BS!G53/1000</f>
        <v>1850.037</v>
      </c>
      <c r="H53" s="22">
        <f>+月次BS!H53/1000</f>
        <v>2104.0929999999998</v>
      </c>
      <c r="I53" s="22">
        <f>+月次BS!I53/1000</f>
        <v>3201.4879999999998</v>
      </c>
      <c r="J53" s="22">
        <f>+月次BS!J53/1000</f>
        <v>1688.2639999999999</v>
      </c>
      <c r="K53" s="22">
        <f>+月次BS!K53/1000</f>
        <v>2103.386</v>
      </c>
      <c r="L53" s="22">
        <f>+月次BS!L53/1000</f>
        <v>2282.31</v>
      </c>
      <c r="M53" s="22">
        <f>+月次BS!M53/1000</f>
        <v>2152.7060000000001</v>
      </c>
      <c r="N53" s="22">
        <f>+月次BS!N53/1000</f>
        <v>1880.645</v>
      </c>
      <c r="O53" s="22">
        <f>+月次BS!O53/1000</f>
        <v>1861.886</v>
      </c>
    </row>
    <row r="54" spans="1:45">
      <c r="A54" t="str">
        <f>+月次BS!A54</f>
        <v>その他流動負債</v>
      </c>
      <c r="B54" s="19">
        <f>+月次BS!B54</f>
        <v>0</v>
      </c>
      <c r="C54" s="125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5">
        <f>+月次BS!C55/1000</f>
        <v>2309.203</v>
      </c>
      <c r="D55" s="18">
        <f>+月次BS!D55/1000</f>
        <v>2268.3580000000002</v>
      </c>
      <c r="E55" s="18">
        <f>+月次BS!E55/1000</f>
        <v>2367.9830000000002</v>
      </c>
      <c r="F55" s="18">
        <f>+月次BS!F55/1000</f>
        <v>1849.9649999999999</v>
      </c>
      <c r="G55" s="18">
        <f>+月次BS!G55/1000</f>
        <v>1955.664</v>
      </c>
      <c r="H55" s="18">
        <f>+月次BS!H55/1000</f>
        <v>2059.7280000000001</v>
      </c>
      <c r="I55" s="18">
        <f>+月次BS!I55/1000</f>
        <v>2472.5949999999998</v>
      </c>
      <c r="J55" s="18">
        <f>+月次BS!J55/1000</f>
        <v>2307.6509999999998</v>
      </c>
      <c r="K55" s="18">
        <f>+月次BS!K55/1000</f>
        <v>2266.7080000000001</v>
      </c>
      <c r="L55" s="18">
        <f>+月次BS!L55/1000</f>
        <v>2219.2579999999998</v>
      </c>
      <c r="M55" s="18">
        <f>+月次BS!M55/1000</f>
        <v>2153.5650000000001</v>
      </c>
      <c r="N55" s="18">
        <f>+月次BS!N55/1000</f>
        <v>2466.4859999999999</v>
      </c>
      <c r="O55" s="18">
        <f>+月次BS!O55/1000</f>
        <v>2493.0639999999999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5">
        <f>+月次BS!C56/1000</f>
        <v>718.34900000000005</v>
      </c>
      <c r="D56" s="18">
        <f>+月次BS!D56/1000</f>
        <v>770.68899999999996</v>
      </c>
      <c r="E56" s="18">
        <f>+月次BS!E56/1000</f>
        <v>1021.439</v>
      </c>
      <c r="F56" s="18">
        <f>+月次BS!F56/1000</f>
        <v>809.81799999999998</v>
      </c>
      <c r="G56" s="18">
        <f>+月次BS!G56/1000</f>
        <v>643.76499999999999</v>
      </c>
      <c r="H56" s="18">
        <f>+月次BS!H56/1000</f>
        <v>1370.914</v>
      </c>
      <c r="I56" s="18">
        <f>+月次BS!I56/1000</f>
        <v>1433.57</v>
      </c>
      <c r="J56" s="18">
        <f>+月次BS!J56/1000</f>
        <v>1134.3499999999999</v>
      </c>
      <c r="K56" s="18">
        <f>+月次BS!K56/1000</f>
        <v>1215.135</v>
      </c>
      <c r="L56" s="18">
        <f>+月次BS!L56/1000</f>
        <v>689.10199999999998</v>
      </c>
      <c r="M56" s="18">
        <f>+月次BS!M56/1000</f>
        <v>806.98900000000003</v>
      </c>
      <c r="N56" s="18">
        <f>+月次BS!N56/1000</f>
        <v>1338.511</v>
      </c>
      <c r="O56" s="18">
        <f>+月次BS!O56/1000</f>
        <v>726.78899999999999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前受金</v>
      </c>
      <c r="C57" s="125">
        <f>+月次BS!C57/1000</f>
        <v>23.4</v>
      </c>
      <c r="D57" s="18">
        <f>+月次BS!D57/1000</f>
        <v>22.8</v>
      </c>
      <c r="E57" s="18">
        <f>+月次BS!E57/1000</f>
        <v>22.8</v>
      </c>
      <c r="F57" s="18">
        <f>+月次BS!F57/1000</f>
        <v>22.8</v>
      </c>
      <c r="G57" s="18">
        <f>+月次BS!G57/1000</f>
        <v>22.2</v>
      </c>
      <c r="H57" s="18">
        <f>+月次BS!H57/1000</f>
        <v>22.2</v>
      </c>
      <c r="I57" s="18">
        <f>+月次BS!I57/1000</f>
        <v>22.2</v>
      </c>
      <c r="J57" s="18">
        <f>+月次BS!J57/1000</f>
        <v>22.2</v>
      </c>
      <c r="K57" s="18">
        <f>+月次BS!K57/1000</f>
        <v>22.2</v>
      </c>
      <c r="L57" s="18">
        <f>+月次BS!L57/1000</f>
        <v>22.2</v>
      </c>
      <c r="M57" s="18">
        <f>+月次BS!M57/1000</f>
        <v>22.2</v>
      </c>
      <c r="N57" s="18">
        <f>+月次BS!N57/1000</f>
        <v>22.2</v>
      </c>
      <c r="O57" s="18">
        <f>+月次BS!O57/1000</f>
        <v>22.2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預り金</v>
      </c>
      <c r="C58" s="125">
        <f>+月次BS!C58/1000</f>
        <v>531.601</v>
      </c>
      <c r="D58" s="18">
        <f>+月次BS!D58/1000</f>
        <v>369.62599999999998</v>
      </c>
      <c r="E58" s="18">
        <f>+月次BS!E58/1000</f>
        <v>512.85299999999995</v>
      </c>
      <c r="F58" s="18">
        <f>+月次BS!F58/1000</f>
        <v>676.66099999999994</v>
      </c>
      <c r="G58" s="18">
        <f>+月次BS!G58/1000</f>
        <v>829.31799999999998</v>
      </c>
      <c r="H58" s="18">
        <f>+月次BS!H58/1000</f>
        <v>836.93100000000004</v>
      </c>
      <c r="I58" s="18">
        <f>+月次BS!I58/1000</f>
        <v>427.54500000000002</v>
      </c>
      <c r="J58" s="18">
        <f>+月次BS!J58/1000</f>
        <v>443.22800000000001</v>
      </c>
      <c r="K58" s="18">
        <f>+月次BS!K58/1000</f>
        <v>623.44500000000005</v>
      </c>
      <c r="L58" s="18">
        <f>+月次BS!L58/1000</f>
        <v>850.73800000000006</v>
      </c>
      <c r="M58" s="18">
        <f>+月次BS!M58/1000</f>
        <v>1019.965</v>
      </c>
      <c r="N58" s="18">
        <f>+月次BS!N58/1000</f>
        <v>1130.992</v>
      </c>
      <c r="O58" s="18">
        <f>+月次BS!O58/1000</f>
        <v>544.601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仮受金</v>
      </c>
      <c r="C59" s="125">
        <f>+月次BS!C59/1000</f>
        <v>239.04599999999999</v>
      </c>
      <c r="D59" s="18">
        <f>+月次BS!D59/1000</f>
        <v>33.139000000000003</v>
      </c>
      <c r="E59" s="18">
        <f>+月次BS!E59/1000</f>
        <v>214.94</v>
      </c>
      <c r="F59" s="18">
        <f>+月次BS!F59/1000</f>
        <v>191.786</v>
      </c>
      <c r="G59" s="18">
        <f>+月次BS!G59/1000</f>
        <v>427.36799999999999</v>
      </c>
      <c r="H59" s="18">
        <f>+月次BS!H59/1000</f>
        <v>214.00399999999999</v>
      </c>
      <c r="I59" s="18">
        <f>+月次BS!I59/1000</f>
        <v>0</v>
      </c>
      <c r="J59" s="18">
        <f>+月次BS!J59/1000</f>
        <v>13.961</v>
      </c>
      <c r="K59" s="18">
        <f>+月次BS!K59/1000</f>
        <v>0</v>
      </c>
      <c r="L59" s="18">
        <f>+月次BS!L59/1000</f>
        <v>73.266000000000005</v>
      </c>
      <c r="M59" s="18">
        <f>+月次BS!M59/1000</f>
        <v>8.9939999999999998</v>
      </c>
      <c r="N59" s="18">
        <f>+月次BS!N59/1000</f>
        <v>0</v>
      </c>
      <c r="O59" s="18">
        <f>+月次BS!O59/1000</f>
        <v>7.54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未払消費税</v>
      </c>
      <c r="C60" s="125">
        <f>+月次BS!C60/1000</f>
        <v>3385.5</v>
      </c>
      <c r="D60" s="18">
        <f>+月次BS!D60/1000</f>
        <v>3385.5</v>
      </c>
      <c r="E60" s="18">
        <f>+月次BS!E60/1000</f>
        <v>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-1943.5</v>
      </c>
      <c r="L60" s="18">
        <f>+月次BS!L60/1000</f>
        <v>-1943.5</v>
      </c>
      <c r="M60" s="18">
        <f>+月次BS!M60/1000</f>
        <v>-1943.5</v>
      </c>
      <c r="N60" s="18">
        <f>+月次BS!N60/1000</f>
        <v>-1943.5</v>
      </c>
      <c r="O60" s="18">
        <f>+月次BS!O60/1000</f>
        <v>-1943.5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未払法人税等</v>
      </c>
      <c r="C61" s="125">
        <f>+月次BS!C61/1000</f>
        <v>70</v>
      </c>
      <c r="D61" s="18">
        <f>+月次BS!D61/1000</f>
        <v>70</v>
      </c>
      <c r="E61" s="18">
        <f>+月次BS!E61/1000</f>
        <v>0</v>
      </c>
      <c r="F61" s="18">
        <f>+月次BS!F61/1000</f>
        <v>0</v>
      </c>
      <c r="G61" s="18">
        <f>+月次BS!G61/1000</f>
        <v>0</v>
      </c>
      <c r="H61" s="18">
        <f>+月次BS!H61/1000</f>
        <v>0</v>
      </c>
      <c r="I61" s="18">
        <f>+月次BS!I61/1000</f>
        <v>0</v>
      </c>
      <c r="J61" s="18">
        <f>+月次BS!J61/1000</f>
        <v>0</v>
      </c>
      <c r="K61" s="18">
        <f>+月次BS!K61/1000</f>
        <v>0</v>
      </c>
      <c r="L61" s="18">
        <f>+月次BS!L61/1000</f>
        <v>0</v>
      </c>
      <c r="M61" s="18">
        <f>+月次BS!M61/1000</f>
        <v>0</v>
      </c>
      <c r="N61" s="18">
        <f>+月次BS!N61/1000</f>
        <v>0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仮受消費税</v>
      </c>
      <c r="C62" s="125">
        <f>+月次BS!C62/1000</f>
        <v>0</v>
      </c>
      <c r="D62" s="18">
        <f>+月次BS!D62/1000</f>
        <v>920.13300000000004</v>
      </c>
      <c r="E62" s="18">
        <f>+月次BS!E62/1000</f>
        <v>1910.425</v>
      </c>
      <c r="F62" s="18">
        <f>+月次BS!F62/1000</f>
        <v>2693.123</v>
      </c>
      <c r="G62" s="18">
        <f>+月次BS!G62/1000</f>
        <v>3519.3049999999998</v>
      </c>
      <c r="H62" s="18">
        <f>+月次BS!H62/1000</f>
        <v>4332.6840000000002</v>
      </c>
      <c r="I62" s="18">
        <f>+月次BS!I62/1000</f>
        <v>5492.9290000000001</v>
      </c>
      <c r="J62" s="18">
        <f>+月次BS!J62/1000</f>
        <v>6266.0690000000004</v>
      </c>
      <c r="K62" s="18">
        <f>+月次BS!K62/1000</f>
        <v>7069.3190000000004</v>
      </c>
      <c r="L62" s="18">
        <f>+月次BS!L62/1000</f>
        <v>7937.4560000000001</v>
      </c>
      <c r="M62" s="18">
        <f>+月次BS!M62/1000</f>
        <v>8649.3960000000006</v>
      </c>
      <c r="N62" s="18">
        <f>+月次BS!N62/1000</f>
        <v>9400.74</v>
      </c>
      <c r="O62" s="18">
        <f>+月次BS!O62/1000</f>
        <v>10161.136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5">
        <f>+月次BS!C63/1000</f>
        <v>3120</v>
      </c>
      <c r="D63" s="18">
        <f>+月次BS!D63/1000</f>
        <v>2585</v>
      </c>
      <c r="E63" s="18">
        <f>+月次BS!E63/1000</f>
        <v>2585</v>
      </c>
      <c r="F63" s="18">
        <f>+月次BS!F63/1000</f>
        <v>2115</v>
      </c>
      <c r="G63" s="18">
        <f>+月次BS!G63/1000</f>
        <v>1880</v>
      </c>
      <c r="H63" s="18">
        <f>+月次BS!H63/1000</f>
        <v>1880</v>
      </c>
      <c r="I63" s="18">
        <f>+月次BS!I63/1000</f>
        <v>1645</v>
      </c>
      <c r="J63" s="18">
        <f>+月次BS!J63/1000</f>
        <v>1410</v>
      </c>
      <c r="K63" s="18">
        <f>+月次BS!K63/1000</f>
        <v>1175</v>
      </c>
      <c r="L63" s="18">
        <f>+月次BS!L63/1000</f>
        <v>705</v>
      </c>
      <c r="M63" s="18">
        <f>+月次BS!M63/1000</f>
        <v>470</v>
      </c>
      <c r="N63" s="18">
        <f>+月次BS!N63/1000</f>
        <v>470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30">
        <f>+月次BS!B64</f>
        <v>0</v>
      </c>
      <c r="C64" s="126">
        <f>+月次BS!C64/1000</f>
        <v>10397.099</v>
      </c>
      <c r="D64" s="22">
        <f>+月次BS!D64/1000</f>
        <v>10425.245000000001</v>
      </c>
      <c r="E64" s="22">
        <f>+月次BS!E64/1000</f>
        <v>8635.44</v>
      </c>
      <c r="F64" s="22">
        <f>+月次BS!F64/1000</f>
        <v>8359.1530000000002</v>
      </c>
      <c r="G64" s="22">
        <f>+月次BS!G64/1000</f>
        <v>9277.6200000000008</v>
      </c>
      <c r="H64" s="22">
        <f>+月次BS!H64/1000</f>
        <v>10716.460999999999</v>
      </c>
      <c r="I64" s="22">
        <f>+月次BS!I64/1000</f>
        <v>11493.839</v>
      </c>
      <c r="J64" s="22">
        <f>+月次BS!J64/1000</f>
        <v>11597.459000000001</v>
      </c>
      <c r="K64" s="22">
        <f>+月次BS!K64/1000</f>
        <v>10428.307000000001</v>
      </c>
      <c r="L64" s="22">
        <f>+月次BS!L64/1000</f>
        <v>10553.52</v>
      </c>
      <c r="M64" s="22">
        <f>+月次BS!M64/1000</f>
        <v>11187.609</v>
      </c>
      <c r="N64" s="22">
        <f>+月次BS!N64/1000</f>
        <v>12885.429</v>
      </c>
      <c r="O64" s="22">
        <f>+月次BS!O64/1000</f>
        <v>12011.83</v>
      </c>
    </row>
    <row r="65" spans="1:45" s="132" customFormat="1">
      <c r="A65" s="132" t="str">
        <f>+月次BS!A65</f>
        <v>流動負債合計</v>
      </c>
      <c r="B65" s="133">
        <f>+月次BS!B65</f>
        <v>0</v>
      </c>
      <c r="C65" s="134">
        <f>+月次BS!C65/1000</f>
        <v>12773.977000000001</v>
      </c>
      <c r="D65" s="135">
        <f>+月次BS!D65/1000</f>
        <v>13182.199000000001</v>
      </c>
      <c r="E65" s="135">
        <f>+月次BS!E65/1000</f>
        <v>10756.992</v>
      </c>
      <c r="F65" s="135">
        <f>+月次BS!F65/1000</f>
        <v>10360.267</v>
      </c>
      <c r="G65" s="135">
        <f>+月次BS!G65/1000</f>
        <v>11127.656999999999</v>
      </c>
      <c r="H65" s="135">
        <f>+月次BS!H65/1000</f>
        <v>12820.554</v>
      </c>
      <c r="I65" s="135">
        <f>+月次BS!I65/1000</f>
        <v>14695.326999999999</v>
      </c>
      <c r="J65" s="135">
        <f>+月次BS!J65/1000</f>
        <v>13285.723</v>
      </c>
      <c r="K65" s="135">
        <f>+月次BS!K65/1000</f>
        <v>12531.692999999999</v>
      </c>
      <c r="L65" s="135">
        <f>+月次BS!L65/1000</f>
        <v>12835.83</v>
      </c>
      <c r="M65" s="135">
        <f>+月次BS!M65/1000</f>
        <v>13340.315000000001</v>
      </c>
      <c r="N65" s="135">
        <f>+月次BS!N65/1000</f>
        <v>14766.074000000001</v>
      </c>
      <c r="O65" s="135">
        <f>+月次BS!O65/1000</f>
        <v>13873.716</v>
      </c>
    </row>
    <row r="66" spans="1:45" s="20" customFormat="1">
      <c r="A66" t="str">
        <f>+月次BS!A66</f>
        <v>固定負債</v>
      </c>
      <c r="B66" s="19">
        <f>+月次BS!B66</f>
        <v>0</v>
      </c>
      <c r="C66" s="125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5">
        <f>+月次BS!C67/1000</f>
        <v>136120</v>
      </c>
      <c r="D67" s="18">
        <f>+月次BS!D67/1000</f>
        <v>136420</v>
      </c>
      <c r="E67" s="18">
        <f>+月次BS!E67/1000</f>
        <v>136420</v>
      </c>
      <c r="F67" s="18">
        <f>+月次BS!F67/1000</f>
        <v>136420</v>
      </c>
      <c r="G67" s="18">
        <f>+月次BS!G67/1000</f>
        <v>136420</v>
      </c>
      <c r="H67" s="18">
        <f>+月次BS!H67/1000</f>
        <v>136420</v>
      </c>
      <c r="I67" s="18">
        <f>+月次BS!I67/1000</f>
        <v>136420</v>
      </c>
      <c r="J67" s="18">
        <f>+月次BS!J67/1000</f>
        <v>136420</v>
      </c>
      <c r="K67" s="18">
        <f>+月次BS!K67/1000</f>
        <v>136420</v>
      </c>
      <c r="L67" s="18">
        <f>+月次BS!L67/1000</f>
        <v>135960</v>
      </c>
      <c r="M67" s="18">
        <f>+月次BS!M67/1000</f>
        <v>135715</v>
      </c>
      <c r="N67" s="18">
        <f>+月次BS!N67/1000</f>
        <v>135715</v>
      </c>
      <c r="O67" s="18">
        <f>+月次BS!O67/1000</f>
        <v>135225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2" customFormat="1">
      <c r="A68" s="132" t="str">
        <f>+月次BS!A68</f>
        <v>固定負債合計</v>
      </c>
      <c r="B68" s="133">
        <f>+月次BS!B68</f>
        <v>0</v>
      </c>
      <c r="C68" s="134">
        <f>+月次BS!C68/1000</f>
        <v>136120</v>
      </c>
      <c r="D68" s="135">
        <f>+月次BS!D68/1000</f>
        <v>136420</v>
      </c>
      <c r="E68" s="135">
        <f>+月次BS!E68/1000</f>
        <v>136420</v>
      </c>
      <c r="F68" s="135">
        <f>+月次BS!F68/1000</f>
        <v>136420</v>
      </c>
      <c r="G68" s="135">
        <f>+月次BS!G68/1000</f>
        <v>136420</v>
      </c>
      <c r="H68" s="135">
        <f>+月次BS!H68/1000</f>
        <v>136420</v>
      </c>
      <c r="I68" s="135">
        <f>+月次BS!I68/1000</f>
        <v>136420</v>
      </c>
      <c r="J68" s="135">
        <f>+月次BS!J68/1000</f>
        <v>136420</v>
      </c>
      <c r="K68" s="135">
        <f>+月次BS!K68/1000</f>
        <v>136420</v>
      </c>
      <c r="L68" s="135">
        <f>+月次BS!L68/1000</f>
        <v>135960</v>
      </c>
      <c r="M68" s="135">
        <f>+月次BS!M68/1000</f>
        <v>135715</v>
      </c>
      <c r="N68" s="135">
        <f>+月次BS!N68/1000</f>
        <v>135715</v>
      </c>
      <c r="O68" s="135">
        <f>+月次BS!O68/1000</f>
        <v>135225</v>
      </c>
    </row>
    <row r="69" spans="1:45" s="139" customFormat="1" ht="18" thickBot="1">
      <c r="A69" s="139" t="str">
        <f>+月次BS!A69</f>
        <v>負債の部合計</v>
      </c>
      <c r="B69" s="140">
        <f>+月次BS!B69</f>
        <v>0</v>
      </c>
      <c r="C69" s="141">
        <f>+月次BS!C69/1000</f>
        <v>148893.97700000001</v>
      </c>
      <c r="D69" s="142">
        <f>+月次BS!D69/1000</f>
        <v>149602.19899999999</v>
      </c>
      <c r="E69" s="142">
        <f>+月次BS!E69/1000</f>
        <v>147176.992</v>
      </c>
      <c r="F69" s="142">
        <f>+月次BS!F69/1000</f>
        <v>146780.26699999999</v>
      </c>
      <c r="G69" s="142">
        <f>+月次BS!G69/1000</f>
        <v>147547.65700000001</v>
      </c>
      <c r="H69" s="142">
        <f>+月次BS!H69/1000</f>
        <v>149240.554</v>
      </c>
      <c r="I69" s="142">
        <f>+月次BS!I69/1000</f>
        <v>151115.32699999999</v>
      </c>
      <c r="J69" s="142">
        <f>+月次BS!J69/1000</f>
        <v>149705.723</v>
      </c>
      <c r="K69" s="142">
        <f>+月次BS!K69/1000</f>
        <v>148951.693</v>
      </c>
      <c r="L69" s="142">
        <f>+月次BS!L69/1000</f>
        <v>148795.82999999999</v>
      </c>
      <c r="M69" s="142">
        <f>+月次BS!M69/1000</f>
        <v>149055.315</v>
      </c>
      <c r="N69" s="142">
        <f>+月次BS!N69/1000</f>
        <v>150481.07399999999</v>
      </c>
      <c r="O69" s="142">
        <f>+月次BS!O69/1000</f>
        <v>149098.71599999999</v>
      </c>
    </row>
    <row r="70" spans="1:45" ht="18" thickTop="1">
      <c r="A70" t="str">
        <f>+月次BS!A70</f>
        <v>純資産の部</v>
      </c>
      <c r="B70" s="19">
        <f>+月次BS!B70</f>
        <v>0</v>
      </c>
      <c r="C70" s="125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5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5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5">
        <f>+月次BS!C73/1000</f>
        <v>5000</v>
      </c>
      <c r="D73" s="18">
        <f>+月次BS!D73/1000</f>
        <v>5000</v>
      </c>
      <c r="E73" s="18">
        <f>+月次BS!E73/1000</f>
        <v>5000</v>
      </c>
      <c r="F73" s="18">
        <f>+月次BS!F73/1000</f>
        <v>5000</v>
      </c>
      <c r="G73" s="18">
        <f>+月次BS!G73/1000</f>
        <v>5000</v>
      </c>
      <c r="H73" s="18">
        <f>+月次BS!H73/1000</f>
        <v>5000</v>
      </c>
      <c r="I73" s="18">
        <f>+月次BS!I73/1000</f>
        <v>5000</v>
      </c>
      <c r="J73" s="18">
        <f>+月次BS!J73/1000</f>
        <v>5000</v>
      </c>
      <c r="K73" s="18">
        <f>+月次BS!K73/1000</f>
        <v>5000</v>
      </c>
      <c r="L73" s="18">
        <f>+月次BS!L73/1000</f>
        <v>5000</v>
      </c>
      <c r="M73" s="18">
        <f>+月次BS!M73/1000</f>
        <v>5000</v>
      </c>
      <c r="N73" s="18">
        <f>+月次BS!N73/1000</f>
        <v>5000</v>
      </c>
      <c r="O73" s="18">
        <f>+月次BS!O73/1000</f>
        <v>5000</v>
      </c>
    </row>
    <row r="74" spans="1:45" s="21" customFormat="1">
      <c r="A74" s="21" t="str">
        <f>+月次BS!A74</f>
        <v>資本金合計</v>
      </c>
      <c r="B74" s="130">
        <f>+月次BS!B74</f>
        <v>0</v>
      </c>
      <c r="C74" s="126">
        <f>+月次BS!C74/1000</f>
        <v>5000</v>
      </c>
      <c r="D74" s="22">
        <f>+月次BS!D74/1000</f>
        <v>5000</v>
      </c>
      <c r="E74" s="22">
        <f>+月次BS!E74/1000</f>
        <v>5000</v>
      </c>
      <c r="F74" s="22">
        <f>+月次BS!F74/1000</f>
        <v>5000</v>
      </c>
      <c r="G74" s="22">
        <f>+月次BS!G74/1000</f>
        <v>5000</v>
      </c>
      <c r="H74" s="22">
        <f>+月次BS!H74/1000</f>
        <v>5000</v>
      </c>
      <c r="I74" s="22">
        <f>+月次BS!I74/1000</f>
        <v>5000</v>
      </c>
      <c r="J74" s="22">
        <f>+月次BS!J74/1000</f>
        <v>5000</v>
      </c>
      <c r="K74" s="22">
        <f>+月次BS!K74/1000</f>
        <v>5000</v>
      </c>
      <c r="L74" s="22">
        <f>+月次BS!L74/1000</f>
        <v>5000</v>
      </c>
      <c r="M74" s="22">
        <f>+月次BS!M74/1000</f>
        <v>5000</v>
      </c>
      <c r="N74" s="22">
        <f>+月次BS!N74/1000</f>
        <v>5000</v>
      </c>
      <c r="O74" s="22">
        <f>+月次BS!O74/1000</f>
        <v>5000</v>
      </c>
    </row>
    <row r="75" spans="1:45">
      <c r="A75" t="str">
        <f>+月次BS!A75</f>
        <v>新株式申込証拠金</v>
      </c>
      <c r="B75" s="19">
        <f>+月次BS!B75</f>
        <v>0</v>
      </c>
      <c r="C75" s="125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5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5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5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5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5">
        <f>+月次BS!C80/1000</f>
        <v>-17699.919999999998</v>
      </c>
      <c r="D80" s="18">
        <f>+月次BS!D80/1000</f>
        <v>-17737.607</v>
      </c>
      <c r="E80" s="18">
        <f>+月次BS!E80/1000</f>
        <v>-16817.191999999999</v>
      </c>
      <c r="F80" s="18">
        <f>+月次BS!F80/1000</f>
        <v>-17304.434000000001</v>
      </c>
      <c r="G80" s="18">
        <f>+月次BS!G80/1000</f>
        <v>-17430.990000000002</v>
      </c>
      <c r="H80" s="18">
        <f>+月次BS!H80/1000</f>
        <v>-17768.036</v>
      </c>
      <c r="I80" s="18">
        <f>+月次BS!I80/1000</f>
        <v>-16355.088</v>
      </c>
      <c r="J80" s="18">
        <f>+月次BS!J80/1000</f>
        <v>-17586.496999999999</v>
      </c>
      <c r="K80" s="18">
        <f>+月次BS!K80/1000</f>
        <v>-20843.094000000001</v>
      </c>
      <c r="L80" s="18">
        <f>+月次BS!L80/1000</f>
        <v>-20870.899000000001</v>
      </c>
      <c r="M80" s="18">
        <f>+月次BS!M80/1000</f>
        <v>-22607.205000000002</v>
      </c>
      <c r="N80" s="18">
        <f>+月次BS!N80/1000</f>
        <v>-23208.973000000002</v>
      </c>
      <c r="O80" s="18">
        <f>+月次BS!O80/1000</f>
        <v>-24211.074000000001</v>
      </c>
    </row>
    <row r="81" spans="1:45">
      <c r="A81" t="str">
        <f>+月次BS!A81</f>
        <v>（うち当期純利益）</v>
      </c>
      <c r="B81" s="19">
        <f>+月次BS!B81</f>
        <v>0</v>
      </c>
      <c r="C81" s="125">
        <f>+月次BS!C81/1000</f>
        <v>0</v>
      </c>
      <c r="D81" s="18">
        <f>+月次BS!D81/1000</f>
        <v>-37.686999999999998</v>
      </c>
      <c r="E81" s="18">
        <f>+月次BS!E81/1000</f>
        <v>882.72799999999995</v>
      </c>
      <c r="F81" s="18">
        <f>+月次BS!F81/1000</f>
        <v>395.48599999999999</v>
      </c>
      <c r="G81" s="18">
        <f>+月次BS!G81/1000</f>
        <v>268.93</v>
      </c>
      <c r="H81" s="18">
        <f>+月次BS!H81/1000</f>
        <v>-68.116</v>
      </c>
      <c r="I81" s="18">
        <f>+月次BS!I81/1000</f>
        <v>1344.8320000000001</v>
      </c>
      <c r="J81" s="18">
        <f>+月次BS!J81/1000</f>
        <v>113.423</v>
      </c>
      <c r="K81" s="18">
        <f>+月次BS!K81/1000</f>
        <v>-3143.174</v>
      </c>
      <c r="L81" s="18">
        <f>+月次BS!L81/1000</f>
        <v>-3170.9789999999998</v>
      </c>
      <c r="M81" s="18">
        <f>+月次BS!M81/1000</f>
        <v>-4907.2849999999999</v>
      </c>
      <c r="N81" s="18">
        <f>+月次BS!N81/1000</f>
        <v>-5509.0529999999999</v>
      </c>
      <c r="O81" s="18">
        <f>+月次BS!O81/1000</f>
        <v>-6511.1540000000005</v>
      </c>
    </row>
    <row r="82" spans="1:45" s="132" customFormat="1">
      <c r="A82" s="132" t="str">
        <f>+月次BS!A82</f>
        <v>利益剰余金合計</v>
      </c>
      <c r="B82" s="133">
        <f>+月次BS!B82</f>
        <v>0</v>
      </c>
      <c r="C82" s="134">
        <f>+月次BS!C82/1000</f>
        <v>-17699.919999999998</v>
      </c>
      <c r="D82" s="135">
        <f>+月次BS!D82/1000</f>
        <v>-17737.607</v>
      </c>
      <c r="E82" s="135">
        <f>+月次BS!E82/1000</f>
        <v>-16817.191999999999</v>
      </c>
      <c r="F82" s="135">
        <f>+月次BS!F82/1000</f>
        <v>-17304.434000000001</v>
      </c>
      <c r="G82" s="135">
        <f>+月次BS!G82/1000</f>
        <v>-17430.990000000002</v>
      </c>
      <c r="H82" s="135">
        <f>+月次BS!H82/1000</f>
        <v>-17768.036</v>
      </c>
      <c r="I82" s="135">
        <f>+月次BS!I82/1000</f>
        <v>-16355.088</v>
      </c>
      <c r="J82" s="135">
        <f>+月次BS!J82/1000</f>
        <v>-17586.496999999999</v>
      </c>
      <c r="K82" s="135">
        <f>+月次BS!K82/1000</f>
        <v>-20843.094000000001</v>
      </c>
      <c r="L82" s="135">
        <f>+月次BS!L82/1000</f>
        <v>-20870.899000000001</v>
      </c>
      <c r="M82" s="135">
        <f>+月次BS!M82/1000</f>
        <v>-22607.205000000002</v>
      </c>
      <c r="N82" s="135">
        <f>+月次BS!N82/1000</f>
        <v>-23208.973000000002</v>
      </c>
      <c r="O82" s="135">
        <f>+月次BS!O82/1000</f>
        <v>-24211.074000000001</v>
      </c>
    </row>
    <row r="83" spans="1:45">
      <c r="A83" t="str">
        <f>+月次BS!A83</f>
        <v>自己株式</v>
      </c>
      <c r="B83" s="19">
        <f>+月次BS!B83</f>
        <v>0</v>
      </c>
      <c r="C83" s="125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5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5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5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2" customFormat="1">
      <c r="A87" s="132" t="str">
        <f>+月次BS!A87</f>
        <v>株主資本合計</v>
      </c>
      <c r="B87" s="133">
        <f>+月次BS!B87</f>
        <v>0</v>
      </c>
      <c r="C87" s="134">
        <f>+月次BS!C87/1000</f>
        <v>-12699.92</v>
      </c>
      <c r="D87" s="135">
        <f>+月次BS!D87/1000</f>
        <v>-12737.607</v>
      </c>
      <c r="E87" s="135">
        <f>+月次BS!E87/1000</f>
        <v>-11817.191999999999</v>
      </c>
      <c r="F87" s="135">
        <f>+月次BS!F87/1000</f>
        <v>-12304.433999999999</v>
      </c>
      <c r="G87" s="135">
        <f>+月次BS!G87/1000</f>
        <v>-12430.99</v>
      </c>
      <c r="H87" s="135">
        <f>+月次BS!H87/1000</f>
        <v>-12768.036</v>
      </c>
      <c r="I87" s="135">
        <f>+月次BS!I87/1000</f>
        <v>-11355.088</v>
      </c>
      <c r="J87" s="135">
        <f>+月次BS!J87/1000</f>
        <v>-12586.496999999999</v>
      </c>
      <c r="K87" s="135">
        <f>+月次BS!K87/1000</f>
        <v>-15843.093999999999</v>
      </c>
      <c r="L87" s="135">
        <f>+月次BS!L87/1000</f>
        <v>-15870.898999999999</v>
      </c>
      <c r="M87" s="135">
        <f>+月次BS!M87/1000</f>
        <v>-17607.205000000002</v>
      </c>
      <c r="N87" s="135">
        <f>+月次BS!N87/1000</f>
        <v>-18208.973000000002</v>
      </c>
      <c r="O87" s="135">
        <f>+月次BS!O87/1000</f>
        <v>-19211.074000000001</v>
      </c>
    </row>
    <row r="88" spans="1:45">
      <c r="A88" t="str">
        <f>+月次BS!A88</f>
        <v>評価・換算差額等</v>
      </c>
      <c r="B88" s="19">
        <f>+月次BS!B88</f>
        <v>0</v>
      </c>
      <c r="C88" s="125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5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5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5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3" customFormat="1">
      <c r="A92" s="143" t="str">
        <f>+月次BS!A92</f>
        <v>純資産の部合計</v>
      </c>
      <c r="B92" s="144">
        <f>+月次BS!B92</f>
        <v>0</v>
      </c>
      <c r="C92" s="145">
        <f>+月次BS!C92/1000</f>
        <v>-12699.92</v>
      </c>
      <c r="D92" s="146">
        <f>+月次BS!D92/1000</f>
        <v>-12737.607</v>
      </c>
      <c r="E92" s="146">
        <f>+月次BS!E92/1000</f>
        <v>-11817.191999999999</v>
      </c>
      <c r="F92" s="146">
        <f>+月次BS!F92/1000</f>
        <v>-12304.433999999999</v>
      </c>
      <c r="G92" s="146">
        <f>+月次BS!G92/1000</f>
        <v>-12430.99</v>
      </c>
      <c r="H92" s="146">
        <f>+月次BS!H92/1000</f>
        <v>-12768.036</v>
      </c>
      <c r="I92" s="146">
        <f>+月次BS!I92/1000</f>
        <v>-11355.088</v>
      </c>
      <c r="J92" s="146">
        <f>+月次BS!J92/1000</f>
        <v>-12586.496999999999</v>
      </c>
      <c r="K92" s="146">
        <f>+月次BS!K92/1000</f>
        <v>-15843.093999999999</v>
      </c>
      <c r="L92" s="146">
        <f>+月次BS!L92/1000</f>
        <v>-15870.898999999999</v>
      </c>
      <c r="M92" s="146">
        <f>+月次BS!M92/1000</f>
        <v>-17607.205000000002</v>
      </c>
      <c r="N92" s="146">
        <f>+月次BS!N92/1000</f>
        <v>-18208.973000000002</v>
      </c>
      <c r="O92" s="146">
        <f>+月次BS!O92/1000</f>
        <v>-19211.074000000001</v>
      </c>
    </row>
    <row r="93" spans="1:45" s="139" customFormat="1" ht="18" thickBot="1">
      <c r="A93" s="139" t="str">
        <f>+月次BS!A93</f>
        <v>負債・純資産の部合計</v>
      </c>
      <c r="B93" s="140">
        <f>+月次BS!B93</f>
        <v>0</v>
      </c>
      <c r="C93" s="141">
        <f>+月次BS!C93/1000</f>
        <v>136194.057</v>
      </c>
      <c r="D93" s="142">
        <f>+月次BS!D93/1000</f>
        <v>136864.592</v>
      </c>
      <c r="E93" s="142">
        <f>+月次BS!E93/1000</f>
        <v>135359.79999999999</v>
      </c>
      <c r="F93" s="142">
        <f>+月次BS!F93/1000</f>
        <v>134475.83300000001</v>
      </c>
      <c r="G93" s="142">
        <f>+月次BS!G93/1000</f>
        <v>135116.66699999999</v>
      </c>
      <c r="H93" s="142">
        <f>+月次BS!H93/1000</f>
        <v>136472.51800000001</v>
      </c>
      <c r="I93" s="142">
        <f>+月次BS!I93/1000</f>
        <v>139760.239</v>
      </c>
      <c r="J93" s="142">
        <f>+月次BS!J93/1000</f>
        <v>137119.226</v>
      </c>
      <c r="K93" s="142">
        <f>+月次BS!K93/1000</f>
        <v>133108.59899999999</v>
      </c>
      <c r="L93" s="142">
        <f>+月次BS!L93/1000</f>
        <v>132924.93100000001</v>
      </c>
      <c r="M93" s="142">
        <f>+月次BS!M93/1000</f>
        <v>131448.10999999999</v>
      </c>
      <c r="N93" s="142">
        <f>+月次BS!N93/1000</f>
        <v>132272.101</v>
      </c>
      <c r="O93" s="142">
        <f>+月次BS!O93/1000</f>
        <v>129887.64200000001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5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364</v>
      </c>
      <c r="C95" s="125">
        <f>+C52+C55+C56</f>
        <v>5404.43</v>
      </c>
      <c r="D95" s="18">
        <f>+D52+D55+D56</f>
        <v>5796.0010000000002</v>
      </c>
      <c r="E95" s="18">
        <f t="shared" ref="E95:O95" si="0">+E52+E55+E56</f>
        <v>5510.9740000000002</v>
      </c>
      <c r="F95" s="18">
        <f t="shared" si="0"/>
        <v>4660.8969999999999</v>
      </c>
      <c r="G95" s="18">
        <f t="shared" si="0"/>
        <v>4449.4660000000003</v>
      </c>
      <c r="H95" s="18">
        <f t="shared" si="0"/>
        <v>5534.7349999999997</v>
      </c>
      <c r="I95" s="18">
        <f t="shared" si="0"/>
        <v>7107.6529999999993</v>
      </c>
      <c r="J95" s="18">
        <f t="shared" si="0"/>
        <v>5130.2649999999994</v>
      </c>
      <c r="K95" s="18">
        <f t="shared" si="0"/>
        <v>5585.2290000000003</v>
      </c>
      <c r="L95" s="18">
        <f t="shared" si="0"/>
        <v>5190.6699999999992</v>
      </c>
      <c r="M95" s="18">
        <f t="shared" si="0"/>
        <v>5113.26</v>
      </c>
      <c r="N95" s="18">
        <f t="shared" si="0"/>
        <v>5685.6419999999998</v>
      </c>
      <c r="O95" s="18">
        <f t="shared" si="0"/>
        <v>5081.7389999999996</v>
      </c>
    </row>
    <row r="96" spans="1:45">
      <c r="A96">
        <f>+月次BS!A97</f>
        <v>0</v>
      </c>
      <c r="B96" s="19" t="s">
        <v>365</v>
      </c>
      <c r="C96" s="125">
        <f>+C57+C58+C59+C62</f>
        <v>794.04700000000003</v>
      </c>
      <c r="D96" s="18">
        <f t="shared" ref="D96:O96" si="1">+D57+D58+D59+D62</f>
        <v>1345.6980000000001</v>
      </c>
      <c r="E96" s="18">
        <f t="shared" si="1"/>
        <v>2661.018</v>
      </c>
      <c r="F96" s="18">
        <f t="shared" si="1"/>
        <v>3584.37</v>
      </c>
      <c r="G96" s="18">
        <f t="shared" si="1"/>
        <v>4798.1909999999998</v>
      </c>
      <c r="H96" s="18">
        <f t="shared" si="1"/>
        <v>5405.8190000000004</v>
      </c>
      <c r="I96" s="18">
        <f t="shared" si="1"/>
        <v>5942.674</v>
      </c>
      <c r="J96" s="18">
        <f t="shared" si="1"/>
        <v>6745.4580000000005</v>
      </c>
      <c r="K96" s="18">
        <f t="shared" si="1"/>
        <v>7714.9640000000009</v>
      </c>
      <c r="L96" s="18">
        <f t="shared" si="1"/>
        <v>8883.66</v>
      </c>
      <c r="M96" s="18">
        <f t="shared" si="1"/>
        <v>9700.5550000000003</v>
      </c>
      <c r="N96" s="18">
        <f t="shared" si="1"/>
        <v>10553.932000000001</v>
      </c>
      <c r="O96" s="18">
        <f t="shared" si="1"/>
        <v>10735.477000000001</v>
      </c>
    </row>
    <row r="97" spans="1:15">
      <c r="A97">
        <f>+月次BS!A98</f>
        <v>0</v>
      </c>
      <c r="B97" s="19" t="s">
        <v>366</v>
      </c>
      <c r="C97" s="125">
        <f>+C33+C36</f>
        <v>57090.110999999997</v>
      </c>
      <c r="D97" s="18">
        <f t="shared" ref="D97:O97" si="2">+D33+D36</f>
        <v>56399.521999999997</v>
      </c>
      <c r="E97" s="18">
        <f t="shared" si="2"/>
        <v>55708.933000000005</v>
      </c>
      <c r="F97" s="18">
        <f t="shared" si="2"/>
        <v>55018.343999999997</v>
      </c>
      <c r="G97" s="18">
        <f t="shared" si="2"/>
        <v>54327.754999999997</v>
      </c>
      <c r="H97" s="18">
        <f t="shared" si="2"/>
        <v>53637.165999999997</v>
      </c>
      <c r="I97" s="18">
        <f t="shared" si="2"/>
        <v>53101.577000000005</v>
      </c>
      <c r="J97" s="18">
        <f t="shared" si="2"/>
        <v>52410.987999999998</v>
      </c>
      <c r="K97" s="18">
        <f t="shared" si="2"/>
        <v>51720.398999999998</v>
      </c>
      <c r="L97" s="18">
        <f t="shared" si="2"/>
        <v>51029.810000000005</v>
      </c>
      <c r="M97" s="18">
        <f t="shared" si="2"/>
        <v>50339.220999999998</v>
      </c>
      <c r="N97" s="18">
        <f t="shared" si="2"/>
        <v>49648.631999999998</v>
      </c>
      <c r="O97" s="18">
        <f t="shared" si="2"/>
        <v>48958.042999999998</v>
      </c>
    </row>
    <row r="98" spans="1:15">
      <c r="A98">
        <f>+月次BS!A99</f>
        <v>0</v>
      </c>
      <c r="B98" s="19" t="s">
        <v>367</v>
      </c>
      <c r="C98" s="125">
        <f>+C63+C67</f>
        <v>139240</v>
      </c>
      <c r="D98" s="18">
        <f t="shared" ref="D98:O98" si="3">+D63+D67</f>
        <v>139005</v>
      </c>
      <c r="E98" s="18">
        <f t="shared" si="3"/>
        <v>139005</v>
      </c>
      <c r="F98" s="18">
        <f t="shared" si="3"/>
        <v>138535</v>
      </c>
      <c r="G98" s="18">
        <f t="shared" si="3"/>
        <v>138300</v>
      </c>
      <c r="H98" s="18">
        <f t="shared" si="3"/>
        <v>138300</v>
      </c>
      <c r="I98" s="18">
        <f t="shared" si="3"/>
        <v>138065</v>
      </c>
      <c r="J98" s="18">
        <f t="shared" si="3"/>
        <v>137830</v>
      </c>
      <c r="K98" s="18">
        <f t="shared" si="3"/>
        <v>137595</v>
      </c>
      <c r="L98" s="18">
        <f t="shared" si="3"/>
        <v>136665</v>
      </c>
      <c r="M98" s="18">
        <f t="shared" si="3"/>
        <v>136185</v>
      </c>
      <c r="N98" s="18">
        <f t="shared" si="3"/>
        <v>136185</v>
      </c>
      <c r="O98" s="18">
        <f t="shared" si="3"/>
        <v>135225</v>
      </c>
    </row>
    <row r="99" spans="1:15">
      <c r="A99">
        <f>+月次BS!A100</f>
        <v>0</v>
      </c>
      <c r="B99" s="19">
        <f>+月次BS!B100</f>
        <v>0</v>
      </c>
      <c r="C99" s="125">
        <f>+月次BS!C100/1000</f>
        <v>0</v>
      </c>
      <c r="D99" s="18">
        <f>+月次BS!D100/1000</f>
        <v>0</v>
      </c>
      <c r="E99" s="18">
        <f>+月次BS!E100/1000</f>
        <v>0</v>
      </c>
      <c r="F99" s="18">
        <f>+月次BS!F100/1000</f>
        <v>0</v>
      </c>
      <c r="G99" s="18">
        <f>+月次BS!G100/1000</f>
        <v>0</v>
      </c>
      <c r="H99" s="18">
        <f>+月次BS!H100/1000</f>
        <v>0</v>
      </c>
      <c r="I99" s="18">
        <f>+月次BS!I100/1000</f>
        <v>0</v>
      </c>
      <c r="J99" s="18">
        <f>+月次BS!J100/1000</f>
        <v>0</v>
      </c>
      <c r="K99" s="18">
        <f>+月次BS!K100/1000</f>
        <v>0</v>
      </c>
      <c r="L99" s="18">
        <f>+月次BS!L100/1000</f>
        <v>0</v>
      </c>
      <c r="M99" s="18">
        <f>+月次BS!M100/1000</f>
        <v>0</v>
      </c>
      <c r="N99" s="18">
        <f>+月次BS!N100/1000</f>
        <v>0</v>
      </c>
      <c r="O99" s="18">
        <f>+月次BS!O100/1000</f>
        <v>0</v>
      </c>
    </row>
    <row r="100" spans="1:15">
      <c r="A100">
        <f>+月次BS!A101</f>
        <v>0</v>
      </c>
      <c r="B100" s="19">
        <f>+月次BS!B101</f>
        <v>0</v>
      </c>
      <c r="C100" s="125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5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5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5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O65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N45" sqref="N45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2" customWidth="1"/>
    <col min="16" max="16384" width="9" style="2"/>
  </cols>
  <sheetData>
    <row r="1" spans="1:15" s="110" customFormat="1" ht="16.899999999999999" thickBot="1">
      <c r="B1" s="110" t="s">
        <v>0</v>
      </c>
      <c r="C1" s="123" t="str">
        <f>+月次BS!D1</f>
        <v>7月</v>
      </c>
      <c r="D1" s="123" t="str">
        <f>+月次BS!E1</f>
        <v>8月</v>
      </c>
      <c r="E1" s="123" t="str">
        <f>+月次BS!F1</f>
        <v>9月</v>
      </c>
      <c r="F1" s="123" t="str">
        <f>+月次BS!G1</f>
        <v>10月</v>
      </c>
      <c r="G1" s="123" t="str">
        <f>+月次BS!H1</f>
        <v>11月</v>
      </c>
      <c r="H1" s="123" t="str">
        <f>+月次BS!I1</f>
        <v>12月</v>
      </c>
      <c r="I1" s="123" t="str">
        <f>+月次BS!J1</f>
        <v>1月</v>
      </c>
      <c r="J1" s="123" t="str">
        <f>+月次BS!K1</f>
        <v>2月</v>
      </c>
      <c r="K1" s="123">
        <f>+月次BS!L1</f>
        <v>3</v>
      </c>
      <c r="L1" s="123">
        <f>+月次BS!M1</f>
        <v>4</v>
      </c>
      <c r="M1" s="123" t="str">
        <f>+月次BS!N1</f>
        <v>5月</v>
      </c>
      <c r="N1" s="123" t="str">
        <f>+月次BS!O1</f>
        <v>6月</v>
      </c>
      <c r="O1" s="111" t="s">
        <v>203</v>
      </c>
    </row>
    <row r="2" spans="1:15" ht="16.899999999999999" thickTop="1">
      <c r="A2" s="2" t="s">
        <v>3</v>
      </c>
    </row>
    <row r="3" spans="1:15">
      <c r="B3" s="2" t="s">
        <v>4</v>
      </c>
      <c r="C3" s="2">
        <v>7355981</v>
      </c>
      <c r="D3" s="2">
        <v>7304280</v>
      </c>
      <c r="E3" s="2">
        <v>6074830</v>
      </c>
      <c r="F3" s="2">
        <v>6161257</v>
      </c>
      <c r="G3" s="2">
        <v>6585842</v>
      </c>
      <c r="H3" s="2">
        <v>9980134</v>
      </c>
      <c r="I3" s="2">
        <v>6090480</v>
      </c>
      <c r="J3" s="2">
        <v>6446164</v>
      </c>
      <c r="K3" s="2">
        <v>6978449</v>
      </c>
      <c r="L3" s="2">
        <v>5291210</v>
      </c>
      <c r="M3" s="2">
        <v>5672033</v>
      </c>
      <c r="N3" s="2">
        <v>5536466</v>
      </c>
      <c r="O3" s="117">
        <f>SUM(C3:N3)</f>
        <v>79477126</v>
      </c>
    </row>
    <row r="4" spans="1:15">
      <c r="B4" s="2" t="s">
        <v>138</v>
      </c>
      <c r="C4" s="2">
        <v>1345240</v>
      </c>
      <c r="D4" s="2">
        <v>2064194</v>
      </c>
      <c r="E4" s="2">
        <v>1191395</v>
      </c>
      <c r="F4" s="2">
        <v>1562343</v>
      </c>
      <c r="G4" s="2">
        <v>1064084</v>
      </c>
      <c r="H4" s="2">
        <v>1117278</v>
      </c>
      <c r="I4" s="2">
        <v>1121936</v>
      </c>
      <c r="J4" s="2">
        <v>1038818</v>
      </c>
      <c r="K4" s="2">
        <v>1159845</v>
      </c>
      <c r="L4" s="2">
        <v>1371265</v>
      </c>
      <c r="M4" s="2">
        <v>1312243</v>
      </c>
      <c r="N4" s="2">
        <v>1560958</v>
      </c>
      <c r="O4" s="117">
        <f t="shared" ref="O4:O64" si="0">SUM(C4:N4)</f>
        <v>15909599</v>
      </c>
    </row>
    <row r="5" spans="1:15">
      <c r="B5" s="2" t="s">
        <v>223</v>
      </c>
      <c r="C5" s="2">
        <v>573353</v>
      </c>
      <c r="D5" s="2">
        <v>597444</v>
      </c>
      <c r="E5" s="2">
        <v>601738</v>
      </c>
      <c r="F5" s="2">
        <v>580314</v>
      </c>
      <c r="G5" s="2">
        <v>531055</v>
      </c>
      <c r="H5" s="2">
        <v>557864</v>
      </c>
      <c r="I5" s="2">
        <v>589775</v>
      </c>
      <c r="J5" s="2">
        <v>596428</v>
      </c>
      <c r="K5" s="2">
        <v>606000</v>
      </c>
      <c r="L5" s="2">
        <v>541519</v>
      </c>
      <c r="M5" s="2">
        <v>611604</v>
      </c>
      <c r="N5" s="2">
        <v>599819</v>
      </c>
      <c r="O5" s="117">
        <f t="shared" si="0"/>
        <v>6986913</v>
      </c>
    </row>
    <row r="6" spans="1:15">
      <c r="O6" s="117">
        <f t="shared" si="0"/>
        <v>0</v>
      </c>
    </row>
    <row r="7" spans="1:15">
      <c r="B7" s="2" t="s">
        <v>5</v>
      </c>
      <c r="O7" s="117">
        <f t="shared" si="0"/>
        <v>0</v>
      </c>
    </row>
    <row r="8" spans="1:15" s="113" customFormat="1">
      <c r="A8" s="113" t="s">
        <v>6</v>
      </c>
      <c r="C8" s="114">
        <f t="shared" ref="C8:N8" si="1">+SUM(C3:C7)</f>
        <v>9274574</v>
      </c>
      <c r="D8" s="114">
        <f t="shared" si="1"/>
        <v>9965918</v>
      </c>
      <c r="E8" s="114">
        <f t="shared" si="1"/>
        <v>7867963</v>
      </c>
      <c r="F8" s="114">
        <f t="shared" si="1"/>
        <v>8303914</v>
      </c>
      <c r="G8" s="114">
        <f t="shared" si="1"/>
        <v>8180981</v>
      </c>
      <c r="H8" s="114">
        <f t="shared" si="1"/>
        <v>11655276</v>
      </c>
      <c r="I8" s="114">
        <f t="shared" si="1"/>
        <v>7802191</v>
      </c>
      <c r="J8" s="114">
        <f t="shared" si="1"/>
        <v>8081410</v>
      </c>
      <c r="K8" s="114">
        <f t="shared" si="1"/>
        <v>8744294</v>
      </c>
      <c r="L8" s="114">
        <f t="shared" si="1"/>
        <v>7203994</v>
      </c>
      <c r="M8" s="114">
        <f t="shared" si="1"/>
        <v>7595880</v>
      </c>
      <c r="N8" s="114">
        <f t="shared" si="1"/>
        <v>7697243</v>
      </c>
      <c r="O8" s="118">
        <f t="shared" si="0"/>
        <v>102373638</v>
      </c>
    </row>
    <row r="9" spans="1:15">
      <c r="A9" s="2" t="s">
        <v>7</v>
      </c>
      <c r="O9" s="117">
        <f t="shared" si="0"/>
        <v>0</v>
      </c>
    </row>
    <row r="10" spans="1:15">
      <c r="B10" s="2" t="s">
        <v>8</v>
      </c>
      <c r="C10" s="2">
        <v>1324285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117">
        <f t="shared" si="0"/>
        <v>1324285</v>
      </c>
    </row>
    <row r="11" spans="1:15">
      <c r="B11" s="2" t="s">
        <v>9</v>
      </c>
      <c r="C11" s="2">
        <v>1214302</v>
      </c>
      <c r="D11" s="2">
        <v>1229321</v>
      </c>
      <c r="E11" s="2">
        <v>954132</v>
      </c>
      <c r="F11" s="2">
        <v>932212</v>
      </c>
      <c r="G11" s="2">
        <v>1169442</v>
      </c>
      <c r="H11" s="2">
        <v>1618009</v>
      </c>
      <c r="I11" s="2">
        <v>930283</v>
      </c>
      <c r="J11" s="2">
        <v>1125121</v>
      </c>
      <c r="K11" s="2">
        <v>1394928</v>
      </c>
      <c r="L11" s="2">
        <v>1139680</v>
      </c>
      <c r="M11" s="2">
        <v>917541</v>
      </c>
      <c r="N11" s="2">
        <v>962022</v>
      </c>
      <c r="O11" s="117">
        <f t="shared" si="0"/>
        <v>13586993</v>
      </c>
    </row>
    <row r="12" spans="1:15">
      <c r="B12" s="2" t="s">
        <v>10</v>
      </c>
      <c r="C12" s="2">
        <v>1056629</v>
      </c>
      <c r="D12" s="2">
        <v>718469</v>
      </c>
      <c r="E12" s="2">
        <v>681656</v>
      </c>
      <c r="F12" s="2">
        <v>731299</v>
      </c>
      <c r="G12" s="2">
        <v>770565</v>
      </c>
      <c r="H12" s="2">
        <v>1354437</v>
      </c>
      <c r="I12" s="2">
        <v>629051</v>
      </c>
      <c r="J12" s="2">
        <v>823087</v>
      </c>
      <c r="K12" s="2">
        <v>701327</v>
      </c>
      <c r="L12" s="2">
        <v>850444</v>
      </c>
      <c r="M12" s="2">
        <v>833116</v>
      </c>
      <c r="N12" s="2">
        <v>790187</v>
      </c>
      <c r="O12" s="117">
        <f t="shared" si="0"/>
        <v>9940267</v>
      </c>
    </row>
    <row r="13" spans="1:15">
      <c r="B13" s="2" t="s">
        <v>189</v>
      </c>
      <c r="O13" s="117">
        <f t="shared" si="0"/>
        <v>0</v>
      </c>
    </row>
    <row r="14" spans="1:15">
      <c r="B14" s="2" t="s">
        <v>11</v>
      </c>
      <c r="C14" s="2">
        <v>1460296</v>
      </c>
      <c r="D14" s="2">
        <v>-171626</v>
      </c>
      <c r="E14" s="2">
        <v>29231</v>
      </c>
      <c r="F14" s="2">
        <v>-37093</v>
      </c>
      <c r="G14" s="2">
        <v>159047</v>
      </c>
      <c r="H14" s="2">
        <v>237172</v>
      </c>
      <c r="I14" s="2">
        <v>-171144</v>
      </c>
      <c r="J14" s="2">
        <v>78655</v>
      </c>
      <c r="K14" s="2">
        <v>68920</v>
      </c>
      <c r="L14" s="2">
        <v>11396</v>
      </c>
      <c r="M14" s="2">
        <v>-231867</v>
      </c>
      <c r="N14" s="2">
        <v>-113729</v>
      </c>
      <c r="O14" s="117">
        <f t="shared" si="0"/>
        <v>1319258</v>
      </c>
    </row>
    <row r="15" spans="1:15" s="113" customFormat="1">
      <c r="A15" s="113" t="s">
        <v>7</v>
      </c>
      <c r="C15" s="114">
        <f>+C10+C11+C12-C13-C14</f>
        <v>2134920</v>
      </c>
      <c r="D15" s="114">
        <f t="shared" ref="D15:M15" si="2">+D10+D11+D12-D13-D14</f>
        <v>2119416</v>
      </c>
      <c r="E15" s="114">
        <f t="shared" si="2"/>
        <v>1606557</v>
      </c>
      <c r="F15" s="114">
        <f t="shared" si="2"/>
        <v>1700604</v>
      </c>
      <c r="G15" s="114">
        <f t="shared" si="2"/>
        <v>1780960</v>
      </c>
      <c r="H15" s="114">
        <f t="shared" si="2"/>
        <v>2735274</v>
      </c>
      <c r="I15" s="114">
        <f t="shared" si="2"/>
        <v>1730478</v>
      </c>
      <c r="J15" s="114">
        <f t="shared" si="2"/>
        <v>1869553</v>
      </c>
      <c r="K15" s="114">
        <f t="shared" si="2"/>
        <v>2027335</v>
      </c>
      <c r="L15" s="114">
        <f t="shared" si="2"/>
        <v>1978728</v>
      </c>
      <c r="M15" s="114">
        <f t="shared" si="2"/>
        <v>1982524</v>
      </c>
      <c r="N15" s="114">
        <f t="shared" ref="N15" si="3">+N10+N11+N12-N13-N14</f>
        <v>1865938</v>
      </c>
      <c r="O15" s="118">
        <f t="shared" si="0"/>
        <v>23532287</v>
      </c>
    </row>
    <row r="16" spans="1:15" s="115" customFormat="1" ht="16.899999999999999" thickBot="1">
      <c r="A16" s="115" t="s">
        <v>12</v>
      </c>
      <c r="C16" s="116">
        <f>+C8-C15</f>
        <v>7139654</v>
      </c>
      <c r="D16" s="116">
        <f t="shared" ref="D16:M16" si="4">+D8-D15</f>
        <v>7846502</v>
      </c>
      <c r="E16" s="116">
        <f t="shared" si="4"/>
        <v>6261406</v>
      </c>
      <c r="F16" s="116">
        <f t="shared" si="4"/>
        <v>6603310</v>
      </c>
      <c r="G16" s="116">
        <f t="shared" si="4"/>
        <v>6400021</v>
      </c>
      <c r="H16" s="116">
        <f t="shared" si="4"/>
        <v>8920002</v>
      </c>
      <c r="I16" s="116">
        <f t="shared" si="4"/>
        <v>6071713</v>
      </c>
      <c r="J16" s="116">
        <f t="shared" si="4"/>
        <v>6211857</v>
      </c>
      <c r="K16" s="116">
        <f t="shared" si="4"/>
        <v>6716959</v>
      </c>
      <c r="L16" s="116">
        <f t="shared" si="4"/>
        <v>5225266</v>
      </c>
      <c r="M16" s="116">
        <f t="shared" si="4"/>
        <v>5613356</v>
      </c>
      <c r="N16" s="116">
        <f t="shared" ref="N16" si="5">+N8-N15</f>
        <v>5831305</v>
      </c>
      <c r="O16" s="119">
        <f t="shared" si="0"/>
        <v>78841351</v>
      </c>
    </row>
    <row r="17" spans="1:15" ht="16.899999999999999" thickTop="1">
      <c r="A17" s="2" t="s">
        <v>13</v>
      </c>
      <c r="O17" s="117">
        <f t="shared" si="0"/>
        <v>0</v>
      </c>
    </row>
    <row r="18" spans="1:15" s="164" customFormat="1">
      <c r="B18" s="166" t="s">
        <v>14</v>
      </c>
      <c r="C18" s="166">
        <v>500000</v>
      </c>
      <c r="D18" s="166">
        <v>500000</v>
      </c>
      <c r="E18" s="166">
        <v>500000</v>
      </c>
      <c r="F18" s="166">
        <v>500000</v>
      </c>
      <c r="G18" s="166">
        <v>500000</v>
      </c>
      <c r="H18" s="166">
        <v>500000</v>
      </c>
      <c r="I18" s="167">
        <v>500000</v>
      </c>
      <c r="J18" s="166">
        <v>500000</v>
      </c>
      <c r="K18" s="166">
        <v>500000</v>
      </c>
      <c r="L18" s="166">
        <v>500000</v>
      </c>
      <c r="M18" s="166">
        <v>500000</v>
      </c>
      <c r="N18" s="166">
        <v>500000</v>
      </c>
      <c r="O18" s="168">
        <f t="shared" si="0"/>
        <v>6000000</v>
      </c>
    </row>
    <row r="19" spans="1:15" s="57" customFormat="1">
      <c r="B19" s="169" t="s">
        <v>212</v>
      </c>
      <c r="C19" s="169">
        <v>570000</v>
      </c>
      <c r="D19" s="169">
        <v>570000</v>
      </c>
      <c r="E19" s="169">
        <v>586976</v>
      </c>
      <c r="F19" s="169">
        <v>350000</v>
      </c>
      <c r="G19" s="169">
        <v>373907</v>
      </c>
      <c r="H19" s="169">
        <v>365819</v>
      </c>
      <c r="I19" s="170">
        <v>361841</v>
      </c>
      <c r="J19" s="169">
        <v>350000</v>
      </c>
      <c r="K19" s="169">
        <v>350000</v>
      </c>
      <c r="L19" s="169">
        <v>350000</v>
      </c>
      <c r="M19" s="169">
        <v>350000</v>
      </c>
      <c r="N19" s="169">
        <v>350000</v>
      </c>
      <c r="O19" s="171">
        <f t="shared" si="0"/>
        <v>4928543</v>
      </c>
    </row>
    <row r="20" spans="1:15" s="57" customFormat="1">
      <c r="B20" s="169" t="s">
        <v>219</v>
      </c>
      <c r="C20" s="169">
        <v>118179</v>
      </c>
      <c r="D20" s="169">
        <v>0</v>
      </c>
      <c r="E20" s="169">
        <v>0</v>
      </c>
      <c r="F20" s="169">
        <v>0</v>
      </c>
      <c r="G20" s="169">
        <v>0</v>
      </c>
      <c r="H20" s="169">
        <v>97731</v>
      </c>
      <c r="I20" s="170">
        <v>0</v>
      </c>
      <c r="J20" s="169">
        <v>0</v>
      </c>
      <c r="K20" s="169">
        <v>522000</v>
      </c>
      <c r="L20" s="169">
        <v>0</v>
      </c>
      <c r="M20" s="169">
        <v>0</v>
      </c>
      <c r="N20" s="169">
        <v>47416</v>
      </c>
      <c r="O20" s="171">
        <f t="shared" si="0"/>
        <v>785326</v>
      </c>
    </row>
    <row r="21" spans="1:15" s="57" customFormat="1">
      <c r="B21" s="169" t="s">
        <v>15</v>
      </c>
      <c r="C21" s="169">
        <v>647091</v>
      </c>
      <c r="D21" s="169">
        <v>807714</v>
      </c>
      <c r="E21" s="169">
        <v>675463</v>
      </c>
      <c r="F21" s="169">
        <v>959800</v>
      </c>
      <c r="G21" s="169">
        <v>956908</v>
      </c>
      <c r="H21" s="169">
        <v>1380581</v>
      </c>
      <c r="I21" s="170">
        <v>1454580</v>
      </c>
      <c r="J21" s="169">
        <v>1424401</v>
      </c>
      <c r="K21" s="169">
        <v>1277171</v>
      </c>
      <c r="L21" s="169">
        <v>1170281</v>
      </c>
      <c r="M21" s="169">
        <v>1166205</v>
      </c>
      <c r="N21" s="169">
        <v>1008651</v>
      </c>
      <c r="O21" s="171">
        <f t="shared" si="0"/>
        <v>12928846</v>
      </c>
    </row>
    <row r="22" spans="1:15" s="57" customFormat="1">
      <c r="B22" s="169" t="s">
        <v>16</v>
      </c>
      <c r="C22" s="169">
        <v>137656</v>
      </c>
      <c r="D22" s="169">
        <v>94370</v>
      </c>
      <c r="E22" s="169">
        <v>233530</v>
      </c>
      <c r="F22" s="169">
        <v>207842</v>
      </c>
      <c r="G22" s="169">
        <v>225657</v>
      </c>
      <c r="H22" s="169">
        <v>167438</v>
      </c>
      <c r="I22" s="170">
        <v>182465</v>
      </c>
      <c r="J22" s="169">
        <v>243096</v>
      </c>
      <c r="K22" s="169">
        <v>184662</v>
      </c>
      <c r="L22" s="169">
        <v>257785</v>
      </c>
      <c r="M22" s="169">
        <v>136927</v>
      </c>
      <c r="N22" s="169">
        <v>249802</v>
      </c>
      <c r="O22" s="171">
        <f t="shared" si="0"/>
        <v>2321230</v>
      </c>
    </row>
    <row r="23" spans="1:15" s="57" customFormat="1">
      <c r="B23" s="169" t="s">
        <v>17</v>
      </c>
      <c r="C23" s="169">
        <v>0</v>
      </c>
      <c r="D23" s="169">
        <v>0</v>
      </c>
      <c r="E23" s="169">
        <v>0</v>
      </c>
      <c r="F23" s="169">
        <v>0</v>
      </c>
      <c r="G23" s="169">
        <v>50500</v>
      </c>
      <c r="H23" s="169">
        <v>5000</v>
      </c>
      <c r="I23" s="170">
        <v>0</v>
      </c>
      <c r="J23" s="169">
        <v>0</v>
      </c>
      <c r="K23" s="169">
        <v>0</v>
      </c>
      <c r="L23" s="169">
        <v>0</v>
      </c>
      <c r="M23" s="169">
        <v>0</v>
      </c>
      <c r="N23" s="169">
        <v>0</v>
      </c>
      <c r="O23" s="171">
        <f t="shared" si="0"/>
        <v>55500</v>
      </c>
    </row>
    <row r="24" spans="1:15" s="165" customFormat="1">
      <c r="B24" s="172" t="s">
        <v>18</v>
      </c>
      <c r="C24" s="172">
        <v>399020</v>
      </c>
      <c r="D24" s="172">
        <v>380774</v>
      </c>
      <c r="E24" s="172">
        <v>270522</v>
      </c>
      <c r="F24" s="172">
        <v>357924</v>
      </c>
      <c r="G24" s="172">
        <v>290836</v>
      </c>
      <c r="H24" s="172">
        <v>300039</v>
      </c>
      <c r="I24" s="173">
        <v>305298</v>
      </c>
      <c r="J24" s="172">
        <v>273130</v>
      </c>
      <c r="K24" s="172">
        <v>355882</v>
      </c>
      <c r="L24" s="172">
        <v>371731</v>
      </c>
      <c r="M24" s="172">
        <v>517264</v>
      </c>
      <c r="N24" s="172">
        <v>366911</v>
      </c>
      <c r="O24" s="174">
        <f t="shared" si="0"/>
        <v>4189331</v>
      </c>
    </row>
    <row r="25" spans="1:15" s="175" customFormat="1">
      <c r="B25" s="175" t="s">
        <v>19</v>
      </c>
      <c r="C25" s="175">
        <v>186903</v>
      </c>
      <c r="D25" s="175">
        <v>179400</v>
      </c>
      <c r="E25" s="175">
        <v>177560</v>
      </c>
      <c r="F25" s="175">
        <v>176503</v>
      </c>
      <c r="G25" s="175">
        <v>215303</v>
      </c>
      <c r="H25" s="175">
        <v>210153</v>
      </c>
      <c r="I25" s="176">
        <v>112000</v>
      </c>
      <c r="J25" s="175">
        <v>2162421</v>
      </c>
      <c r="K25" s="175">
        <v>108000</v>
      </c>
      <c r="L25" s="175">
        <v>100654</v>
      </c>
      <c r="M25" s="175">
        <v>134400</v>
      </c>
      <c r="N25" s="175">
        <v>123402</v>
      </c>
      <c r="O25" s="171">
        <f t="shared" si="0"/>
        <v>3886699</v>
      </c>
    </row>
    <row r="26" spans="1:15" s="175" customFormat="1">
      <c r="B26" s="175" t="s">
        <v>20</v>
      </c>
      <c r="I26" s="176"/>
      <c r="O26" s="171">
        <f t="shared" si="0"/>
        <v>0</v>
      </c>
    </row>
    <row r="27" spans="1:15" s="175" customFormat="1">
      <c r="B27" s="175" t="s">
        <v>21</v>
      </c>
      <c r="C27" s="175">
        <v>42401</v>
      </c>
      <c r="D27" s="175">
        <v>43147</v>
      </c>
      <c r="E27" s="175">
        <v>27646</v>
      </c>
      <c r="F27" s="175">
        <v>41601</v>
      </c>
      <c r="G27" s="175">
        <v>47715</v>
      </c>
      <c r="H27" s="175">
        <v>40511</v>
      </c>
      <c r="I27" s="176">
        <v>34183</v>
      </c>
      <c r="J27" s="175">
        <v>42182</v>
      </c>
      <c r="K27" s="175">
        <v>54459</v>
      </c>
      <c r="L27" s="175">
        <v>46858</v>
      </c>
      <c r="M27" s="175">
        <v>52253</v>
      </c>
      <c r="N27" s="175">
        <v>42731</v>
      </c>
      <c r="O27" s="171">
        <f t="shared" si="0"/>
        <v>515687</v>
      </c>
    </row>
    <row r="28" spans="1:15" s="175" customFormat="1">
      <c r="B28" s="175" t="s">
        <v>22</v>
      </c>
      <c r="C28" s="175">
        <v>45779</v>
      </c>
      <c r="D28" s="175">
        <v>55395</v>
      </c>
      <c r="E28" s="175">
        <v>45570</v>
      </c>
      <c r="F28" s="175">
        <v>44794</v>
      </c>
      <c r="G28" s="175">
        <v>52175</v>
      </c>
      <c r="H28" s="175">
        <v>40364</v>
      </c>
      <c r="I28" s="176">
        <v>54262</v>
      </c>
      <c r="J28" s="175">
        <v>70983</v>
      </c>
      <c r="K28" s="175">
        <v>54590</v>
      </c>
      <c r="L28" s="175">
        <v>122039</v>
      </c>
      <c r="M28" s="175">
        <v>54629</v>
      </c>
      <c r="N28" s="175">
        <v>51282</v>
      </c>
      <c r="O28" s="171">
        <f t="shared" si="0"/>
        <v>691862</v>
      </c>
    </row>
    <row r="29" spans="1:15" s="175" customFormat="1">
      <c r="B29" s="175" t="s">
        <v>23</v>
      </c>
      <c r="C29" s="175">
        <v>1055015</v>
      </c>
      <c r="D29" s="175">
        <v>1104210</v>
      </c>
      <c r="E29" s="175">
        <v>968209</v>
      </c>
      <c r="F29" s="175">
        <v>757600</v>
      </c>
      <c r="G29" s="175">
        <v>878364</v>
      </c>
      <c r="H29" s="175">
        <v>1110021</v>
      </c>
      <c r="I29" s="176">
        <v>1144612</v>
      </c>
      <c r="J29" s="175">
        <v>1235761</v>
      </c>
      <c r="K29" s="175">
        <v>1093647</v>
      </c>
      <c r="L29" s="175">
        <v>804331</v>
      </c>
      <c r="M29" s="175">
        <v>719828</v>
      </c>
      <c r="N29" s="175">
        <v>852493</v>
      </c>
      <c r="O29" s="171">
        <f t="shared" si="0"/>
        <v>11724091</v>
      </c>
    </row>
    <row r="30" spans="1:15" s="175" customFormat="1">
      <c r="B30" s="175" t="s">
        <v>24</v>
      </c>
      <c r="C30" s="175">
        <v>13500</v>
      </c>
      <c r="D30" s="175">
        <v>57300</v>
      </c>
      <c r="E30" s="175">
        <v>15000</v>
      </c>
      <c r="F30" s="175">
        <v>0</v>
      </c>
      <c r="G30" s="175">
        <v>20000</v>
      </c>
      <c r="H30" s="175">
        <v>19000</v>
      </c>
      <c r="I30" s="176">
        <v>17000</v>
      </c>
      <c r="J30" s="175">
        <v>90910</v>
      </c>
      <c r="K30" s="175">
        <v>0</v>
      </c>
      <c r="L30" s="175">
        <v>0</v>
      </c>
      <c r="M30" s="175">
        <v>0</v>
      </c>
      <c r="N30" s="175">
        <v>15000</v>
      </c>
      <c r="O30" s="171">
        <f t="shared" si="0"/>
        <v>247710</v>
      </c>
    </row>
    <row r="31" spans="1:15" s="175" customFormat="1">
      <c r="B31" s="175" t="s">
        <v>25</v>
      </c>
      <c r="C31" s="175">
        <v>332272</v>
      </c>
      <c r="D31" s="175">
        <v>162804</v>
      </c>
      <c r="E31" s="175">
        <v>154474</v>
      </c>
      <c r="F31" s="175">
        <v>229112</v>
      </c>
      <c r="G31" s="175">
        <v>153400</v>
      </c>
      <c r="H31" s="175">
        <v>227238</v>
      </c>
      <c r="I31" s="176">
        <v>157253</v>
      </c>
      <c r="J31" s="175">
        <v>203697</v>
      </c>
      <c r="K31" s="175">
        <v>158297</v>
      </c>
      <c r="L31" s="175">
        <v>160095</v>
      </c>
      <c r="M31" s="175">
        <v>127598</v>
      </c>
      <c r="N31" s="175">
        <v>280820</v>
      </c>
      <c r="O31" s="171">
        <f t="shared" si="0"/>
        <v>2347060</v>
      </c>
    </row>
    <row r="32" spans="1:15" s="175" customFormat="1">
      <c r="B32" s="175" t="s">
        <v>26</v>
      </c>
      <c r="C32" s="175">
        <v>49700</v>
      </c>
      <c r="D32" s="175">
        <v>49700</v>
      </c>
      <c r="E32" s="175">
        <v>49700</v>
      </c>
      <c r="F32" s="175">
        <v>49700</v>
      </c>
      <c r="G32" s="175">
        <v>49700</v>
      </c>
      <c r="H32" s="175">
        <v>49700</v>
      </c>
      <c r="I32" s="176">
        <v>49700</v>
      </c>
      <c r="J32" s="175">
        <v>49700</v>
      </c>
      <c r="K32" s="175">
        <v>49700</v>
      </c>
      <c r="L32" s="175">
        <v>49700</v>
      </c>
      <c r="M32" s="175">
        <v>77900</v>
      </c>
      <c r="N32" s="175">
        <v>49700</v>
      </c>
      <c r="O32" s="171">
        <f t="shared" si="0"/>
        <v>624600</v>
      </c>
    </row>
    <row r="33" spans="1:15" s="175" customFormat="1">
      <c r="B33" s="175" t="s">
        <v>27</v>
      </c>
      <c r="C33" s="175">
        <v>1645661</v>
      </c>
      <c r="D33" s="175">
        <v>1645661</v>
      </c>
      <c r="E33" s="175">
        <v>1645661</v>
      </c>
      <c r="F33" s="175">
        <v>1645661</v>
      </c>
      <c r="G33" s="175">
        <v>1645661</v>
      </c>
      <c r="H33" s="175">
        <v>1645661</v>
      </c>
      <c r="I33" s="176">
        <v>1645661</v>
      </c>
      <c r="J33" s="175">
        <v>1645661</v>
      </c>
      <c r="K33" s="175">
        <v>1645661</v>
      </c>
      <c r="L33" s="175">
        <v>1645661</v>
      </c>
      <c r="M33" s="175">
        <v>1645661</v>
      </c>
      <c r="N33" s="175">
        <v>1645661</v>
      </c>
      <c r="O33" s="171">
        <f t="shared" si="0"/>
        <v>19747932</v>
      </c>
    </row>
    <row r="34" spans="1:15" s="175" customFormat="1">
      <c r="B34" s="175" t="s">
        <v>28</v>
      </c>
      <c r="C34" s="175">
        <v>30000</v>
      </c>
      <c r="D34" s="175">
        <v>30000</v>
      </c>
      <c r="E34" s="175">
        <v>30000</v>
      </c>
      <c r="F34" s="175">
        <v>30000</v>
      </c>
      <c r="G34" s="175">
        <v>30000</v>
      </c>
      <c r="H34" s="175">
        <v>30000</v>
      </c>
      <c r="I34" s="176">
        <v>30000</v>
      </c>
      <c r="J34" s="175">
        <v>30000</v>
      </c>
      <c r="K34" s="175">
        <v>30000</v>
      </c>
      <c r="L34" s="175">
        <v>30000</v>
      </c>
      <c r="M34" s="175">
        <v>30000</v>
      </c>
      <c r="N34" s="175">
        <v>30000</v>
      </c>
      <c r="O34" s="171">
        <f t="shared" si="0"/>
        <v>360000</v>
      </c>
    </row>
    <row r="35" spans="1:15" s="175" customFormat="1">
      <c r="B35" s="175" t="s">
        <v>29</v>
      </c>
      <c r="C35" s="175">
        <v>22215</v>
      </c>
      <c r="D35" s="175">
        <v>22215</v>
      </c>
      <c r="E35" s="175">
        <v>22215</v>
      </c>
      <c r="F35" s="175">
        <v>22215</v>
      </c>
      <c r="G35" s="175">
        <v>22215</v>
      </c>
      <c r="H35" s="175">
        <v>28375</v>
      </c>
      <c r="I35" s="176">
        <v>28375</v>
      </c>
      <c r="J35" s="175">
        <v>28375</v>
      </c>
      <c r="K35" s="175">
        <v>28375</v>
      </c>
      <c r="L35" s="175">
        <v>28375</v>
      </c>
      <c r="M35" s="175">
        <v>28375</v>
      </c>
      <c r="N35" s="175">
        <v>28375</v>
      </c>
      <c r="O35" s="171">
        <f t="shared" si="0"/>
        <v>309700</v>
      </c>
    </row>
    <row r="36" spans="1:15" s="175" customFormat="1">
      <c r="B36" s="175" t="s">
        <v>30</v>
      </c>
      <c r="C36" s="175">
        <v>146000</v>
      </c>
      <c r="D36" s="175">
        <v>1000</v>
      </c>
      <c r="E36" s="175">
        <v>147000</v>
      </c>
      <c r="F36" s="175">
        <v>0</v>
      </c>
      <c r="G36" s="175">
        <v>2450</v>
      </c>
      <c r="H36" s="175">
        <v>148000</v>
      </c>
      <c r="I36" s="176">
        <v>0</v>
      </c>
      <c r="J36" s="175">
        <v>0</v>
      </c>
      <c r="K36" s="175">
        <v>1000</v>
      </c>
      <c r="L36" s="175">
        <v>125900</v>
      </c>
      <c r="M36" s="175">
        <v>0</v>
      </c>
      <c r="N36" s="175">
        <v>1000</v>
      </c>
      <c r="O36" s="171">
        <f t="shared" si="0"/>
        <v>572350</v>
      </c>
    </row>
    <row r="37" spans="1:15" s="175" customFormat="1">
      <c r="B37" s="175" t="s">
        <v>31</v>
      </c>
      <c r="C37" s="175">
        <v>238917</v>
      </c>
      <c r="D37" s="175">
        <v>268309</v>
      </c>
      <c r="E37" s="175">
        <v>276554</v>
      </c>
      <c r="F37" s="175">
        <v>224363</v>
      </c>
      <c r="G37" s="175">
        <v>226852</v>
      </c>
      <c r="H37" s="175">
        <v>264110</v>
      </c>
      <c r="I37" s="176">
        <v>245928</v>
      </c>
      <c r="J37" s="175">
        <v>218075</v>
      </c>
      <c r="K37" s="175">
        <v>308807</v>
      </c>
      <c r="L37" s="175">
        <v>185840</v>
      </c>
      <c r="M37" s="175">
        <v>193092</v>
      </c>
      <c r="N37" s="175">
        <v>243661</v>
      </c>
      <c r="O37" s="171">
        <f t="shared" si="0"/>
        <v>2894508</v>
      </c>
    </row>
    <row r="38" spans="1:15" s="175" customFormat="1">
      <c r="B38" s="175" t="s">
        <v>191</v>
      </c>
      <c r="C38" s="175">
        <v>0</v>
      </c>
      <c r="D38" s="175">
        <v>0</v>
      </c>
      <c r="E38" s="175">
        <v>0</v>
      </c>
      <c r="F38" s="175">
        <v>0</v>
      </c>
      <c r="G38" s="175">
        <v>0</v>
      </c>
      <c r="H38" s="175">
        <v>0</v>
      </c>
      <c r="I38" s="176">
        <v>0</v>
      </c>
      <c r="J38" s="175">
        <v>0</v>
      </c>
      <c r="K38" s="175">
        <v>0</v>
      </c>
      <c r="O38" s="171">
        <f t="shared" si="0"/>
        <v>0</v>
      </c>
    </row>
    <row r="39" spans="1:15" s="175" customFormat="1">
      <c r="B39" s="175" t="s">
        <v>32</v>
      </c>
      <c r="C39" s="175">
        <v>2593</v>
      </c>
      <c r="D39" s="175">
        <v>0</v>
      </c>
      <c r="E39" s="175">
        <v>0</v>
      </c>
      <c r="F39" s="175">
        <v>0</v>
      </c>
      <c r="G39" s="175">
        <v>0</v>
      </c>
      <c r="H39" s="175">
        <v>0</v>
      </c>
      <c r="I39" s="176">
        <v>0</v>
      </c>
      <c r="J39" s="175">
        <v>0</v>
      </c>
      <c r="K39" s="175">
        <v>0</v>
      </c>
      <c r="L39" s="175">
        <v>0</v>
      </c>
      <c r="M39" s="175">
        <v>0</v>
      </c>
      <c r="O39" s="171">
        <f t="shared" si="0"/>
        <v>2593</v>
      </c>
    </row>
    <row r="40" spans="1:15" s="175" customFormat="1">
      <c r="B40" s="175" t="s">
        <v>33</v>
      </c>
      <c r="C40" s="175">
        <v>690589</v>
      </c>
      <c r="D40" s="175">
        <v>690589</v>
      </c>
      <c r="E40" s="175">
        <v>690589</v>
      </c>
      <c r="F40" s="175">
        <v>690589</v>
      </c>
      <c r="G40" s="175">
        <v>690589</v>
      </c>
      <c r="H40" s="175">
        <v>690589</v>
      </c>
      <c r="I40" s="176">
        <v>690589</v>
      </c>
      <c r="J40" s="175">
        <v>690589</v>
      </c>
      <c r="K40" s="175">
        <v>690589</v>
      </c>
      <c r="L40" s="175">
        <v>690589</v>
      </c>
      <c r="M40" s="175">
        <v>690589</v>
      </c>
      <c r="N40" s="175">
        <v>690589</v>
      </c>
      <c r="O40" s="171">
        <f t="shared" si="0"/>
        <v>8287068</v>
      </c>
    </row>
    <row r="41" spans="1:15">
      <c r="B41" s="2" t="s">
        <v>34</v>
      </c>
      <c r="C41" s="2">
        <v>64599</v>
      </c>
      <c r="D41" s="2">
        <v>47521</v>
      </c>
      <c r="E41" s="2">
        <v>42600</v>
      </c>
      <c r="F41" s="2">
        <v>71639</v>
      </c>
      <c r="G41" s="2">
        <v>42720</v>
      </c>
      <c r="H41" s="2">
        <v>42240</v>
      </c>
      <c r="I41" s="121">
        <v>71158</v>
      </c>
      <c r="J41" s="2">
        <v>41880</v>
      </c>
      <c r="K41" s="2">
        <v>62280</v>
      </c>
      <c r="L41" s="2">
        <v>108288</v>
      </c>
      <c r="M41" s="2">
        <v>38870</v>
      </c>
      <c r="N41" s="2">
        <v>58990</v>
      </c>
      <c r="O41" s="117">
        <f t="shared" si="0"/>
        <v>692785</v>
      </c>
    </row>
    <row r="42" spans="1:15">
      <c r="B42" s="2" t="s">
        <v>35</v>
      </c>
      <c r="C42" s="2">
        <v>70000</v>
      </c>
      <c r="D42" s="2">
        <v>70000</v>
      </c>
      <c r="E42" s="2">
        <v>280000</v>
      </c>
      <c r="F42" s="2">
        <v>70000</v>
      </c>
      <c r="G42" s="2">
        <v>110000</v>
      </c>
      <c r="H42" s="2">
        <v>70000</v>
      </c>
      <c r="I42" s="121">
        <v>70000</v>
      </c>
      <c r="J42" s="2">
        <v>70000</v>
      </c>
      <c r="K42" s="2">
        <v>70000</v>
      </c>
      <c r="L42" s="2">
        <v>70000</v>
      </c>
      <c r="M42" s="2">
        <v>70000</v>
      </c>
      <c r="N42" s="2">
        <v>70000</v>
      </c>
      <c r="O42" s="117">
        <f t="shared" si="0"/>
        <v>1090000</v>
      </c>
    </row>
    <row r="43" spans="1:15" s="175" customFormat="1">
      <c r="B43" s="175" t="s">
        <v>184</v>
      </c>
      <c r="C43" s="175">
        <v>21289</v>
      </c>
      <c r="D43" s="175">
        <v>97177</v>
      </c>
      <c r="E43" s="175">
        <v>106992</v>
      </c>
      <c r="F43" s="175">
        <v>148075</v>
      </c>
      <c r="G43" s="175">
        <v>79685</v>
      </c>
      <c r="H43" s="175">
        <v>0</v>
      </c>
      <c r="I43" s="176">
        <v>0</v>
      </c>
      <c r="J43" s="175">
        <v>0</v>
      </c>
      <c r="K43" s="175">
        <v>0</v>
      </c>
      <c r="L43" s="175">
        <v>0</v>
      </c>
      <c r="M43" s="175">
        <v>0</v>
      </c>
      <c r="N43" s="175">
        <v>0</v>
      </c>
      <c r="O43" s="171">
        <f t="shared" si="0"/>
        <v>453218</v>
      </c>
    </row>
    <row r="44" spans="1:15" s="113" customFormat="1">
      <c r="A44" s="113" t="s">
        <v>36</v>
      </c>
      <c r="C44" s="114">
        <f>SUM(C18:C43)</f>
        <v>7029379</v>
      </c>
      <c r="D44" s="114">
        <f t="shared" ref="D44:N44" si="6">SUM(D18:D43)</f>
        <v>6877286</v>
      </c>
      <c r="E44" s="114">
        <f t="shared" si="6"/>
        <v>6946261</v>
      </c>
      <c r="F44" s="114">
        <f t="shared" si="6"/>
        <v>6577418</v>
      </c>
      <c r="G44" s="114">
        <f t="shared" si="6"/>
        <v>6664637</v>
      </c>
      <c r="H44" s="114">
        <f t="shared" si="6"/>
        <v>7432570</v>
      </c>
      <c r="I44" s="114">
        <f t="shared" si="6"/>
        <v>7154905</v>
      </c>
      <c r="J44" s="114">
        <f t="shared" si="6"/>
        <v>9370861</v>
      </c>
      <c r="K44" s="114">
        <f t="shared" si="6"/>
        <v>7545120</v>
      </c>
      <c r="L44" s="114">
        <f t="shared" si="6"/>
        <v>6818127</v>
      </c>
      <c r="M44" s="114">
        <f t="shared" si="6"/>
        <v>6533591</v>
      </c>
      <c r="N44" s="114">
        <f t="shared" si="6"/>
        <v>6706484</v>
      </c>
      <c r="O44" s="118">
        <f t="shared" si="0"/>
        <v>85656639</v>
      </c>
    </row>
    <row r="45" spans="1:15" s="115" customFormat="1" ht="16.899999999999999" thickBot="1">
      <c r="A45" s="115" t="s">
        <v>37</v>
      </c>
      <c r="C45" s="116">
        <f>+C16-C44</f>
        <v>110275</v>
      </c>
      <c r="D45" s="116">
        <f t="shared" ref="D45:M45" si="7">+D16-D44</f>
        <v>969216</v>
      </c>
      <c r="E45" s="116">
        <f t="shared" si="7"/>
        <v>-684855</v>
      </c>
      <c r="F45" s="116">
        <f t="shared" si="7"/>
        <v>25892</v>
      </c>
      <c r="G45" s="116">
        <f t="shared" si="7"/>
        <v>-264616</v>
      </c>
      <c r="H45" s="116">
        <f t="shared" si="7"/>
        <v>1487432</v>
      </c>
      <c r="I45" s="116">
        <f t="shared" si="7"/>
        <v>-1083192</v>
      </c>
      <c r="J45" s="116">
        <f t="shared" si="7"/>
        <v>-3159004</v>
      </c>
      <c r="K45" s="116">
        <f t="shared" si="7"/>
        <v>-828161</v>
      </c>
      <c r="L45" s="116">
        <f t="shared" si="7"/>
        <v>-1592861</v>
      </c>
      <c r="M45" s="116">
        <f t="shared" si="7"/>
        <v>-920235</v>
      </c>
      <c r="N45" s="116">
        <f t="shared" ref="N45" si="8">+N16-N44</f>
        <v>-875179</v>
      </c>
      <c r="O45" s="119">
        <f t="shared" si="0"/>
        <v>-6815288</v>
      </c>
    </row>
    <row r="46" spans="1:15" ht="16.899999999999999" thickTop="1">
      <c r="A46" s="2" t="s">
        <v>38</v>
      </c>
      <c r="O46" s="117">
        <f t="shared" si="0"/>
        <v>0</v>
      </c>
    </row>
    <row r="47" spans="1:15">
      <c r="B47" s="2" t="s">
        <v>39</v>
      </c>
      <c r="C47" s="2">
        <v>0</v>
      </c>
      <c r="D47" s="2">
        <v>33390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33136</v>
      </c>
      <c r="K47" s="2">
        <v>1</v>
      </c>
      <c r="L47" s="2">
        <v>0</v>
      </c>
      <c r="M47" s="2">
        <v>0</v>
      </c>
      <c r="N47" s="2">
        <v>0</v>
      </c>
      <c r="O47" s="117">
        <f t="shared" si="0"/>
        <v>66528</v>
      </c>
    </row>
    <row r="48" spans="1:15">
      <c r="B48" s="2" t="s">
        <v>194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239</v>
      </c>
      <c r="O48" s="117">
        <f t="shared" si="0"/>
        <v>239</v>
      </c>
    </row>
    <row r="49" spans="1:15">
      <c r="B49" s="2" t="s">
        <v>40</v>
      </c>
      <c r="C49" s="2">
        <v>0</v>
      </c>
      <c r="D49" s="2">
        <v>0</v>
      </c>
      <c r="E49" s="2">
        <v>403668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1000000</v>
      </c>
      <c r="L49" s="2">
        <v>0</v>
      </c>
      <c r="M49" s="2">
        <v>400000</v>
      </c>
      <c r="N49" s="2">
        <v>0</v>
      </c>
      <c r="O49" s="117">
        <f t="shared" si="0"/>
        <v>1803668</v>
      </c>
    </row>
    <row r="50" spans="1:15" s="113" customFormat="1">
      <c r="A50" s="113" t="s">
        <v>41</v>
      </c>
      <c r="C50" s="113">
        <v>0</v>
      </c>
      <c r="D50" s="113">
        <v>33390</v>
      </c>
      <c r="E50" s="113">
        <v>403669</v>
      </c>
      <c r="F50" s="113">
        <v>0</v>
      </c>
      <c r="G50" s="113">
        <v>0</v>
      </c>
      <c r="H50" s="113">
        <v>0</v>
      </c>
      <c r="I50" s="113">
        <v>0</v>
      </c>
      <c r="J50" s="113">
        <v>33136</v>
      </c>
      <c r="K50" s="113">
        <v>1000001</v>
      </c>
      <c r="L50" s="113">
        <v>0</v>
      </c>
      <c r="M50" s="113">
        <v>400000</v>
      </c>
      <c r="N50" s="113">
        <v>239</v>
      </c>
      <c r="O50" s="118">
        <f t="shared" si="0"/>
        <v>1870435</v>
      </c>
    </row>
    <row r="51" spans="1:15">
      <c r="A51" s="2" t="s">
        <v>42</v>
      </c>
      <c r="O51" s="117">
        <f t="shared" si="0"/>
        <v>0</v>
      </c>
    </row>
    <row r="52" spans="1:15">
      <c r="B52" s="2" t="s">
        <v>43</v>
      </c>
      <c r="C52" s="2">
        <v>147962</v>
      </c>
      <c r="D52" s="2">
        <v>82191</v>
      </c>
      <c r="E52" s="2">
        <v>206056</v>
      </c>
      <c r="F52" s="2">
        <v>152448</v>
      </c>
      <c r="G52" s="2">
        <v>71670</v>
      </c>
      <c r="H52" s="2">
        <v>62784</v>
      </c>
      <c r="I52" s="2">
        <v>148217</v>
      </c>
      <c r="J52" s="2">
        <v>130729</v>
      </c>
      <c r="K52" s="2">
        <v>199645</v>
      </c>
      <c r="L52" s="2">
        <v>140445</v>
      </c>
      <c r="M52" s="2">
        <v>81533</v>
      </c>
      <c r="N52" s="2">
        <v>120911</v>
      </c>
      <c r="O52" s="117">
        <f t="shared" si="0"/>
        <v>1544591</v>
      </c>
    </row>
    <row r="53" spans="1:15">
      <c r="B53" s="2" t="s">
        <v>44</v>
      </c>
      <c r="C53" s="2">
        <v>0</v>
      </c>
      <c r="D53" s="2">
        <v>0</v>
      </c>
      <c r="E53" s="2">
        <v>0</v>
      </c>
      <c r="F53" s="2">
        <v>0</v>
      </c>
      <c r="G53" s="2">
        <v>760</v>
      </c>
      <c r="H53" s="2">
        <v>11700</v>
      </c>
      <c r="I53" s="2">
        <v>0</v>
      </c>
      <c r="J53" s="2">
        <v>0</v>
      </c>
      <c r="K53" s="2">
        <v>0</v>
      </c>
      <c r="L53" s="2">
        <v>3000</v>
      </c>
      <c r="M53" s="2">
        <v>0</v>
      </c>
      <c r="N53" s="2">
        <v>6250</v>
      </c>
      <c r="O53" s="117">
        <f t="shared" si="0"/>
        <v>21710</v>
      </c>
    </row>
    <row r="54" spans="1:15">
      <c r="B54" s="2" t="s">
        <v>45</v>
      </c>
      <c r="O54" s="117">
        <f t="shared" si="0"/>
        <v>0</v>
      </c>
    </row>
    <row r="55" spans="1:15" s="113" customFormat="1">
      <c r="A55" s="113" t="s">
        <v>46</v>
      </c>
      <c r="C55" s="113">
        <v>147962</v>
      </c>
      <c r="D55" s="113">
        <v>82191</v>
      </c>
      <c r="E55" s="113">
        <v>206056</v>
      </c>
      <c r="F55" s="113">
        <v>152448</v>
      </c>
      <c r="G55" s="113">
        <v>72430</v>
      </c>
      <c r="H55" s="113">
        <v>74484</v>
      </c>
      <c r="I55" s="113">
        <v>148217</v>
      </c>
      <c r="J55" s="113">
        <v>130729</v>
      </c>
      <c r="K55" s="113">
        <v>199645</v>
      </c>
      <c r="L55" s="113">
        <v>143445</v>
      </c>
      <c r="M55" s="113">
        <v>81533</v>
      </c>
      <c r="N55" s="113">
        <v>127161</v>
      </c>
      <c r="O55" s="118">
        <f t="shared" si="0"/>
        <v>1566301</v>
      </c>
    </row>
    <row r="56" spans="1:15" s="115" customFormat="1" ht="16.899999999999999" thickBot="1">
      <c r="A56" s="115" t="s">
        <v>47</v>
      </c>
      <c r="C56" s="116">
        <f>+C45+C50-C55</f>
        <v>-37687</v>
      </c>
      <c r="D56" s="116">
        <f t="shared" ref="D56:N56" si="9">+D45+D50-D55</f>
        <v>920415</v>
      </c>
      <c r="E56" s="116">
        <f t="shared" si="9"/>
        <v>-487242</v>
      </c>
      <c r="F56" s="116">
        <f t="shared" si="9"/>
        <v>-126556</v>
      </c>
      <c r="G56" s="116">
        <f t="shared" si="9"/>
        <v>-337046</v>
      </c>
      <c r="H56" s="116">
        <f t="shared" si="9"/>
        <v>1412948</v>
      </c>
      <c r="I56" s="116">
        <f t="shared" si="9"/>
        <v>-1231409</v>
      </c>
      <c r="J56" s="116">
        <f t="shared" si="9"/>
        <v>-3256597</v>
      </c>
      <c r="K56" s="116">
        <f t="shared" si="9"/>
        <v>-27805</v>
      </c>
      <c r="L56" s="116">
        <f t="shared" si="9"/>
        <v>-1736306</v>
      </c>
      <c r="M56" s="116">
        <f t="shared" si="9"/>
        <v>-601768</v>
      </c>
      <c r="N56" s="116">
        <f t="shared" si="9"/>
        <v>-1002101</v>
      </c>
      <c r="O56" s="119">
        <f t="shared" si="0"/>
        <v>-6511154</v>
      </c>
    </row>
    <row r="57" spans="1:15" ht="16.899999999999999" thickTop="1">
      <c r="A57" s="2" t="s">
        <v>48</v>
      </c>
      <c r="O57" s="117">
        <f t="shared" si="0"/>
        <v>0</v>
      </c>
    </row>
    <row r="58" spans="1:15" s="113" customFormat="1">
      <c r="A58" s="113" t="s">
        <v>49</v>
      </c>
      <c r="O58" s="118">
        <f t="shared" si="0"/>
        <v>0</v>
      </c>
    </row>
    <row r="59" spans="1:15">
      <c r="A59" s="2" t="s">
        <v>50</v>
      </c>
      <c r="O59" s="117">
        <f t="shared" si="0"/>
        <v>0</v>
      </c>
    </row>
    <row r="60" spans="1:15" s="113" customFormat="1">
      <c r="A60" s="113" t="s">
        <v>51</v>
      </c>
      <c r="O60" s="118">
        <f t="shared" si="0"/>
        <v>0</v>
      </c>
    </row>
    <row r="61" spans="1:15">
      <c r="A61" s="2" t="s">
        <v>52</v>
      </c>
      <c r="O61" s="117">
        <f t="shared" si="0"/>
        <v>0</v>
      </c>
    </row>
    <row r="62" spans="1:15" s="115" customFormat="1" ht="16.899999999999999" thickBot="1">
      <c r="A62" s="115" t="s">
        <v>53</v>
      </c>
      <c r="C62" s="116">
        <f>+C56+C58-C60</f>
        <v>-37687</v>
      </c>
      <c r="D62" s="116">
        <f t="shared" ref="D62:M62" si="10">+D56+D58-D60</f>
        <v>920415</v>
      </c>
      <c r="E62" s="116">
        <f t="shared" si="10"/>
        <v>-487242</v>
      </c>
      <c r="F62" s="116">
        <f t="shared" si="10"/>
        <v>-126556</v>
      </c>
      <c r="G62" s="116">
        <f t="shared" si="10"/>
        <v>-337046</v>
      </c>
      <c r="H62" s="116">
        <f t="shared" si="10"/>
        <v>1412948</v>
      </c>
      <c r="I62" s="116">
        <f t="shared" si="10"/>
        <v>-1231409</v>
      </c>
      <c r="J62" s="116">
        <f t="shared" si="10"/>
        <v>-3256597</v>
      </c>
      <c r="K62" s="116">
        <f t="shared" si="10"/>
        <v>-27805</v>
      </c>
      <c r="L62" s="116">
        <f t="shared" si="10"/>
        <v>-1736306</v>
      </c>
      <c r="M62" s="116">
        <f t="shared" si="10"/>
        <v>-601768</v>
      </c>
      <c r="N62" s="116">
        <f t="shared" ref="N62" si="11">+N56+N58-N60</f>
        <v>-1002101</v>
      </c>
      <c r="O62" s="119">
        <f t="shared" si="0"/>
        <v>-6511154</v>
      </c>
    </row>
    <row r="63" spans="1:15" ht="16.899999999999999" thickTop="1">
      <c r="B63" s="2" t="s">
        <v>195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N63" s="120"/>
      <c r="O63" s="117">
        <f t="shared" si="0"/>
        <v>0</v>
      </c>
    </row>
    <row r="64" spans="1:15" s="115" customFormat="1" ht="16.899999999999999" thickBot="1">
      <c r="A64" s="115" t="s">
        <v>54</v>
      </c>
      <c r="C64" s="116">
        <f>+C62-C63</f>
        <v>-37687</v>
      </c>
      <c r="D64" s="116">
        <f t="shared" ref="D64:M64" si="12">+D62-D63</f>
        <v>920415</v>
      </c>
      <c r="E64" s="116">
        <f t="shared" si="12"/>
        <v>-487242</v>
      </c>
      <c r="F64" s="116">
        <f t="shared" si="12"/>
        <v>-126556</v>
      </c>
      <c r="G64" s="116">
        <f t="shared" si="12"/>
        <v>-337046</v>
      </c>
      <c r="H64" s="116">
        <f t="shared" si="12"/>
        <v>1412948</v>
      </c>
      <c r="I64" s="116">
        <f t="shared" si="12"/>
        <v>-1231409</v>
      </c>
      <c r="J64" s="116">
        <f t="shared" si="12"/>
        <v>-3256597</v>
      </c>
      <c r="K64" s="116">
        <f t="shared" si="12"/>
        <v>-27805</v>
      </c>
      <c r="L64" s="116">
        <f t="shared" si="12"/>
        <v>-1736306</v>
      </c>
      <c r="M64" s="116">
        <f t="shared" si="12"/>
        <v>-601768</v>
      </c>
      <c r="N64" s="116">
        <f t="shared" ref="N64" si="13">+N62-N63</f>
        <v>-1002101</v>
      </c>
      <c r="O64" s="119">
        <f t="shared" si="0"/>
        <v>-6511154</v>
      </c>
    </row>
    <row r="6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BY94"/>
  <sheetViews>
    <sheetView topLeftCell="B2" zoomScale="110" zoomScaleNormal="110" workbookViewId="0">
      <pane xSplit="2" ySplit="8" topLeftCell="D10" activePane="bottomRight" state="frozen"/>
      <selection activeCell="B2" sqref="B2"/>
      <selection pane="topRight" activeCell="D2" sqref="D2"/>
      <selection pane="bottomLeft" activeCell="B5" sqref="B5"/>
      <selection pane="bottomRight" activeCell="V11" sqref="V11"/>
    </sheetView>
  </sheetViews>
  <sheetFormatPr defaultColWidth="9" defaultRowHeight="16.5" outlineLevelCol="1"/>
  <cols>
    <col min="1" max="1" width="4.625" style="1" customWidth="1"/>
    <col min="2" max="2" width="5.625" style="1" customWidth="1"/>
    <col min="3" max="3" width="12.625" style="1" customWidth="1"/>
    <col min="4" max="19" width="10.625" style="2" customWidth="1"/>
    <col min="20" max="20" width="10.625" style="70" customWidth="1"/>
    <col min="21" max="21" width="10.625" style="2" customWidth="1"/>
    <col min="22" max="22" width="10.625" style="70" customWidth="1"/>
    <col min="23" max="23" width="10.625" style="2" customWidth="1"/>
    <col min="24" max="24" width="10.625" style="70" customWidth="1"/>
    <col min="25" max="25" width="10.625" style="2" customWidth="1"/>
    <col min="26" max="26" width="10.625" style="70" customWidth="1" outlineLevel="1"/>
    <col min="27" max="27" width="10.625" style="2" customWidth="1" outlineLevel="1"/>
    <col min="28" max="28" width="9" style="1"/>
    <col min="29" max="29" width="9" style="13"/>
    <col min="30" max="16384" width="9" style="1"/>
  </cols>
  <sheetData>
    <row r="2" spans="1:38" s="192" customFormat="1" ht="12.75">
      <c r="B2" s="192" t="s">
        <v>247</v>
      </c>
      <c r="C2" s="192" t="s">
        <v>138</v>
      </c>
      <c r="D2" s="193" t="str">
        <f>IF(D10&lt;&gt;0,IF(D10=月次PL!C8/1000,"OK",PL推移!D10-月次PL!C8/1000),"nd")</f>
        <v>OK</v>
      </c>
      <c r="E2" s="193"/>
      <c r="F2" s="193" t="str">
        <f>IF(F10&lt;&gt;0,IF(月次PL!D8/1000=PL推移!F10,"OK",PL推移!F10-月次PL!D8/1000),"nd")</f>
        <v>OK</v>
      </c>
      <c r="G2" s="193"/>
      <c r="H2" s="193" t="str">
        <f>IF(H10&lt;&gt;0,IF(月次PL!E8/1000=PL推移!H10,"OK",PL推移!H10-月次PL!E8/1000),"nd")</f>
        <v>OK</v>
      </c>
      <c r="I2" s="193"/>
      <c r="J2" s="193" t="str">
        <f>IF(J10&lt;&gt;0,IF(月次PL!F8/1000=PL推移!J10,"OK",PL推移!J10-月次PL!F8/1000),"nd")</f>
        <v>OK</v>
      </c>
      <c r="K2" s="193"/>
      <c r="L2" s="193" t="str">
        <f>IF(L10&lt;&gt;0,IF(月次PL!G8/1000=PL推移!L10,"OK",PL推移!L10-月次PL!G8/1000),"nd")</f>
        <v>OK</v>
      </c>
      <c r="M2" s="193"/>
      <c r="N2" s="193" t="str">
        <f>IF(N10&lt;&gt;0,IF(月次PL!H8/1000=PL推移!N10,"OK",PL推移!N10-月次PL!H8/1000),"nd")</f>
        <v>OK</v>
      </c>
      <c r="O2" s="193"/>
      <c r="P2" s="193" t="str">
        <f>IF(P10&lt;&gt;0,IF(月次PL!I8/1000=PL推移!P10,"OK",PL推移!P10-月次PL!I8/1000),"nd")</f>
        <v>OK</v>
      </c>
      <c r="Q2" s="193"/>
      <c r="R2" s="193" t="str">
        <f>IF(R10&lt;&gt;0,IF(月次PL!J8/1000=PL推移!R10,"OK",PL推移!R10-月次PL!J8/1000),"nd")</f>
        <v>OK</v>
      </c>
      <c r="S2" s="193"/>
      <c r="T2" s="193">
        <f>IF(T10&lt;&gt;0,IF(月次PL!K8/1000=PL推移!T10,"OK",PL推移!T10-月次PL!K8/1000),"nd")</f>
        <v>1.706000000000131</v>
      </c>
      <c r="U2" s="193"/>
      <c r="V2" s="193" t="str">
        <f>IF(V10&lt;&gt;0,IF(月次PL!L8/1000=PL推移!V10,"OK",PL推移!V10-月次PL!L8/1000),"nd")</f>
        <v>OK</v>
      </c>
      <c r="W2" s="193"/>
      <c r="X2" s="193" t="str">
        <f>IF(X10&lt;&gt;0,IF(月次PL!M8/1000=PL推移!X10,"OK",PL推移!X10-月次PL!M8/1000),"nd")</f>
        <v>OK</v>
      </c>
      <c r="Y2" s="193"/>
      <c r="Z2" s="193" t="str">
        <f>IF(Z10&lt;&gt;0,IF(月次PL!N8/1000=PL推移!Z10,"OK",PL推移!Z10-月次PL!N8/1000),"nd")</f>
        <v>OK</v>
      </c>
      <c r="AA2" s="193"/>
      <c r="AC2" s="484"/>
    </row>
    <row r="3" spans="1:38" s="192" customFormat="1" ht="12.75">
      <c r="C3" s="192" t="s">
        <v>142</v>
      </c>
      <c r="D3" s="193" t="str">
        <f>IF(D22&lt;&gt;0,IF(D22=月次PL!C16/1000,"OK",PL推移!D22-月次PL!C16/1000),"nd")</f>
        <v>OK</v>
      </c>
      <c r="E3" s="193"/>
      <c r="F3" s="193" t="str">
        <f>IF(F22&lt;&gt;0,IF(F22=月次PL!D16/1000,"OK",PL推移!F22-月次PL!D16/1000),"nd")</f>
        <v>OK</v>
      </c>
      <c r="G3" s="193"/>
      <c r="H3" s="193" t="str">
        <f>IF(H22&lt;&gt;0,IF(H22=月次PL!E16/1000,"OK",PL推移!H22-月次PL!E16/1000),"nd")</f>
        <v>OK</v>
      </c>
      <c r="I3" s="193"/>
      <c r="J3" s="193" t="str">
        <f>IF(J22&lt;&gt;0,IF(J22=月次PL!F16/1000,"OK",PL推移!J22-月次PL!F16/1000),"nd")</f>
        <v>OK</v>
      </c>
      <c r="K3" s="193"/>
      <c r="L3" s="193" t="str">
        <f>IF(L22&lt;&gt;0,IF(L22=月次PL!G16/1000,"OK",PL推移!L22-月次PL!G16/1000),"nd")</f>
        <v>OK</v>
      </c>
      <c r="M3" s="193"/>
      <c r="N3" s="193" t="str">
        <f>IF(N22&lt;&gt;0,IF(N22=月次PL!H16/1000,"OK",PL推移!N22-月次PL!H16/1000),"nd")</f>
        <v>OK</v>
      </c>
      <c r="O3" s="193"/>
      <c r="P3" s="193" t="str">
        <f>IF(P22&lt;&gt;0,IF(P22=月次PL!I16/1000,"OK",PL推移!P22-月次PL!I16/1000),"nd")</f>
        <v>OK</v>
      </c>
      <c r="Q3" s="193"/>
      <c r="R3" s="193" t="str">
        <f>IF(R22&lt;&gt;0,IF(R22=月次PL!J16/1000,"OK",PL推移!R22-月次PL!J16/1000),"nd")</f>
        <v>OK</v>
      </c>
      <c r="S3" s="193"/>
      <c r="T3" s="193">
        <f>IF(T22&lt;&gt;0,IF(T22=月次PL!K16/1000,"OK",PL推移!T22-月次PL!K16/1000),"nd")</f>
        <v>1.706000000000131</v>
      </c>
      <c r="U3" s="193"/>
      <c r="V3" s="193" t="str">
        <f>IF(V22&lt;&gt;0,IF(V22=月次PL!L16/1000,"OK",PL推移!V22-月次PL!L16/1000),"nd")</f>
        <v>OK</v>
      </c>
      <c r="W3" s="193"/>
      <c r="X3" s="193" t="str">
        <f>IF(X22&lt;&gt;0,IF(X22=月次PL!M16/1000,"OK",PL推移!X22-月次PL!M16/1000),"nd")</f>
        <v>OK</v>
      </c>
      <c r="Y3" s="193"/>
      <c r="Z3" s="193" t="str">
        <f>IF(Z22&lt;&gt;0,IF(Z22=月次PL!N16/1000,"OK",PL推移!Z22-月次PL!N16/1000),"nd")</f>
        <v>OK</v>
      </c>
      <c r="AA3" s="193"/>
      <c r="AC3" s="484"/>
    </row>
    <row r="4" spans="1:38" s="192" customFormat="1" ht="12.75">
      <c r="C4" s="192" t="s">
        <v>248</v>
      </c>
      <c r="D4" s="193" t="str">
        <f>IF(D28&lt;&gt;0,IF(D28=月次PL!C44/1000,"OK",PL推移!D28-月次PL!C44/1000),"nd")</f>
        <v>OK</v>
      </c>
      <c r="E4" s="193"/>
      <c r="F4" s="193" t="str">
        <f>IF(F28&lt;&gt;0,IF(F28=月次PL!D44/1000,"OK",PL推移!F28-月次PL!D44/1000),"nd")</f>
        <v>OK</v>
      </c>
      <c r="G4" s="193"/>
      <c r="H4" s="193" t="str">
        <f>IF(H28&lt;&gt;0,IF(H28=月次PL!E44/1000,"OK",PL推移!H28-月次PL!E44/1000),"nd")</f>
        <v>OK</v>
      </c>
      <c r="I4" s="193"/>
      <c r="J4" s="193" t="str">
        <f>IF(J28&lt;&gt;0,IF(J28=月次PL!F44/1000,"OK",PL推移!J28-月次PL!F44/1000),"nd")</f>
        <v>OK</v>
      </c>
      <c r="K4" s="193"/>
      <c r="L4" s="193" t="str">
        <f>IF(L28&lt;&gt;0,IF(L28=月次PL!G44/1000,"OK",PL推移!L28-月次PL!G44/1000),"nd")</f>
        <v>OK</v>
      </c>
      <c r="M4" s="193"/>
      <c r="N4" s="193" t="str">
        <f>IF(N28&lt;&gt;0,IF(N28=月次PL!H44/1000,"OK",PL推移!N28-月次PL!H44/1000),"nd")</f>
        <v>OK</v>
      </c>
      <c r="O4" s="193"/>
      <c r="P4" s="193" t="str">
        <f>IF(P28&lt;&gt;0,IF(P28=月次PL!I44/1000,"OK",PL推移!P28-月次PL!I44/1000),"nd")</f>
        <v>OK</v>
      </c>
      <c r="Q4" s="193"/>
      <c r="R4" s="193" t="str">
        <f>IF(R28&lt;&gt;0,IF(R28=月次PL!J44/1000,"OK",PL推移!R28-月次PL!J44/1000),"nd")</f>
        <v>OK</v>
      </c>
      <c r="S4" s="193"/>
      <c r="T4" s="193" t="str">
        <f>IF(T28&lt;&gt;0,IF(T28=月次PL!K44/1000,"OK",PL推移!T28-月次PL!K44/1000),"nd")</f>
        <v>OK</v>
      </c>
      <c r="U4" s="193"/>
      <c r="V4" s="193" t="str">
        <f>IF(V28&lt;&gt;0,IF(V28=月次PL!L44/1000,"OK",PL推移!V28-月次PL!L44/1000),"nd")</f>
        <v>OK</v>
      </c>
      <c r="W4" s="193"/>
      <c r="X4" s="193" t="str">
        <f>IF(X28&lt;&gt;0,IF(X28=月次PL!M44/1000,"OK",PL推移!X28-月次PL!M44/1000),"nd")</f>
        <v>OK</v>
      </c>
      <c r="Y4" s="193"/>
      <c r="Z4" s="193" t="str">
        <f>IF(Z28&lt;&gt;0,IF(Z28=月次PL!N44/1000,"OK",PL推移!Z28-月次PL!N44/1000),"nd")</f>
        <v>OK</v>
      </c>
      <c r="AA4" s="193"/>
      <c r="AC4" s="484"/>
    </row>
    <row r="5" spans="1:38" s="192" customFormat="1" ht="12.75">
      <c r="C5" s="192" t="s">
        <v>196</v>
      </c>
      <c r="D5" s="193" t="str">
        <f>IF(D50&lt;&gt;0,IF(D50=月次PL!C45/1000,"OK",PL推移!D50-月次PL!C45/1000),"nd")</f>
        <v>OK</v>
      </c>
      <c r="E5" s="193"/>
      <c r="F5" s="193">
        <f>IF(F50&lt;&gt;0,IF(F50=月次PL!D45/1000,"OK",PL推移!F50-月次PL!D45/1000),"nd")</f>
        <v>-5.6843418860808015E-13</v>
      </c>
      <c r="G5" s="193"/>
      <c r="H5" s="193">
        <f>IF(H50&lt;&gt;0,IF(H50=月次PL!E45/1000,"OK",PL推移!H50-月次PL!E45/1000),"nd")</f>
        <v>-1.3642420526593924E-12</v>
      </c>
      <c r="I5" s="193"/>
      <c r="J5" s="193">
        <f>IF(J50&lt;&gt;0,IF(J50=月次PL!F45/1000,"OK",PL推移!J50-月次PL!F45/1000),"nd")</f>
        <v>-1.7408297026122455E-13</v>
      </c>
      <c r="K5" s="193"/>
      <c r="L5" s="193" t="str">
        <f>IF(L50&lt;&gt;0,IF(L50=月次PL!G45/1000,"OK",PL推移!L50-月次PL!G45/1000),"nd")</f>
        <v>OK</v>
      </c>
      <c r="M5" s="193"/>
      <c r="N5" s="193" t="str">
        <f>IF(N50&lt;&gt;0,IF(N50=月次PL!H45/1000,"OK",PL推移!N50-月次PL!H45/1000),"nd")</f>
        <v>OK</v>
      </c>
      <c r="O5" s="193"/>
      <c r="P5" s="193" t="str">
        <f>IF(P50&lt;&gt;0,IF(P50=月次PL!I45/1000,"OK",PL推移!P50-月次PL!I45/1000),"nd")</f>
        <v>OK</v>
      </c>
      <c r="Q5" s="193"/>
      <c r="R5" s="193" t="str">
        <f>IF(R50&lt;&gt;0,IF(R50=月次PL!J45/1000,"OK",PL推移!R50-月次PL!J45/1000),"nd")</f>
        <v>OK</v>
      </c>
      <c r="S5" s="193"/>
      <c r="T5" s="193">
        <f>IF(T50&lt;&gt;0,IF(T50=月次PL!K45/1000,"OK",PL推移!T50-月次PL!K45/1000),"nd")</f>
        <v>1.7060000000009268</v>
      </c>
      <c r="U5" s="193"/>
      <c r="V5" s="193" t="str">
        <f>IF(V50&lt;&gt;0,IF(V50=月次PL!L45/1000,"OK",PL推移!V50-月次PL!L45/1000),"nd")</f>
        <v>OK</v>
      </c>
      <c r="W5" s="193"/>
      <c r="X5" s="193">
        <f>IF(X50&lt;&gt;0,IF(X50=月次PL!M45/1000,"OK",PL推移!X50-月次PL!M45/1000),"nd")</f>
        <v>1.2505552149377763E-12</v>
      </c>
      <c r="Y5" s="193"/>
      <c r="Z5" s="193" t="str">
        <f>IF(Z50&lt;&gt;0,IF(Z50=月次PL!N45/1000,"OK",PL推移!Z50-月次PL!N45/1000),"nd")</f>
        <v>OK</v>
      </c>
      <c r="AA5" s="193"/>
      <c r="AC5" s="484"/>
    </row>
    <row r="6" spans="1:38" s="192" customFormat="1" ht="12.75">
      <c r="C6" s="192" t="s">
        <v>215</v>
      </c>
      <c r="D6" s="193">
        <f>IF(D54&lt;&gt;0,IF(D54=月次PL!C56/1000,"OK",PL推移!D54-月次PL!C56/1000),"nd")</f>
        <v>-3.5527136788005009E-13</v>
      </c>
      <c r="E6" s="193"/>
      <c r="F6" s="193">
        <f>IF(F54&lt;&gt;0,IF(F54=月次PL!D56/1000,"OK",PL推移!F54-月次PL!D56/1000),"nd")</f>
        <v>-5.6843418860808015E-13</v>
      </c>
      <c r="G6" s="193"/>
      <c r="H6" s="193">
        <f>IF(H54&lt;&gt;0,IF(H54=月次PL!E56/1000,"OK",PL推移!H54-月次PL!E56/1000),"nd")</f>
        <v>-1.4210854715202004E-12</v>
      </c>
      <c r="I6" s="193"/>
      <c r="J6" s="193" t="str">
        <f>IF(J54&lt;&gt;0,IF(J54=月次PL!F56/1000,"OK",PL推移!J54-月次PL!F56/1000),"nd")</f>
        <v>OK</v>
      </c>
      <c r="K6" s="193"/>
      <c r="L6" s="193" t="str">
        <f>IF(L54&lt;&gt;0,IF(L54=月次PL!G56/1000,"OK",PL推移!L54-月次PL!G56/1000),"nd")</f>
        <v>OK</v>
      </c>
      <c r="M6" s="193"/>
      <c r="N6" s="193" t="str">
        <f>IF(N54&lt;&gt;0,IF(N54=月次PL!H56/1000,"OK",PL推移!N54-月次PL!H56/1000),"nd")</f>
        <v>OK</v>
      </c>
      <c r="O6" s="193"/>
      <c r="P6" s="193" t="str">
        <f>IF(P54&lt;&gt;0,IF(P54=月次PL!I56/1000,"OK",PL推移!P54-月次PL!I56/1000),"nd")</f>
        <v>OK</v>
      </c>
      <c r="Q6" s="193"/>
      <c r="R6" s="193" t="str">
        <f>IF(R54&lt;&gt;0,IF(R54=月次PL!J56/1000,"OK",PL推移!R54-月次PL!J56/1000),"nd")</f>
        <v>OK</v>
      </c>
      <c r="S6" s="193"/>
      <c r="T6" s="193">
        <f>IF(T54&lt;&gt;0,IF(T54=月次PL!K56/1000,"OK",PL推移!T54-月次PL!K56/1000),"nd")</f>
        <v>1.7060000000009481</v>
      </c>
      <c r="U6" s="193"/>
      <c r="V6" s="193" t="str">
        <f>IF(V54&lt;&gt;0,IF(V54=月次PL!L56/1000,"OK",PL推移!V54-月次PL!L56/1000),"nd")</f>
        <v>OK</v>
      </c>
      <c r="W6" s="193"/>
      <c r="X6" s="193">
        <f>IF(X54&lt;&gt;0,IF(X54=月次PL!M56/1000,"OK",PL推移!X54-月次PL!M56/1000),"nd")</f>
        <v>1.2505552149377763E-12</v>
      </c>
      <c r="Y6" s="193"/>
      <c r="Z6" s="193" t="str">
        <f>IF(Z54&lt;&gt;0,IF(Z54=月次PL!N56/1000,"OK",PL推移!Z54-月次PL!N56/1000),"nd")</f>
        <v>OK</v>
      </c>
      <c r="AA6" s="193"/>
      <c r="AC6" s="484"/>
    </row>
    <row r="7" spans="1:38" ht="20.25" thickBot="1">
      <c r="B7" s="56" t="s">
        <v>158</v>
      </c>
      <c r="C7" s="47"/>
      <c r="D7" s="12" t="s">
        <v>153</v>
      </c>
      <c r="T7" s="2"/>
      <c r="V7" s="2"/>
      <c r="X7" s="2"/>
      <c r="Z7" s="2"/>
      <c r="AH7" s="192"/>
      <c r="AI7" s="192"/>
      <c r="AJ7" s="192"/>
      <c r="AK7" s="192"/>
      <c r="AL7" s="192"/>
    </row>
    <row r="8" spans="1:38" ht="16.899999999999999" thickBot="1">
      <c r="B8" s="47">
        <v>2025</v>
      </c>
      <c r="C8" s="47" t="s">
        <v>150</v>
      </c>
      <c r="D8" s="2" t="s">
        <v>152</v>
      </c>
      <c r="F8" s="17" t="s">
        <v>156</v>
      </c>
      <c r="G8" s="14" t="s">
        <v>154</v>
      </c>
      <c r="H8" s="15" t="s">
        <v>155</v>
      </c>
      <c r="I8" s="16" t="s">
        <v>439</v>
      </c>
      <c r="J8" s="309" t="s">
        <v>213</v>
      </c>
      <c r="T8" s="2"/>
      <c r="V8" s="2"/>
      <c r="X8" s="2"/>
      <c r="Z8" s="2"/>
    </row>
    <row r="9" spans="1:38" s="195" customFormat="1" ht="19.5" customHeight="1" thickBot="1">
      <c r="A9" s="194"/>
      <c r="B9" s="532" t="s">
        <v>151</v>
      </c>
      <c r="C9" s="532"/>
      <c r="D9" s="533" t="str">
        <f>+月次PL!C1</f>
        <v>7月</v>
      </c>
      <c r="E9" s="534"/>
      <c r="F9" s="535" t="str">
        <f>+月次PL!D1</f>
        <v>8月</v>
      </c>
      <c r="G9" s="534"/>
      <c r="H9" s="535" t="str">
        <f>+月次PL!E1</f>
        <v>9月</v>
      </c>
      <c r="I9" s="534"/>
      <c r="J9" s="535" t="str">
        <f>+月次PL!F1</f>
        <v>10月</v>
      </c>
      <c r="K9" s="534"/>
      <c r="L9" s="535" t="str">
        <f>+月次PL!G1</f>
        <v>11月</v>
      </c>
      <c r="M9" s="534"/>
      <c r="N9" s="535" t="str">
        <f>+月次PL!H1</f>
        <v>12月</v>
      </c>
      <c r="O9" s="534"/>
      <c r="P9" s="535" t="str">
        <f>+月次PL!I1</f>
        <v>1月</v>
      </c>
      <c r="Q9" s="534"/>
      <c r="R9" s="535" t="str">
        <f>+月次PL!J1</f>
        <v>2月</v>
      </c>
      <c r="S9" s="534"/>
      <c r="T9" s="535">
        <f>+月次PL!K1</f>
        <v>3</v>
      </c>
      <c r="U9" s="534"/>
      <c r="V9" s="535">
        <f>+月次PL!L1</f>
        <v>4</v>
      </c>
      <c r="W9" s="534"/>
      <c r="X9" s="535" t="str">
        <f>+月次PL!M1</f>
        <v>5月</v>
      </c>
      <c r="Y9" s="534"/>
      <c r="Z9" s="535" t="str">
        <f>+月次PL!N1</f>
        <v>6月</v>
      </c>
      <c r="AA9" s="536"/>
      <c r="AB9" s="479"/>
      <c r="AC9" s="485"/>
    </row>
    <row r="10" spans="1:38" s="47" customFormat="1" ht="16.899999999999999" thickTop="1">
      <c r="B10" s="47" t="s">
        <v>138</v>
      </c>
      <c r="D10" s="148">
        <f>+月次PL!C8/1000</f>
        <v>9274.5740000000005</v>
      </c>
      <c r="E10" s="72">
        <f>IF(D$10&lt;&gt;0,D10/D$10,0)</f>
        <v>1</v>
      </c>
      <c r="F10" s="71">
        <f>+月次PL!D8/1000</f>
        <v>9965.9179999999997</v>
      </c>
      <c r="G10" s="72">
        <f>IF(F$10&lt;&gt;0,F10/F$10,0)</f>
        <v>1</v>
      </c>
      <c r="H10" s="71">
        <f>+月次PL!E8/1000</f>
        <v>7867.9629999999997</v>
      </c>
      <c r="I10" s="72">
        <f>IF(H$10&lt;&gt;0,H10/H$10,0)</f>
        <v>1</v>
      </c>
      <c r="J10" s="71">
        <f>+月次PL!F8/1000</f>
        <v>8303.9140000000007</v>
      </c>
      <c r="K10" s="72">
        <f>IF(J$10&lt;&gt;0,J10/J$10,0)</f>
        <v>1</v>
      </c>
      <c r="L10" s="71">
        <f>+月次PL!G8/1000</f>
        <v>8180.9809999999998</v>
      </c>
      <c r="M10" s="72">
        <f>IF(L$10&lt;&gt;0,L10/L$10,0)</f>
        <v>1</v>
      </c>
      <c r="N10" s="71">
        <f>+月次PL!H8/1000</f>
        <v>11655.276</v>
      </c>
      <c r="O10" s="72">
        <f>IF(N$10&lt;&gt;0,N10/N$10,0)</f>
        <v>1</v>
      </c>
      <c r="P10" s="71">
        <f>+月次PL!I8/1000</f>
        <v>7802.1909999999998</v>
      </c>
      <c r="Q10" s="72">
        <f>IF(P$10&lt;&gt;0,P10/P$10,0)</f>
        <v>1</v>
      </c>
      <c r="R10" s="71">
        <f>+月次PL!J8/1000</f>
        <v>8081.41</v>
      </c>
      <c r="S10" s="72">
        <f>IF(R$10&lt;&gt;0,R10/R$10,0)</f>
        <v>1</v>
      </c>
      <c r="T10" s="71">
        <f>SUM(T11:T15)+350-11</f>
        <v>8746</v>
      </c>
      <c r="U10" s="72">
        <f>IF(T$10&lt;&gt;0,T10/T$10,0)</f>
        <v>1</v>
      </c>
      <c r="V10" s="71">
        <f>+月次PL!L8/1000</f>
        <v>7203.9939999999997</v>
      </c>
      <c r="W10" s="72">
        <f>IF(V$10&lt;&gt;0,V10/V$10,0)</f>
        <v>1</v>
      </c>
      <c r="X10" s="71">
        <f>+月次PL!M8/1000</f>
        <v>7595.88</v>
      </c>
      <c r="Y10" s="72">
        <f>IF(X$10&lt;&gt;0,X10/X$10,0)</f>
        <v>1</v>
      </c>
      <c r="Z10" s="71">
        <f>+月次PL!N8/1000</f>
        <v>7697.2430000000004</v>
      </c>
      <c r="AA10" s="469">
        <f>IF(Z$10&lt;&gt;0,Z10/Z$10,0)</f>
        <v>1</v>
      </c>
      <c r="AB10" s="480"/>
      <c r="AC10" s="486"/>
    </row>
    <row r="11" spans="1:38" s="177" customFormat="1">
      <c r="C11" s="181" t="s">
        <v>225</v>
      </c>
      <c r="D11" s="182">
        <v>6973</v>
      </c>
      <c r="E11" s="183">
        <f>IF(D$10&lt;&gt;0,D11/D$10,0)</f>
        <v>0.75184046189075637</v>
      </c>
      <c r="F11" s="184">
        <v>6864</v>
      </c>
      <c r="G11" s="183">
        <f>IF(F$10&lt;&gt;0,F11/F$10,0)</f>
        <v>0.68874738885068088</v>
      </c>
      <c r="H11" s="184">
        <v>5812</v>
      </c>
      <c r="I11" s="183">
        <f>IF(H$10&lt;&gt;0,H11/H$10,0)</f>
        <v>0.73869183167231467</v>
      </c>
      <c r="J11" s="184">
        <v>5700</v>
      </c>
      <c r="K11" s="183">
        <f>IF(J$10&lt;&gt;0,J11/J$10,0)</f>
        <v>0.6864232938828605</v>
      </c>
      <c r="L11" s="184">
        <v>6255</v>
      </c>
      <c r="M11" s="183">
        <f>IF(L$10&lt;&gt;0,L11/L$10,0)</f>
        <v>0.76457823334389852</v>
      </c>
      <c r="N11" s="184">
        <v>9574</v>
      </c>
      <c r="O11" s="183">
        <f>IF(N$10&lt;&gt;0,N11/N$10,0)</f>
        <v>0.82143056929754388</v>
      </c>
      <c r="P11" s="184">
        <v>5703</v>
      </c>
      <c r="Q11" s="183">
        <f>IF(P$10&lt;&gt;0,P11/P$10,0)</f>
        <v>0.73094852458751658</v>
      </c>
      <c r="R11" s="184">
        <v>6142</v>
      </c>
      <c r="S11" s="183">
        <f>IF(R$10&lt;&gt;0,R11/R$10,0)</f>
        <v>0.76001588831651901</v>
      </c>
      <c r="T11" s="184">
        <v>6615</v>
      </c>
      <c r="U11" s="183">
        <f>IF(T$10&lt;&gt;0,T11/T$10,0)</f>
        <v>0.75634575806082782</v>
      </c>
      <c r="V11" s="184">
        <v>4998</v>
      </c>
      <c r="W11" s="183">
        <f>IF(V$10&lt;&gt;0,V11/V$10,0)</f>
        <v>0.69378181047902043</v>
      </c>
      <c r="X11" s="184">
        <v>5401</v>
      </c>
      <c r="Y11" s="183">
        <f>IF(X$10&lt;&gt;0,X11/X$10,0)</f>
        <v>0.71104335508196548</v>
      </c>
      <c r="Z11" s="184">
        <v>5367</v>
      </c>
      <c r="AA11" s="470">
        <f>IF(Z$10&lt;&gt;0,Z11/Z$10,0)</f>
        <v>0.6972626432607103</v>
      </c>
      <c r="AB11" s="481"/>
      <c r="AC11" s="487"/>
    </row>
    <row r="12" spans="1:38" s="177" customFormat="1">
      <c r="C12" s="185" t="s">
        <v>139</v>
      </c>
      <c r="D12" s="186">
        <v>573</v>
      </c>
      <c r="E12" s="40">
        <f>IF(D$10&lt;&gt;0,D12/D$10,0)</f>
        <v>6.1781813374932368E-2</v>
      </c>
      <c r="F12" s="187">
        <v>597</v>
      </c>
      <c r="G12" s="40">
        <f>IF(F$10&lt;&gt;0,F12/F$10,0)</f>
        <v>5.9904165376435968E-2</v>
      </c>
      <c r="H12" s="187">
        <v>602</v>
      </c>
      <c r="I12" s="40">
        <f>IF(H$10&lt;&gt;0,H12/H$10,0)</f>
        <v>7.6512815324627226E-2</v>
      </c>
      <c r="J12" s="187">
        <v>580</v>
      </c>
      <c r="K12" s="40">
        <f>IF(J$10&lt;&gt;0,J12/J$10,0)</f>
        <v>6.9846580781062997E-2</v>
      </c>
      <c r="L12" s="187">
        <v>531</v>
      </c>
      <c r="M12" s="40">
        <f>IF(L$10&lt;&gt;0,L12/L$10,0)</f>
        <v>6.4906641391784189E-2</v>
      </c>
      <c r="N12" s="187">
        <v>558</v>
      </c>
      <c r="O12" s="40">
        <f>IF(N$10&lt;&gt;0,N12/N$10,0)</f>
        <v>4.7875314149574834E-2</v>
      </c>
      <c r="P12" s="187">
        <v>590</v>
      </c>
      <c r="Q12" s="40">
        <f>IF(P$10&lt;&gt;0,P12/P$10,0)</f>
        <v>7.5619784237530199E-2</v>
      </c>
      <c r="R12" s="187">
        <v>596</v>
      </c>
      <c r="S12" s="40">
        <f>IF(R$10&lt;&gt;0,R12/R$10,0)</f>
        <v>7.3749506583628346E-2</v>
      </c>
      <c r="T12" s="187">
        <v>606</v>
      </c>
      <c r="U12" s="40">
        <f>IF(T$10&lt;&gt;0,T12/T$10,0)</f>
        <v>6.9288817745254971E-2</v>
      </c>
      <c r="V12" s="187">
        <v>541</v>
      </c>
      <c r="W12" s="40">
        <f>IF(V$10&lt;&gt;0,V12/V$10,0)</f>
        <v>7.509723078614447E-2</v>
      </c>
      <c r="X12" s="187">
        <v>611</v>
      </c>
      <c r="Y12" s="40">
        <f>IF(X$10&lt;&gt;0,X12/X$10,0)</f>
        <v>8.043834289114625E-2</v>
      </c>
      <c r="Z12" s="187">
        <v>600</v>
      </c>
      <c r="AA12" s="471">
        <f>IF(Z$10&lt;&gt;0,Z12/Z$10,0)</f>
        <v>7.7949988067155987E-2</v>
      </c>
      <c r="AB12" s="481"/>
      <c r="AC12" s="487"/>
    </row>
    <row r="13" spans="1:38" s="177" customFormat="1">
      <c r="C13" s="178" t="s">
        <v>226</v>
      </c>
      <c r="D13" s="179">
        <v>464</v>
      </c>
      <c r="E13" s="147">
        <f t="shared" ref="E13:E15" si="0">IF(D$10&lt;&gt;0,D13/D$10,0)</f>
        <v>5.002925201739724E-2</v>
      </c>
      <c r="F13" s="180">
        <v>361</v>
      </c>
      <c r="G13" s="147">
        <f t="shared" ref="G13:I13" si="1">IF(F$10&lt;&gt;0,F13/F$10,0)</f>
        <v>3.622345678541606E-2</v>
      </c>
      <c r="H13" s="180">
        <v>266</v>
      </c>
      <c r="I13" s="147">
        <f t="shared" si="1"/>
        <v>3.3807988166695752E-2</v>
      </c>
      <c r="J13" s="180">
        <v>209</v>
      </c>
      <c r="K13" s="147">
        <f t="shared" ref="K13" si="2">IF(J$10&lt;&gt;0,J13/J$10,0)</f>
        <v>2.5168854109038217E-2</v>
      </c>
      <c r="L13" s="180">
        <v>279</v>
      </c>
      <c r="M13" s="147">
        <f t="shared" ref="M13" si="3">IF(L$10&lt;&gt;0,L13/L$10,0)</f>
        <v>3.4103489544835761E-2</v>
      </c>
      <c r="N13" s="180">
        <v>318</v>
      </c>
      <c r="O13" s="147">
        <f t="shared" ref="O13" si="4">IF(N$10&lt;&gt;0,N13/N$10,0)</f>
        <v>2.7283781182015767E-2</v>
      </c>
      <c r="P13" s="180">
        <v>337</v>
      </c>
      <c r="Q13" s="147">
        <f t="shared" ref="Q13" si="5">IF(P$10&lt;&gt;0,P13/P$10,0)</f>
        <v>4.3192995403470644E-2</v>
      </c>
      <c r="R13" s="180">
        <v>243</v>
      </c>
      <c r="S13" s="147">
        <f t="shared" ref="S13" si="6">IF(R$10&lt;&gt;0,R13/R$10,0)</f>
        <v>3.0069010234600152E-2</v>
      </c>
      <c r="T13" s="180">
        <v>371</v>
      </c>
      <c r="U13" s="147">
        <f t="shared" ref="U13" si="7">IF(T$10&lt;&gt;0,T13/T$10,0)</f>
        <v>4.2419391721930023E-2</v>
      </c>
      <c r="V13" s="180">
        <v>421</v>
      </c>
      <c r="W13" s="147">
        <f t="shared" ref="W13" si="8">IF(V$10&lt;&gt;0,V13/V$10,0)</f>
        <v>5.8439804364079154E-2</v>
      </c>
      <c r="X13" s="180">
        <v>460</v>
      </c>
      <c r="Y13" s="147">
        <f t="shared" ref="Y13" si="9">IF(X$10&lt;&gt;0,X13/X$10,0)</f>
        <v>6.0559145220830238E-2</v>
      </c>
      <c r="Z13" s="180">
        <v>444</v>
      </c>
      <c r="AA13" s="472">
        <f t="shared" ref="AA13" si="10">IF(Z$10&lt;&gt;0,Z13/Z$10,0)</f>
        <v>5.7682991169695434E-2</v>
      </c>
      <c r="AB13" s="483">
        <f>+D13+F13+H13+J13+L13+N13+P13+R13+T13</f>
        <v>2848</v>
      </c>
      <c r="AC13" s="487"/>
    </row>
    <row r="14" spans="1:38" s="177" customFormat="1">
      <c r="B14" s="303"/>
      <c r="C14" s="185" t="s">
        <v>370</v>
      </c>
      <c r="D14" s="186">
        <v>129</v>
      </c>
      <c r="E14" s="40">
        <f>IF(D$10&lt;&gt;0,D14/D$10,0)</f>
        <v>1.3908994634147078E-2</v>
      </c>
      <c r="F14" s="187">
        <v>180</v>
      </c>
      <c r="G14" s="40">
        <f>IF(F$10&lt;&gt;0,F14/F$10,0)</f>
        <v>1.8061557399930442E-2</v>
      </c>
      <c r="H14" s="187">
        <v>72</v>
      </c>
      <c r="I14" s="40">
        <f>IF(H$10&lt;&gt;0,H14/H$10,0)</f>
        <v>9.1510343909853159E-3</v>
      </c>
      <c r="J14" s="187">
        <v>283</v>
      </c>
      <c r="K14" s="40">
        <f>IF(J$10&lt;&gt;0,J14/J$10,0)</f>
        <v>3.4080314415587634E-2</v>
      </c>
      <c r="L14" s="187">
        <v>123</v>
      </c>
      <c r="M14" s="40">
        <f>IF(L$10&lt;&gt;0,L14/L$10,0)</f>
        <v>1.5034871734820066E-2</v>
      </c>
      <c r="N14" s="187">
        <v>131</v>
      </c>
      <c r="O14" s="40">
        <f>IF(N$10&lt;&gt;0,N14/N$10,0)</f>
        <v>1.1239545078125992E-2</v>
      </c>
      <c r="P14" s="187">
        <v>106</v>
      </c>
      <c r="Q14" s="40">
        <f>IF(P$10&lt;&gt;0,P14/P$10,0)</f>
        <v>1.3585927337590172E-2</v>
      </c>
      <c r="R14" s="187">
        <v>90</v>
      </c>
      <c r="S14" s="40">
        <f>IF(R$10&lt;&gt;0,R14/R$10,0)</f>
        <v>1.1136670457259315E-2</v>
      </c>
      <c r="T14" s="187">
        <v>125</v>
      </c>
      <c r="U14" s="40">
        <f>IF(T$10&lt;&gt;0,T14/T$10,0)</f>
        <v>1.4292247884747313E-2</v>
      </c>
      <c r="V14" s="187">
        <v>100</v>
      </c>
      <c r="W14" s="40">
        <f>IF(V$10&lt;&gt;0,V14/V$10,0)</f>
        <v>1.3881188685054431E-2</v>
      </c>
      <c r="X14" s="187">
        <v>83</v>
      </c>
      <c r="Y14" s="40">
        <f>IF(X$10&lt;&gt;0,X14/X$10,0)</f>
        <v>1.0926976202888935E-2</v>
      </c>
      <c r="Z14" s="187">
        <v>75</v>
      </c>
      <c r="AA14" s="471">
        <f>IF(Z$10&lt;&gt;0,Z14/Z$10,0)</f>
        <v>9.7437485083944984E-3</v>
      </c>
      <c r="AB14" s="481"/>
      <c r="AC14" s="487"/>
    </row>
    <row r="15" spans="1:38" s="188" customFormat="1">
      <c r="C15" s="304" t="s">
        <v>227</v>
      </c>
      <c r="D15" s="305">
        <v>786</v>
      </c>
      <c r="E15" s="306">
        <f t="shared" si="0"/>
        <v>8.4747827770849632E-2</v>
      </c>
      <c r="F15" s="307">
        <v>1614</v>
      </c>
      <c r="G15" s="306">
        <f t="shared" ref="G15:I15" si="11">IF(F$10&lt;&gt;0,F15/F$10,0)</f>
        <v>0.16195196468604298</v>
      </c>
      <c r="H15" s="307">
        <v>765</v>
      </c>
      <c r="I15" s="306">
        <f t="shared" si="11"/>
        <v>9.7229740404218987E-2</v>
      </c>
      <c r="J15" s="307">
        <v>1191</v>
      </c>
      <c r="K15" s="306">
        <f t="shared" ref="K15" si="12">IF(J$10&lt;&gt;0,J15/J$10,0)</f>
        <v>0.14342634087973452</v>
      </c>
      <c r="L15" s="307">
        <v>643</v>
      </c>
      <c r="M15" s="306">
        <f t="shared" ref="M15" si="13">IF(L$10&lt;&gt;0,L15/L$10,0)</f>
        <v>7.859693110153905E-2</v>
      </c>
      <c r="N15" s="307">
        <v>1021</v>
      </c>
      <c r="O15" s="306">
        <f t="shared" ref="O15" si="14">IF(N$10&lt;&gt;0,N15/N$10,0)</f>
        <v>8.7599813166157545E-2</v>
      </c>
      <c r="P15" s="307">
        <v>716</v>
      </c>
      <c r="Q15" s="306">
        <f t="shared" ref="Q15" si="15">IF(P$10&lt;&gt;0,P15/P$10,0)</f>
        <v>9.1769094091646825E-2</v>
      </c>
      <c r="R15" s="307">
        <v>646</v>
      </c>
      <c r="S15" s="306">
        <f t="shared" ref="S15" si="16">IF(R$10&lt;&gt;0,R15/R$10,0)</f>
        <v>7.9936545726550193E-2</v>
      </c>
      <c r="T15" s="307">
        <v>690</v>
      </c>
      <c r="U15" s="306">
        <f t="shared" ref="U15" si="17">IF(T$10&lt;&gt;0,T15/T$10,0)</f>
        <v>7.889320832380517E-2</v>
      </c>
      <c r="V15" s="307">
        <v>604</v>
      </c>
      <c r="W15" s="306">
        <f t="shared" ref="W15" si="18">IF(V$10&lt;&gt;0,V15/V$10,0)</f>
        <v>8.3842379657728755E-2</v>
      </c>
      <c r="X15" s="307">
        <v>553</v>
      </c>
      <c r="Y15" s="306">
        <f t="shared" ref="Y15" si="19">IF(X$10&lt;&gt;0,X15/X$10,0)</f>
        <v>7.2802624580693739E-2</v>
      </c>
      <c r="Z15" s="307">
        <v>565</v>
      </c>
      <c r="AA15" s="473">
        <f t="shared" ref="AA15" si="20">IF(Z$10&lt;&gt;0,Z15/Z$10,0)</f>
        <v>7.3402905429905227E-2</v>
      </c>
      <c r="AB15" s="304"/>
      <c r="AC15" s="488"/>
    </row>
    <row r="16" spans="1:38" s="47" customFormat="1">
      <c r="B16" s="47" t="s">
        <v>141</v>
      </c>
      <c r="D16" s="148">
        <f>+月次PL!C15/1000</f>
        <v>2134.92</v>
      </c>
      <c r="E16" s="72">
        <f>IF(D$10&lt;&gt;0,D16/D$10,0)</f>
        <v>0.23019062654521921</v>
      </c>
      <c r="F16" s="71">
        <f>+月次PL!D15/1000</f>
        <v>2119.4160000000002</v>
      </c>
      <c r="G16" s="72">
        <f>IF(F$10&lt;&gt;0,F16/F$10,0)</f>
        <v>0.21266640965739436</v>
      </c>
      <c r="H16" s="71">
        <f>+月次PL!E15/1000</f>
        <v>1606.557</v>
      </c>
      <c r="I16" s="72">
        <f>IF(H$10&lt;&gt;0,H16/H$10,0)</f>
        <v>0.20418969941775272</v>
      </c>
      <c r="J16" s="71">
        <f>+月次PL!F15/1000</f>
        <v>1700.604</v>
      </c>
      <c r="K16" s="72">
        <f>IF(J$10&lt;&gt;0,J16/J$10,0)</f>
        <v>0.20479547355620492</v>
      </c>
      <c r="L16" s="71">
        <f>+月次PL!G15/1000</f>
        <v>1780.96</v>
      </c>
      <c r="M16" s="72">
        <f>IF(L$10&lt;&gt;0,L16/L$10,0)</f>
        <v>0.21769516394183047</v>
      </c>
      <c r="N16" s="71">
        <f>+月次PL!H15/1000</f>
        <v>2735.2739999999999</v>
      </c>
      <c r="O16" s="72">
        <f>IF(N$10&lt;&gt;0,N16/N$10,0)</f>
        <v>0.23468118644294653</v>
      </c>
      <c r="P16" s="71">
        <f>+月次PL!I15/1000</f>
        <v>1730.4780000000001</v>
      </c>
      <c r="Q16" s="72">
        <f>IF(P$10&lt;&gt;0,P16/P$10,0)</f>
        <v>0.22179385252168271</v>
      </c>
      <c r="R16" s="71">
        <f>+月次PL!J15/1000</f>
        <v>1869.5530000000001</v>
      </c>
      <c r="S16" s="72">
        <f>IF(R$10&lt;&gt;0,R16/R$10,0)</f>
        <v>0.23133995181533917</v>
      </c>
      <c r="T16" s="71">
        <f>+月次PL!K15/1000</f>
        <v>2027.335</v>
      </c>
      <c r="U16" s="72">
        <f>IF(T$10&lt;&gt;0,T16/T$10,0)</f>
        <v>0.23180139492339355</v>
      </c>
      <c r="V16" s="71">
        <f>+月次PL!L15/1000</f>
        <v>1978.7280000000001</v>
      </c>
      <c r="W16" s="72">
        <f>IF(V$10&lt;&gt;0,V16/V$10,0)</f>
        <v>0.27467096724400386</v>
      </c>
      <c r="X16" s="71">
        <f>+月次PL!M15/1000</f>
        <v>1982.5239999999999</v>
      </c>
      <c r="Y16" s="72">
        <f>IF(X$10&lt;&gt;0,X16/X$10,0)</f>
        <v>0.26099991047778531</v>
      </c>
      <c r="Z16" s="71">
        <f>+月次PL!N15/1000</f>
        <v>1865.9380000000001</v>
      </c>
      <c r="AA16" s="469">
        <f>IF(Z$10&lt;&gt;0,Z16/Z$10,0)</f>
        <v>0.24241640805675488</v>
      </c>
      <c r="AB16" s="480"/>
      <c r="AC16" s="486"/>
    </row>
    <row r="17" spans="2:29" s="177" customFormat="1">
      <c r="C17" s="189" t="str">
        <f>+C11</f>
        <v>恵愛</v>
      </c>
      <c r="D17" s="190">
        <v>1815</v>
      </c>
      <c r="E17" s="79">
        <f>IF(D11&lt;&gt;0,D17/D11,0)</f>
        <v>0.26028968879965581</v>
      </c>
      <c r="F17" s="191">
        <v>1783</v>
      </c>
      <c r="G17" s="79">
        <f>IF(F11&lt;&gt;0,F17/F11,0)</f>
        <v>0.25976107226107226</v>
      </c>
      <c r="H17" s="191">
        <v>1374</v>
      </c>
      <c r="I17" s="79">
        <f>IF(H11&lt;&gt;0,H17/H11,0)</f>
        <v>0.23640743289745356</v>
      </c>
      <c r="J17" s="191">
        <v>1329</v>
      </c>
      <c r="K17" s="79">
        <f>IF(J11&lt;&gt;0,J17/J11,0)</f>
        <v>0.23315789473684209</v>
      </c>
      <c r="L17" s="191">
        <v>1535</v>
      </c>
      <c r="M17" s="79">
        <f>IF(L11&lt;&gt;0,L17/L11,0)</f>
        <v>0.24540367705835331</v>
      </c>
      <c r="N17" s="191">
        <v>2301</v>
      </c>
      <c r="O17" s="79">
        <f>IF(N11&lt;&gt;0,N17/N11,0)</f>
        <v>0.24033841654480886</v>
      </c>
      <c r="P17" s="191">
        <v>1459</v>
      </c>
      <c r="Q17" s="79">
        <f>IF(P11&lt;&gt;0,P17/P11,0)</f>
        <v>0.25583026477292653</v>
      </c>
      <c r="R17" s="191">
        <v>1573</v>
      </c>
      <c r="S17" s="79">
        <f>IF(R11&lt;&gt;0,R17/R11,0)</f>
        <v>0.25610550309345492</v>
      </c>
      <c r="T17" s="191">
        <v>1698</v>
      </c>
      <c r="U17" s="79">
        <f>IF(T11&lt;&gt;0,T17/T11,0)</f>
        <v>0.25668934240362812</v>
      </c>
      <c r="V17" s="191">
        <v>1609</v>
      </c>
      <c r="W17" s="79">
        <f>IF(V11&lt;&gt;0,V17/V11,0)</f>
        <v>0.32192877150860344</v>
      </c>
      <c r="X17" s="191">
        <v>1737</v>
      </c>
      <c r="Y17" s="79">
        <f>IF(X11&lt;&gt;0,X17/X11,0)</f>
        <v>0.32160710979448248</v>
      </c>
      <c r="Z17" s="191">
        <v>1556</v>
      </c>
      <c r="AA17" s="474">
        <f>IF(Z11&lt;&gt;0,Z17/Z11,0)</f>
        <v>0.28991988075274827</v>
      </c>
      <c r="AB17" s="481"/>
      <c r="AC17" s="487"/>
    </row>
    <row r="18" spans="2:29" s="177" customFormat="1">
      <c r="C18" s="185" t="str">
        <f>+C12</f>
        <v>村</v>
      </c>
      <c r="D18" s="186">
        <v>65</v>
      </c>
      <c r="E18" s="40">
        <f>IF(D12&lt;&gt;0,D18/D12,0)</f>
        <v>0.11343804537521815</v>
      </c>
      <c r="F18" s="187">
        <v>78</v>
      </c>
      <c r="G18" s="40">
        <f>IF(F12&lt;&gt;0,F18/F12,0)</f>
        <v>0.1306532663316583</v>
      </c>
      <c r="H18" s="187">
        <v>59</v>
      </c>
      <c r="I18" s="40">
        <f>IF(H12&lt;&gt;0,H18/H12,0)</f>
        <v>9.8006644518272429E-2</v>
      </c>
      <c r="J18" s="187">
        <v>145</v>
      </c>
      <c r="K18" s="40">
        <f>IF(J12&lt;&gt;0,J18/J12,0)</f>
        <v>0.25</v>
      </c>
      <c r="L18" s="187">
        <v>69</v>
      </c>
      <c r="M18" s="40">
        <f>IF(L12&lt;&gt;0,L18/L12,0)</f>
        <v>0.12994350282485875</v>
      </c>
      <c r="N18" s="187">
        <v>142</v>
      </c>
      <c r="O18" s="40">
        <f>IF(N12&lt;&gt;0,N18/N12,0)</f>
        <v>0.25448028673835127</v>
      </c>
      <c r="P18" s="187">
        <v>87</v>
      </c>
      <c r="Q18" s="40">
        <f>IF(P12&lt;&gt;0,P18/P12,0)</f>
        <v>0.14745762711864407</v>
      </c>
      <c r="R18" s="187">
        <v>100</v>
      </c>
      <c r="S18" s="40">
        <f>IF(R12&lt;&gt;0,R18/R12,0)</f>
        <v>0.16778523489932887</v>
      </c>
      <c r="T18" s="187">
        <v>110</v>
      </c>
      <c r="U18" s="40">
        <f>IF(T12&lt;&gt;0,T18/T12,0)</f>
        <v>0.18151815181518152</v>
      </c>
      <c r="V18" s="187">
        <v>135</v>
      </c>
      <c r="W18" s="40">
        <f>IF(V12&lt;&gt;0,V18/V12,0)</f>
        <v>0.24953789279112754</v>
      </c>
      <c r="X18" s="187">
        <v>102</v>
      </c>
      <c r="Y18" s="40">
        <f>IF(X12&lt;&gt;0,X18/X12,0)</f>
        <v>0.16693944353518822</v>
      </c>
      <c r="Z18" s="187">
        <v>66</v>
      </c>
      <c r="AA18" s="471">
        <f>IF(Z12&lt;&gt;0,Z18/Z12,0)</f>
        <v>0.11</v>
      </c>
      <c r="AB18" s="481"/>
      <c r="AC18" s="487"/>
    </row>
    <row r="19" spans="2:29" s="177" customFormat="1">
      <c r="C19" s="178" t="str">
        <f>+C13</f>
        <v>弁当</v>
      </c>
      <c r="D19" s="179">
        <v>148</v>
      </c>
      <c r="E19" s="40">
        <f>IF(D13&lt;&gt;0,D19/D13,0)</f>
        <v>0.31896551724137934</v>
      </c>
      <c r="F19" s="180">
        <v>158</v>
      </c>
      <c r="G19" s="40">
        <f>IF(F13&lt;&gt;0,F19/F13,0)</f>
        <v>0.4376731301939058</v>
      </c>
      <c r="H19" s="180">
        <v>135</v>
      </c>
      <c r="I19" s="40">
        <f>IF(H13&lt;&gt;0,H19/H13,0)</f>
        <v>0.50751879699248126</v>
      </c>
      <c r="J19" s="180">
        <v>100</v>
      </c>
      <c r="K19" s="40">
        <f>IF(J13&lt;&gt;0,J19/J13,0)</f>
        <v>0.4784688995215311</v>
      </c>
      <c r="L19" s="180">
        <v>133</v>
      </c>
      <c r="M19" s="40">
        <f>IF(L13&lt;&gt;0,L19/L13,0)</f>
        <v>0.47670250896057348</v>
      </c>
      <c r="N19" s="180">
        <v>129</v>
      </c>
      <c r="O19" s="40">
        <f>IF(N13&lt;&gt;0,N19/N13,0)</f>
        <v>0.40566037735849059</v>
      </c>
      <c r="P19" s="180">
        <v>148</v>
      </c>
      <c r="Q19" s="40">
        <f>IF(P13&lt;&gt;0,P19/P13,0)</f>
        <v>0.43916913946587538</v>
      </c>
      <c r="R19" s="180">
        <v>130</v>
      </c>
      <c r="S19" s="40">
        <f>IF(R13&lt;&gt;0,R19/R13,0)</f>
        <v>0.53497942386831276</v>
      </c>
      <c r="T19" s="180">
        <v>148</v>
      </c>
      <c r="U19" s="40">
        <f>IF(T13&lt;&gt;0,T19/T13,0)</f>
        <v>0.39892183288409705</v>
      </c>
      <c r="V19" s="180">
        <v>163</v>
      </c>
      <c r="W19" s="40">
        <f>IF(V13&lt;&gt;0,V19/V13,0)</f>
        <v>0.38717339667458434</v>
      </c>
      <c r="X19" s="180">
        <v>131</v>
      </c>
      <c r="Y19" s="40">
        <f>IF(X13&lt;&gt;0,X19/X13,0)</f>
        <v>0.2847826086956522</v>
      </c>
      <c r="Z19" s="180">
        <v>197</v>
      </c>
      <c r="AA19" s="471">
        <f>IF(Z13&lt;&gt;0,Z19/Z13,0)</f>
        <v>0.44369369369369371</v>
      </c>
      <c r="AB19" s="483">
        <f>+D19+F19+H19+J19+L19+N19+P19+R19+T19</f>
        <v>1229</v>
      </c>
      <c r="AC19" s="487">
        <f>+AB19/AB13</f>
        <v>0.4315308988764045</v>
      </c>
    </row>
    <row r="20" spans="2:29" s="177" customFormat="1">
      <c r="B20" s="303"/>
      <c r="C20" s="185" t="str">
        <f>+C14</f>
        <v>シェア</v>
      </c>
      <c r="D20" s="186">
        <v>39</v>
      </c>
      <c r="E20" s="40">
        <f>IF(D14&lt;&gt;0,D20/D14,0)</f>
        <v>0.30232558139534882</v>
      </c>
      <c r="F20" s="187">
        <v>54</v>
      </c>
      <c r="G20" s="40">
        <f>IF(F14&lt;&gt;0,F20/F14,0)</f>
        <v>0.3</v>
      </c>
      <c r="H20" s="187">
        <v>22</v>
      </c>
      <c r="I20" s="40">
        <f>IF(H14&lt;&gt;0,H20/H14,0)</f>
        <v>0.30555555555555558</v>
      </c>
      <c r="J20" s="187">
        <v>84</v>
      </c>
      <c r="K20" s="40">
        <f>IF(J14&lt;&gt;0,J20/J14,0)</f>
        <v>0.29681978798586572</v>
      </c>
      <c r="L20" s="187">
        <v>37</v>
      </c>
      <c r="M20" s="40">
        <f>IF(L14&lt;&gt;0,L20/L14,0)</f>
        <v>0.30081300813008133</v>
      </c>
      <c r="N20" s="187">
        <v>44</v>
      </c>
      <c r="O20" s="40">
        <f>IF(N14&lt;&gt;0,N20/N14,0)</f>
        <v>0.33587786259541985</v>
      </c>
      <c r="P20" s="187">
        <v>32</v>
      </c>
      <c r="Q20" s="40">
        <f>IF(P14&lt;&gt;0,P20/P14,0)</f>
        <v>0.30188679245283018</v>
      </c>
      <c r="R20" s="187">
        <v>27</v>
      </c>
      <c r="S20" s="40">
        <f>IF(R14&lt;&gt;0,R20/R14,0)</f>
        <v>0.3</v>
      </c>
      <c r="T20" s="187">
        <v>38</v>
      </c>
      <c r="U20" s="40">
        <f>IF(T14&lt;&gt;0,T20/T14,0)</f>
        <v>0.30399999999999999</v>
      </c>
      <c r="V20" s="187">
        <v>30</v>
      </c>
      <c r="W20" s="40">
        <f>IF(V14&lt;&gt;0,V20/V14,0)</f>
        <v>0.3</v>
      </c>
      <c r="X20" s="187">
        <v>25</v>
      </c>
      <c r="Y20" s="40">
        <f>IF(X14&lt;&gt;0,X20/X14,0)</f>
        <v>0.30120481927710846</v>
      </c>
      <c r="Z20" s="187">
        <v>22</v>
      </c>
      <c r="AA20" s="471">
        <f>IF(Z14&lt;&gt;0,Z20/Z14,0)</f>
        <v>0.29333333333333333</v>
      </c>
      <c r="AB20" s="481"/>
      <c r="AC20" s="487"/>
    </row>
    <row r="21" spans="2:29" s="188" customFormat="1">
      <c r="C21" s="304" t="str">
        <f>+C15</f>
        <v>サウナ</v>
      </c>
      <c r="D21" s="305">
        <v>67</v>
      </c>
      <c r="E21" s="306">
        <f>IF(D15&lt;&gt;0,D21/D15,0)</f>
        <v>8.5241730279898217E-2</v>
      </c>
      <c r="F21" s="307">
        <v>45</v>
      </c>
      <c r="G21" s="306">
        <f>IF(F15&lt;&gt;0,F21/F15,0)</f>
        <v>2.7881040892193308E-2</v>
      </c>
      <c r="H21" s="307">
        <v>6</v>
      </c>
      <c r="I21" s="306">
        <f>IF(H15&lt;&gt;0,H21/H15,0)</f>
        <v>7.8431372549019607E-3</v>
      </c>
      <c r="J21" s="307">
        <v>41</v>
      </c>
      <c r="K21" s="306">
        <f>IF(J15&lt;&gt;0,J21/J15,0)</f>
        <v>3.4424853064651553E-2</v>
      </c>
      <c r="L21" s="307">
        <v>6</v>
      </c>
      <c r="M21" s="306">
        <f>IF(L15&lt;&gt;0,L21/L15,0)</f>
        <v>9.3312597200622092E-3</v>
      </c>
      <c r="N21" s="307">
        <v>28</v>
      </c>
      <c r="O21" s="306">
        <f>IF(N15&lt;&gt;0,N21/N15,0)</f>
        <v>2.742409402546523E-2</v>
      </c>
      <c r="P21" s="307">
        <v>4</v>
      </c>
      <c r="Q21" s="306">
        <f>IF(P15&lt;&gt;0,P21/P15,0)</f>
        <v>5.5865921787709499E-3</v>
      </c>
      <c r="R21" s="307">
        <v>39</v>
      </c>
      <c r="S21" s="306">
        <f>IF(R15&lt;&gt;0,R21/R15,0)</f>
        <v>6.037151702786378E-2</v>
      </c>
      <c r="T21" s="307">
        <v>35</v>
      </c>
      <c r="U21" s="306">
        <f>IF(T15&lt;&gt;0,T21/T15,0)</f>
        <v>5.0724637681159424E-2</v>
      </c>
      <c r="V21" s="307">
        <v>23</v>
      </c>
      <c r="W21" s="306">
        <f>IF(V15&lt;&gt;0,V21/V15,0)</f>
        <v>3.8079470198675497E-2</v>
      </c>
      <c r="X21" s="307">
        <v>21</v>
      </c>
      <c r="Y21" s="306">
        <f>IF(X15&lt;&gt;0,X21/X15,0)</f>
        <v>3.7974683544303799E-2</v>
      </c>
      <c r="Z21" s="307">
        <v>24</v>
      </c>
      <c r="AA21" s="473">
        <f>IF(Z15&lt;&gt;0,Z21/Z15,0)</f>
        <v>4.247787610619469E-2</v>
      </c>
      <c r="AB21" s="304"/>
      <c r="AC21" s="488"/>
    </row>
    <row r="22" spans="2:29" s="47" customFormat="1">
      <c r="B22" s="47" t="s">
        <v>142</v>
      </c>
      <c r="D22" s="148">
        <f t="shared" ref="D22:D27" si="21">+D10-D16</f>
        <v>7139.6540000000005</v>
      </c>
      <c r="E22" s="72">
        <f>IF(D$10&lt;&gt;0,D22/D$10,0)</f>
        <v>0.76980937345478073</v>
      </c>
      <c r="F22" s="71">
        <f t="shared" ref="F22:F27" si="22">+F10-F16</f>
        <v>7846.5019999999995</v>
      </c>
      <c r="G22" s="72">
        <f>IF(F$10&lt;&gt;0,F22/F$10,0)</f>
        <v>0.78733359034260564</v>
      </c>
      <c r="H22" s="71">
        <f t="shared" ref="H22:H27" si="23">+H10-H16</f>
        <v>6261.4059999999999</v>
      </c>
      <c r="I22" s="72">
        <f>IF(H$10&lt;&gt;0,H22/H$10,0)</f>
        <v>0.79581030058224733</v>
      </c>
      <c r="J22" s="71">
        <f t="shared" ref="J22:J27" si="24">+J10-J16</f>
        <v>6603.31</v>
      </c>
      <c r="K22" s="72">
        <f>IF(J$10&lt;&gt;0,J22/J$10,0)</f>
        <v>0.79520452644379502</v>
      </c>
      <c r="L22" s="71">
        <f t="shared" ref="L22:L27" si="25">+L10-L16</f>
        <v>6400.0209999999997</v>
      </c>
      <c r="M22" s="72">
        <f>IF(L$10&lt;&gt;0,L22/L$10,0)</f>
        <v>0.78230483605816958</v>
      </c>
      <c r="N22" s="71">
        <f t="shared" ref="N22:N27" si="26">+N10-N16</f>
        <v>8920.0020000000004</v>
      </c>
      <c r="O22" s="72">
        <f>IF(N$10&lt;&gt;0,N22/N$10,0)</f>
        <v>0.76531881355705356</v>
      </c>
      <c r="P22" s="71">
        <f t="shared" ref="P22:P27" si="27">+P10-P16</f>
        <v>6071.7129999999997</v>
      </c>
      <c r="Q22" s="72">
        <f>IF(P$10&lt;&gt;0,P22/P$10,0)</f>
        <v>0.77820614747831729</v>
      </c>
      <c r="R22" s="71">
        <f t="shared" ref="R22:R27" si="28">+R10-R16</f>
        <v>6211.857</v>
      </c>
      <c r="S22" s="72">
        <f>IF(R$10&lt;&gt;0,R22/R$10,0)</f>
        <v>0.76866004818466083</v>
      </c>
      <c r="T22" s="71">
        <f t="shared" ref="T22:T27" si="29">+T10-T16</f>
        <v>6718.665</v>
      </c>
      <c r="U22" s="72">
        <f>IF(T$10&lt;&gt;0,T22/T$10,0)</f>
        <v>0.76819860507660642</v>
      </c>
      <c r="V22" s="71">
        <f t="shared" ref="V22:V27" si="30">+V10-V16</f>
        <v>5225.2659999999996</v>
      </c>
      <c r="W22" s="72">
        <f>IF(V$10&lt;&gt;0,V22/V$10,0)</f>
        <v>0.72532903275599614</v>
      </c>
      <c r="X22" s="71">
        <f t="shared" ref="X22:X27" si="31">+X10-X16</f>
        <v>5613.3559999999998</v>
      </c>
      <c r="Y22" s="72">
        <f>IF(X$10&lt;&gt;0,X22/X$10,0)</f>
        <v>0.73900008952221463</v>
      </c>
      <c r="Z22" s="71">
        <f t="shared" ref="Z22:Z27" si="32">+Z10-Z16</f>
        <v>5831.3050000000003</v>
      </c>
      <c r="AA22" s="469">
        <f>IF(Z$10&lt;&gt;0,Z22/Z$10,0)</f>
        <v>0.75758359194324509</v>
      </c>
      <c r="AB22" s="480"/>
      <c r="AC22" s="486"/>
    </row>
    <row r="23" spans="2:29" s="177" customFormat="1">
      <c r="C23" s="189" t="str">
        <f>+C17</f>
        <v>恵愛</v>
      </c>
      <c r="D23" s="190">
        <f t="shared" si="21"/>
        <v>5158</v>
      </c>
      <c r="E23" s="79">
        <f>IF(D11&lt;&gt;0,D23/D11,0)</f>
        <v>0.73971031120034414</v>
      </c>
      <c r="F23" s="191">
        <f t="shared" si="22"/>
        <v>5081</v>
      </c>
      <c r="G23" s="79">
        <f>IF(F11&lt;&gt;0,F23/F11,0)</f>
        <v>0.74023892773892774</v>
      </c>
      <c r="H23" s="191">
        <f>+H11-H17</f>
        <v>4438</v>
      </c>
      <c r="I23" s="79">
        <f>IF(H11&lt;&gt;0,H23/H11,0)</f>
        <v>0.76359256710254642</v>
      </c>
      <c r="J23" s="191">
        <f t="shared" si="24"/>
        <v>4371</v>
      </c>
      <c r="K23" s="79">
        <f>IF(J11&lt;&gt;0,J23/J11,0)</f>
        <v>0.76684210526315788</v>
      </c>
      <c r="L23" s="191">
        <f t="shared" si="25"/>
        <v>4720</v>
      </c>
      <c r="M23" s="79">
        <f>IF(L11&lt;&gt;0,L23/L11,0)</f>
        <v>0.75459632294164669</v>
      </c>
      <c r="N23" s="191">
        <f t="shared" si="26"/>
        <v>7273</v>
      </c>
      <c r="O23" s="79">
        <f>IF(N11&lt;&gt;0,N23/N11,0)</f>
        <v>0.75966158345519119</v>
      </c>
      <c r="P23" s="191">
        <f t="shared" si="27"/>
        <v>4244</v>
      </c>
      <c r="Q23" s="79">
        <f>IF(P11&lt;&gt;0,P23/P11,0)</f>
        <v>0.74416973522707353</v>
      </c>
      <c r="R23" s="191">
        <f t="shared" si="28"/>
        <v>4569</v>
      </c>
      <c r="S23" s="79">
        <f>IF(R11&lt;&gt;0,R23/R11,0)</f>
        <v>0.74389449690654508</v>
      </c>
      <c r="T23" s="191">
        <f t="shared" si="29"/>
        <v>4917</v>
      </c>
      <c r="U23" s="79">
        <f>IF(T11&lt;&gt;0,T23/T11,0)</f>
        <v>0.74331065759637194</v>
      </c>
      <c r="V23" s="191">
        <f t="shared" si="30"/>
        <v>3389</v>
      </c>
      <c r="W23" s="79">
        <f>IF(V11&lt;&gt;0,V23/V11,0)</f>
        <v>0.67807122849139656</v>
      </c>
      <c r="X23" s="191">
        <f t="shared" si="31"/>
        <v>3664</v>
      </c>
      <c r="Y23" s="79">
        <f>IF(X11&lt;&gt;0,X23/X11,0)</f>
        <v>0.67839289020551752</v>
      </c>
      <c r="Z23" s="191">
        <f t="shared" si="32"/>
        <v>3811</v>
      </c>
      <c r="AA23" s="474">
        <f>IF(Z11&lt;&gt;0,Z23/Z11,0)</f>
        <v>0.71008011924725167</v>
      </c>
      <c r="AB23" s="481"/>
      <c r="AC23" s="487"/>
    </row>
    <row r="24" spans="2:29" s="177" customFormat="1">
      <c r="C24" s="185" t="str">
        <f>+C18</f>
        <v>村</v>
      </c>
      <c r="D24" s="186">
        <f t="shared" si="21"/>
        <v>508</v>
      </c>
      <c r="E24" s="40">
        <f>IF(D12&lt;&gt;0,D24/D12,0)</f>
        <v>0.88656195462478182</v>
      </c>
      <c r="F24" s="187">
        <f t="shared" si="22"/>
        <v>519</v>
      </c>
      <c r="G24" s="40">
        <f>IF(F12&lt;&gt;0,F24/F12,0)</f>
        <v>0.8693467336683417</v>
      </c>
      <c r="H24" s="187">
        <f t="shared" si="23"/>
        <v>543</v>
      </c>
      <c r="I24" s="40">
        <f>IF(H12&lt;&gt;0,H24/H12,0)</f>
        <v>0.90199335548172754</v>
      </c>
      <c r="J24" s="187">
        <f t="shared" si="24"/>
        <v>435</v>
      </c>
      <c r="K24" s="40">
        <f>IF(J12&lt;&gt;0,J24/J12,0)</f>
        <v>0.75</v>
      </c>
      <c r="L24" s="187">
        <f t="shared" si="25"/>
        <v>462</v>
      </c>
      <c r="M24" s="40">
        <f>IF(L12&lt;&gt;0,L24/L12,0)</f>
        <v>0.87005649717514122</v>
      </c>
      <c r="N24" s="187">
        <f t="shared" si="26"/>
        <v>416</v>
      </c>
      <c r="O24" s="40">
        <f>IF(N12&lt;&gt;0,N24/N12,0)</f>
        <v>0.74551971326164879</v>
      </c>
      <c r="P24" s="187">
        <f t="shared" si="27"/>
        <v>503</v>
      </c>
      <c r="Q24" s="40">
        <f>IF(P12&lt;&gt;0,P24/P12,0)</f>
        <v>0.85254237288135593</v>
      </c>
      <c r="R24" s="187">
        <f t="shared" si="28"/>
        <v>496</v>
      </c>
      <c r="S24" s="40">
        <f>IF(R12&lt;&gt;0,R24/R12,0)</f>
        <v>0.83221476510067116</v>
      </c>
      <c r="T24" s="187">
        <f t="shared" si="29"/>
        <v>496</v>
      </c>
      <c r="U24" s="40">
        <f>IF(T12&lt;&gt;0,T24/T12,0)</f>
        <v>0.81848184818481851</v>
      </c>
      <c r="V24" s="187">
        <f t="shared" si="30"/>
        <v>406</v>
      </c>
      <c r="W24" s="40">
        <f>IF(V12&lt;&gt;0,V24/V12,0)</f>
        <v>0.75046210720887241</v>
      </c>
      <c r="X24" s="187">
        <f t="shared" si="31"/>
        <v>509</v>
      </c>
      <c r="Y24" s="40">
        <f>IF(X12&lt;&gt;0,X24/X12,0)</f>
        <v>0.83306055646481181</v>
      </c>
      <c r="Z24" s="187">
        <f t="shared" si="32"/>
        <v>534</v>
      </c>
      <c r="AA24" s="471">
        <f>IF(Z12&lt;&gt;0,Z24/Z12,0)</f>
        <v>0.89</v>
      </c>
      <c r="AB24" s="481"/>
      <c r="AC24" s="487"/>
    </row>
    <row r="25" spans="2:29" s="177" customFormat="1">
      <c r="C25" s="185" t="str">
        <f>+C19</f>
        <v>弁当</v>
      </c>
      <c r="D25" s="186">
        <f t="shared" si="21"/>
        <v>316</v>
      </c>
      <c r="E25" s="40">
        <f>IF(D13&lt;&gt;0,D25/D13,0)</f>
        <v>0.68103448275862066</v>
      </c>
      <c r="F25" s="187">
        <f t="shared" si="22"/>
        <v>203</v>
      </c>
      <c r="G25" s="40">
        <f>IF(F13&lt;&gt;0,F25/F13,0)</f>
        <v>0.56232686980609414</v>
      </c>
      <c r="H25" s="187">
        <f t="shared" si="23"/>
        <v>131</v>
      </c>
      <c r="I25" s="40">
        <f>IF(H13&lt;&gt;0,H25/H13,0)</f>
        <v>0.4924812030075188</v>
      </c>
      <c r="J25" s="187">
        <f t="shared" si="24"/>
        <v>109</v>
      </c>
      <c r="K25" s="40">
        <f>IF(J13&lt;&gt;0,J25/J13,0)</f>
        <v>0.52153110047846885</v>
      </c>
      <c r="L25" s="187">
        <f t="shared" si="25"/>
        <v>146</v>
      </c>
      <c r="M25" s="40">
        <f>IF(L13&lt;&gt;0,L25/L13,0)</f>
        <v>0.52329749103942658</v>
      </c>
      <c r="N25" s="187">
        <f t="shared" si="26"/>
        <v>189</v>
      </c>
      <c r="O25" s="40">
        <f>IF(N13&lt;&gt;0,N25/N13,0)</f>
        <v>0.59433962264150941</v>
      </c>
      <c r="P25" s="187">
        <f t="shared" si="27"/>
        <v>189</v>
      </c>
      <c r="Q25" s="40">
        <f>IF(P13&lt;&gt;0,P25/P13,0)</f>
        <v>0.56083086053412468</v>
      </c>
      <c r="R25" s="187">
        <f t="shared" si="28"/>
        <v>113</v>
      </c>
      <c r="S25" s="40">
        <f>IF(R13&lt;&gt;0,R25/R13,0)</f>
        <v>0.46502057613168724</v>
      </c>
      <c r="T25" s="187">
        <f t="shared" si="29"/>
        <v>223</v>
      </c>
      <c r="U25" s="40">
        <f>IF(T13&lt;&gt;0,T25/T13,0)</f>
        <v>0.60107816711590301</v>
      </c>
      <c r="V25" s="187">
        <f t="shared" si="30"/>
        <v>258</v>
      </c>
      <c r="W25" s="40">
        <f>IF(V13&lt;&gt;0,V25/V13,0)</f>
        <v>0.61282660332541572</v>
      </c>
      <c r="X25" s="187">
        <f t="shared" si="31"/>
        <v>329</v>
      </c>
      <c r="Y25" s="40">
        <f>IF(X13&lt;&gt;0,X25/X13,0)</f>
        <v>0.7152173913043478</v>
      </c>
      <c r="Z25" s="187">
        <f t="shared" si="32"/>
        <v>247</v>
      </c>
      <c r="AA25" s="471">
        <f>IF(Z13&lt;&gt;0,Z25/Z13,0)</f>
        <v>0.55630630630630629</v>
      </c>
      <c r="AB25" s="481"/>
      <c r="AC25" s="487"/>
    </row>
    <row r="26" spans="2:29" s="177" customFormat="1">
      <c r="B26" s="303"/>
      <c r="C26" s="185" t="str">
        <f>+C20</f>
        <v>シェア</v>
      </c>
      <c r="D26" s="186">
        <f t="shared" si="21"/>
        <v>90</v>
      </c>
      <c r="E26" s="40">
        <f>IF(D14&lt;&gt;0,D26/D14,0)</f>
        <v>0.69767441860465118</v>
      </c>
      <c r="F26" s="187">
        <f t="shared" si="22"/>
        <v>126</v>
      </c>
      <c r="G26" s="40">
        <f>IF(F14&lt;&gt;0,F26/F14,0)</f>
        <v>0.7</v>
      </c>
      <c r="H26" s="187">
        <f t="shared" si="23"/>
        <v>50</v>
      </c>
      <c r="I26" s="40">
        <f>IF(H14&lt;&gt;0,H26/H14,0)</f>
        <v>0.69444444444444442</v>
      </c>
      <c r="J26" s="187">
        <f t="shared" si="24"/>
        <v>199</v>
      </c>
      <c r="K26" s="40">
        <f>IF(J14&lt;&gt;0,J26/J14,0)</f>
        <v>0.70318021201413428</v>
      </c>
      <c r="L26" s="187">
        <f t="shared" si="25"/>
        <v>86</v>
      </c>
      <c r="M26" s="40">
        <f>IF(L14&lt;&gt;0,L26/L14,0)</f>
        <v>0.69918699186991873</v>
      </c>
      <c r="N26" s="187">
        <f t="shared" si="26"/>
        <v>87</v>
      </c>
      <c r="O26" s="40">
        <f>IF(N14&lt;&gt;0,N26/N14,0)</f>
        <v>0.66412213740458015</v>
      </c>
      <c r="P26" s="187">
        <f t="shared" si="27"/>
        <v>74</v>
      </c>
      <c r="Q26" s="40">
        <f>IF(P14&lt;&gt;0,P26/P14,0)</f>
        <v>0.69811320754716977</v>
      </c>
      <c r="R26" s="187">
        <f t="shared" si="28"/>
        <v>63</v>
      </c>
      <c r="S26" s="40">
        <f>IF(R14&lt;&gt;0,R26/R14,0)</f>
        <v>0.7</v>
      </c>
      <c r="T26" s="187">
        <f t="shared" si="29"/>
        <v>87</v>
      </c>
      <c r="U26" s="40">
        <f>IF(T14&lt;&gt;0,T26/T14,0)</f>
        <v>0.69599999999999995</v>
      </c>
      <c r="V26" s="187">
        <f t="shared" si="30"/>
        <v>70</v>
      </c>
      <c r="W26" s="40">
        <f>IF(V14&lt;&gt;0,V26/V14,0)</f>
        <v>0.7</v>
      </c>
      <c r="X26" s="187">
        <f t="shared" si="31"/>
        <v>58</v>
      </c>
      <c r="Y26" s="40">
        <f>IF(X14&lt;&gt;0,X26/X14,0)</f>
        <v>0.6987951807228916</v>
      </c>
      <c r="Z26" s="187">
        <f t="shared" si="32"/>
        <v>53</v>
      </c>
      <c r="AA26" s="471">
        <f>IF(Z14&lt;&gt;0,Z26/Z14,0)</f>
        <v>0.70666666666666667</v>
      </c>
      <c r="AB26" s="482"/>
      <c r="AC26" s="487"/>
    </row>
    <row r="27" spans="2:29" s="188" customFormat="1">
      <c r="C27" s="304" t="str">
        <f t="shared" ref="C27" si="33">+C21</f>
        <v>サウナ</v>
      </c>
      <c r="D27" s="305">
        <f t="shared" si="21"/>
        <v>719</v>
      </c>
      <c r="E27" s="306">
        <f>IF(D15&lt;&gt;0,D27/D15,0)</f>
        <v>0.91475826972010177</v>
      </c>
      <c r="F27" s="307">
        <f t="shared" si="22"/>
        <v>1569</v>
      </c>
      <c r="G27" s="306">
        <f>IF(F15&lt;&gt;0,F27/F15,0)</f>
        <v>0.97211895910780666</v>
      </c>
      <c r="H27" s="307">
        <f t="shared" si="23"/>
        <v>759</v>
      </c>
      <c r="I27" s="306">
        <f>IF(H15&lt;&gt;0,H27/H15,0)</f>
        <v>0.99215686274509807</v>
      </c>
      <c r="J27" s="307">
        <f t="shared" si="24"/>
        <v>1150</v>
      </c>
      <c r="K27" s="306">
        <f>IF(J15&lt;&gt;0,J27/J15,0)</f>
        <v>0.96557514693534841</v>
      </c>
      <c r="L27" s="307">
        <f t="shared" si="25"/>
        <v>637</v>
      </c>
      <c r="M27" s="306">
        <f>IF(L15&lt;&gt;0,L27/L15,0)</f>
        <v>0.99066874027993779</v>
      </c>
      <c r="N27" s="307">
        <f t="shared" si="26"/>
        <v>993</v>
      </c>
      <c r="O27" s="306">
        <f>IF(N15&lt;&gt;0,N27/N15,0)</f>
        <v>0.9725759059745348</v>
      </c>
      <c r="P27" s="307">
        <f t="shared" si="27"/>
        <v>712</v>
      </c>
      <c r="Q27" s="306">
        <f>IF(P15&lt;&gt;0,P27/P15,0)</f>
        <v>0.994413407821229</v>
      </c>
      <c r="R27" s="307">
        <f t="shared" si="28"/>
        <v>607</v>
      </c>
      <c r="S27" s="306">
        <f>IF(R15&lt;&gt;0,R27/R15,0)</f>
        <v>0.93962848297213619</v>
      </c>
      <c r="T27" s="307">
        <f t="shared" si="29"/>
        <v>655</v>
      </c>
      <c r="U27" s="306">
        <f>IF(T15&lt;&gt;0,T27/T15,0)</f>
        <v>0.94927536231884058</v>
      </c>
      <c r="V27" s="307">
        <f t="shared" si="30"/>
        <v>581</v>
      </c>
      <c r="W27" s="306">
        <f>IF(V15&lt;&gt;0,V27/V15,0)</f>
        <v>0.96192052980132448</v>
      </c>
      <c r="X27" s="307">
        <f t="shared" si="31"/>
        <v>532</v>
      </c>
      <c r="Y27" s="306">
        <f>IF(X15&lt;&gt;0,X27/X15,0)</f>
        <v>0.96202531645569622</v>
      </c>
      <c r="Z27" s="307">
        <f t="shared" si="32"/>
        <v>541</v>
      </c>
      <c r="AA27" s="473">
        <f>IF(Z15&lt;&gt;0,Z27/Z15,0)</f>
        <v>0.95752212389380531</v>
      </c>
      <c r="AB27" s="304"/>
      <c r="AC27" s="488"/>
    </row>
    <row r="28" spans="2:29" s="47" customFormat="1">
      <c r="B28" s="47" t="s">
        <v>143</v>
      </c>
      <c r="D28" s="148">
        <f>SUM(D29:D49)</f>
        <v>7029.3790000000008</v>
      </c>
      <c r="E28" s="72">
        <f t="shared" ref="E28:E50" si="34">IF(D$10&lt;&gt;0,D28/D$10,0)</f>
        <v>0.75791933947586165</v>
      </c>
      <c r="F28" s="71">
        <f>SUM(F29:F49)</f>
        <v>6877.2860000000001</v>
      </c>
      <c r="G28" s="72">
        <f t="shared" ref="G28:G50" si="35">IF(F$10&lt;&gt;0,F28/F$10,0)</f>
        <v>0.69008053247076695</v>
      </c>
      <c r="H28" s="71">
        <f t="shared" ref="H28:Z28" si="36">SUM(H29:H49)</f>
        <v>6946.2610000000013</v>
      </c>
      <c r="I28" s="72">
        <f t="shared" ref="I28:I50" si="37">IF(H$10&lt;&gt;0,H28/H$10,0)</f>
        <v>0.8828537958300009</v>
      </c>
      <c r="J28" s="71">
        <f t="shared" si="36"/>
        <v>6577.4180000000006</v>
      </c>
      <c r="K28" s="72">
        <f t="shared" ref="K28:K50" si="38">IF(J$10&lt;&gt;0,J28/J$10,0)</f>
        <v>0.79208647873761695</v>
      </c>
      <c r="L28" s="71">
        <f t="shared" si="36"/>
        <v>6664.6369999999997</v>
      </c>
      <c r="M28" s="72">
        <f t="shared" ref="M28:M50" si="39">IF(L$10&lt;&gt;0,L28/L$10,0)</f>
        <v>0.81465010125313819</v>
      </c>
      <c r="N28" s="71">
        <f t="shared" si="36"/>
        <v>7432.57</v>
      </c>
      <c r="O28" s="72">
        <f t="shared" ref="O28:O50" si="40">IF(N$10&lt;&gt;0,N28/N$10,0)</f>
        <v>0.63770004245287715</v>
      </c>
      <c r="P28" s="71">
        <f t="shared" si="36"/>
        <v>7154.9050000000007</v>
      </c>
      <c r="Q28" s="72">
        <f t="shared" ref="Q28:Q50" si="41">IF(P$10&lt;&gt;0,P28/P$10,0)</f>
        <v>0.91703791922038325</v>
      </c>
      <c r="R28" s="71">
        <f t="shared" si="36"/>
        <v>9370.860999999999</v>
      </c>
      <c r="S28" s="72">
        <f t="shared" ref="S28:S50" si="42">IF(R$10&lt;&gt;0,R28/R$10,0)</f>
        <v>1.1595576761975941</v>
      </c>
      <c r="T28" s="71">
        <f t="shared" si="36"/>
        <v>7545.119999999999</v>
      </c>
      <c r="U28" s="72">
        <f t="shared" ref="U28:U50" si="43">IF(T$10&lt;&gt;0,T28/T$10,0)</f>
        <v>0.86269380288131703</v>
      </c>
      <c r="V28" s="71">
        <f t="shared" si="36"/>
        <v>6818.1269999999995</v>
      </c>
      <c r="W28" s="72">
        <f t="shared" ref="W28:W50" si="44">IF(V$10&lt;&gt;0,V28/V$10,0)</f>
        <v>0.94643707365664098</v>
      </c>
      <c r="X28" s="71">
        <f t="shared" si="36"/>
        <v>6533.5909999999985</v>
      </c>
      <c r="Y28" s="72">
        <f t="shared" ref="Y28:Y50" si="45">IF(X$10&lt;&gt;0,X28/X$10,0)</f>
        <v>0.86014931778806381</v>
      </c>
      <c r="Z28" s="71">
        <f t="shared" si="36"/>
        <v>6706.4840000000004</v>
      </c>
      <c r="AA28" s="469">
        <f t="shared" ref="AA28:AA50" si="46">IF(Z$10&lt;&gt;0,Z28/Z$10,0)</f>
        <v>0.87128391295428764</v>
      </c>
      <c r="AB28" s="480"/>
      <c r="AC28" s="486"/>
    </row>
    <row r="29" spans="2:29">
      <c r="C29" s="8" t="s">
        <v>144</v>
      </c>
      <c r="D29" s="152">
        <f>SUM(月次PL!C18:C24)/1000</f>
        <v>2371.9459999999999</v>
      </c>
      <c r="E29" s="80">
        <f t="shared" si="34"/>
        <v>0.25574716423633043</v>
      </c>
      <c r="F29" s="78">
        <f>SUM(月次PL!D18:D24)/1000</f>
        <v>2352.8580000000002</v>
      </c>
      <c r="G29" s="80">
        <f t="shared" si="35"/>
        <v>0.23609044344936414</v>
      </c>
      <c r="H29" s="78">
        <f>SUM(月次PL!E18:E24)/1000</f>
        <v>2266.491</v>
      </c>
      <c r="I29" s="80">
        <f t="shared" si="37"/>
        <v>0.28806579288692641</v>
      </c>
      <c r="J29" s="78">
        <f>SUM(月次PL!F18:F24)/1000</f>
        <v>2375.5659999999998</v>
      </c>
      <c r="K29" s="80">
        <f t="shared" si="38"/>
        <v>0.28607786641335636</v>
      </c>
      <c r="L29" s="78">
        <f>SUM(月次PL!G18:G24)/1000</f>
        <v>2397.808</v>
      </c>
      <c r="M29" s="80">
        <f t="shared" si="39"/>
        <v>0.29309541239614173</v>
      </c>
      <c r="N29" s="78">
        <f>SUM(月次PL!H18:H24)/1000</f>
        <v>2816.6080000000002</v>
      </c>
      <c r="O29" s="80">
        <f t="shared" si="40"/>
        <v>0.24165948536954424</v>
      </c>
      <c r="P29" s="78">
        <f>SUM(月次PL!I18:I24)/1000</f>
        <v>2804.1840000000002</v>
      </c>
      <c r="Q29" s="80">
        <f t="shared" si="41"/>
        <v>0.35940981193616001</v>
      </c>
      <c r="R29" s="78">
        <f>SUM(月次PL!J18:J24)/1000</f>
        <v>2790.627</v>
      </c>
      <c r="S29" s="80">
        <f t="shared" si="42"/>
        <v>0.34531436964589102</v>
      </c>
      <c r="T29" s="78">
        <f>SUM(月次PL!K18:K24)/1000</f>
        <v>3189.7150000000001</v>
      </c>
      <c r="U29" s="80">
        <f t="shared" si="43"/>
        <v>0.3647055796935742</v>
      </c>
      <c r="V29" s="78">
        <f>SUM(月次PL!L18:L24)/1000</f>
        <v>2649.797</v>
      </c>
      <c r="W29" s="80">
        <f t="shared" si="44"/>
        <v>0.36782332134091172</v>
      </c>
      <c r="X29" s="78">
        <f>SUM(月次PL!M18:M24)/1000</f>
        <v>2670.3960000000002</v>
      </c>
      <c r="Y29" s="80">
        <f t="shared" si="45"/>
        <v>0.35155847643722654</v>
      </c>
      <c r="Z29" s="78">
        <f>SUM(月次PL!N18:N24)/1000</f>
        <v>2522.7800000000002</v>
      </c>
      <c r="AA29" s="475">
        <f t="shared" si="46"/>
        <v>0.32775111816009966</v>
      </c>
      <c r="AB29" s="4"/>
    </row>
    <row r="30" spans="2:29">
      <c r="C30" s="5" t="s">
        <v>228</v>
      </c>
      <c r="D30" s="149">
        <f>+月次PL!C27/1000</f>
        <v>42.401000000000003</v>
      </c>
      <c r="E30" s="75">
        <f t="shared" si="34"/>
        <v>4.5717463680811652E-3</v>
      </c>
      <c r="F30" s="39">
        <f>+月次PL!D27/1000</f>
        <v>43.146999999999998</v>
      </c>
      <c r="G30" s="75">
        <f t="shared" si="35"/>
        <v>4.3294556507488821E-3</v>
      </c>
      <c r="H30" s="39">
        <f>+月次PL!E27/1000</f>
        <v>27.646000000000001</v>
      </c>
      <c r="I30" s="75">
        <f t="shared" si="37"/>
        <v>3.513743010738612E-3</v>
      </c>
      <c r="J30" s="39">
        <f>+月次PL!F27/1000</f>
        <v>41.600999999999999</v>
      </c>
      <c r="K30" s="75">
        <f t="shared" si="38"/>
        <v>5.0098062190913825E-3</v>
      </c>
      <c r="L30" s="39">
        <f>+月次PL!G27/1000</f>
        <v>47.715000000000003</v>
      </c>
      <c r="M30" s="75">
        <f t="shared" si="39"/>
        <v>5.8324301205442235E-3</v>
      </c>
      <c r="N30" s="39">
        <f>+月次PL!H27/1000</f>
        <v>40.511000000000003</v>
      </c>
      <c r="O30" s="75">
        <f t="shared" si="40"/>
        <v>3.4757649668699397E-3</v>
      </c>
      <c r="P30" s="39">
        <f>+月次PL!I27/1000</f>
        <v>34.183</v>
      </c>
      <c r="Q30" s="75">
        <f t="shared" si="41"/>
        <v>4.3812052281211782E-3</v>
      </c>
      <c r="R30" s="39">
        <f>+月次PL!J27/1000</f>
        <v>42.182000000000002</v>
      </c>
      <c r="S30" s="75">
        <f t="shared" si="42"/>
        <v>5.219633702534583E-3</v>
      </c>
      <c r="T30" s="39">
        <f>+月次PL!K27/1000</f>
        <v>54.459000000000003</v>
      </c>
      <c r="U30" s="75">
        <f t="shared" si="43"/>
        <v>6.2267322204436317E-3</v>
      </c>
      <c r="V30" s="39">
        <f>+月次PL!L27/1000</f>
        <v>46.857999999999997</v>
      </c>
      <c r="W30" s="75">
        <f t="shared" si="44"/>
        <v>6.5044473940428045E-3</v>
      </c>
      <c r="X30" s="39">
        <f>+月次PL!M27/1000</f>
        <v>52.253</v>
      </c>
      <c r="Y30" s="75">
        <f t="shared" si="45"/>
        <v>6.8791239461392225E-3</v>
      </c>
      <c r="Z30" s="39">
        <f>+月次PL!N27/1000</f>
        <v>42.731000000000002</v>
      </c>
      <c r="AA30" s="476">
        <f t="shared" si="46"/>
        <v>5.5514682334960709E-3</v>
      </c>
      <c r="AB30" s="4"/>
    </row>
    <row r="31" spans="2:29">
      <c r="C31" s="5" t="s">
        <v>229</v>
      </c>
      <c r="D31" s="149">
        <f>+月次PL!C28/1000</f>
        <v>45.779000000000003</v>
      </c>
      <c r="E31" s="75">
        <f t="shared" si="34"/>
        <v>4.9359679485009231E-3</v>
      </c>
      <c r="F31" s="39">
        <f>+月次PL!D28/1000</f>
        <v>55.395000000000003</v>
      </c>
      <c r="G31" s="75">
        <f t="shared" si="35"/>
        <v>5.5584442898285943E-3</v>
      </c>
      <c r="H31" s="39">
        <f>+月次PL!E28/1000</f>
        <v>45.57</v>
      </c>
      <c r="I31" s="75">
        <f t="shared" si="37"/>
        <v>5.7918421832944562E-3</v>
      </c>
      <c r="J31" s="39">
        <f>+月次PL!F28/1000</f>
        <v>44.793999999999997</v>
      </c>
      <c r="K31" s="75">
        <f t="shared" si="38"/>
        <v>5.3943236888050611E-3</v>
      </c>
      <c r="L31" s="39">
        <f>+月次PL!G28/1000</f>
        <v>52.174999999999997</v>
      </c>
      <c r="M31" s="75">
        <f t="shared" si="39"/>
        <v>6.3775970143433898E-3</v>
      </c>
      <c r="N31" s="39">
        <f>+月次PL!H28/1000</f>
        <v>40.363999999999997</v>
      </c>
      <c r="O31" s="75">
        <f t="shared" si="40"/>
        <v>3.4631526529273092E-3</v>
      </c>
      <c r="P31" s="39">
        <f>+月次PL!I28/1000</f>
        <v>54.262</v>
      </c>
      <c r="Q31" s="75">
        <f t="shared" si="41"/>
        <v>6.9547131055879051E-3</v>
      </c>
      <c r="R31" s="39">
        <f>+月次PL!J28/1000</f>
        <v>70.983000000000004</v>
      </c>
      <c r="S31" s="75">
        <f t="shared" si="42"/>
        <v>8.7834919896404226E-3</v>
      </c>
      <c r="T31" s="39">
        <f>+月次PL!K28/1000</f>
        <v>54.59</v>
      </c>
      <c r="U31" s="75">
        <f t="shared" si="43"/>
        <v>6.2417104962268471E-3</v>
      </c>
      <c r="V31" s="39">
        <f>+月次PL!L28/1000</f>
        <v>122.039</v>
      </c>
      <c r="W31" s="75">
        <f t="shared" si="44"/>
        <v>1.6940463859353577E-2</v>
      </c>
      <c r="X31" s="39">
        <f>+月次PL!M28/1000</f>
        <v>54.628999999999998</v>
      </c>
      <c r="Y31" s="75">
        <f t="shared" si="45"/>
        <v>7.19192509623638E-3</v>
      </c>
      <c r="Z31" s="39">
        <f>+月次PL!N28/1000</f>
        <v>51.281999999999996</v>
      </c>
      <c r="AA31" s="476">
        <f t="shared" si="46"/>
        <v>6.6623854800998217E-3</v>
      </c>
      <c r="AB31" s="4"/>
    </row>
    <row r="32" spans="2:29">
      <c r="C32" s="5" t="s">
        <v>230</v>
      </c>
      <c r="D32" s="149">
        <f>+月次PL!C43/1000</f>
        <v>21.289000000000001</v>
      </c>
      <c r="E32" s="75">
        <f t="shared" si="34"/>
        <v>2.2954154012895904E-3</v>
      </c>
      <c r="F32" s="39">
        <f>+月次PL!D43/1000</f>
        <v>97.177000000000007</v>
      </c>
      <c r="G32" s="75">
        <f t="shared" si="35"/>
        <v>9.7509331302946707E-3</v>
      </c>
      <c r="H32" s="39">
        <f>+月次PL!E43/1000</f>
        <v>106.992</v>
      </c>
      <c r="I32" s="75">
        <f t="shared" si="37"/>
        <v>1.359843710500418E-2</v>
      </c>
      <c r="J32" s="39">
        <f>+月次PL!F43/1000</f>
        <v>148.07499999999999</v>
      </c>
      <c r="K32" s="75">
        <f t="shared" si="38"/>
        <v>1.7831952498544659E-2</v>
      </c>
      <c r="L32" s="39">
        <f>+月次PL!G43/1000</f>
        <v>79.685000000000002</v>
      </c>
      <c r="M32" s="75">
        <f t="shared" si="39"/>
        <v>9.7402744243019271E-3</v>
      </c>
      <c r="N32" s="39">
        <f>+月次PL!H43/1000</f>
        <v>0</v>
      </c>
      <c r="O32" s="75">
        <f t="shared" si="40"/>
        <v>0</v>
      </c>
      <c r="P32" s="39">
        <f>+月次PL!I43/1000</f>
        <v>0</v>
      </c>
      <c r="Q32" s="75">
        <f t="shared" si="41"/>
        <v>0</v>
      </c>
      <c r="R32" s="39">
        <f>+月次PL!J43/1000</f>
        <v>0</v>
      </c>
      <c r="S32" s="75">
        <f t="shared" si="42"/>
        <v>0</v>
      </c>
      <c r="T32" s="39">
        <f>+月次PL!K43/1000</f>
        <v>0</v>
      </c>
      <c r="U32" s="75">
        <f t="shared" si="43"/>
        <v>0</v>
      </c>
      <c r="V32" s="39">
        <f>+月次PL!L43/1000</f>
        <v>0</v>
      </c>
      <c r="W32" s="75">
        <f t="shared" si="44"/>
        <v>0</v>
      </c>
      <c r="X32" s="39">
        <f>+月次PL!M43/1000</f>
        <v>0</v>
      </c>
      <c r="Y32" s="75">
        <f t="shared" si="45"/>
        <v>0</v>
      </c>
      <c r="Z32" s="39">
        <f>+月次PL!N43/1000</f>
        <v>0</v>
      </c>
      <c r="AA32" s="476">
        <f t="shared" si="46"/>
        <v>0</v>
      </c>
      <c r="AB32" s="4"/>
    </row>
    <row r="33" spans="3:28">
      <c r="C33" s="5" t="s">
        <v>231</v>
      </c>
      <c r="D33" s="149">
        <f>+月次PL!C26/1000</f>
        <v>0</v>
      </c>
      <c r="E33" s="75">
        <f t="shared" si="34"/>
        <v>0</v>
      </c>
      <c r="F33" s="39">
        <f>+月次PL!D26/1000</f>
        <v>0</v>
      </c>
      <c r="G33" s="75">
        <f t="shared" si="35"/>
        <v>0</v>
      </c>
      <c r="H33" s="39">
        <f>+月次PL!E26/1000</f>
        <v>0</v>
      </c>
      <c r="I33" s="75">
        <f t="shared" si="37"/>
        <v>0</v>
      </c>
      <c r="J33" s="39">
        <f>+月次PL!F26/1000</f>
        <v>0</v>
      </c>
      <c r="K33" s="75">
        <f t="shared" si="38"/>
        <v>0</v>
      </c>
      <c r="L33" s="39">
        <f>+月次PL!G26/1000</f>
        <v>0</v>
      </c>
      <c r="M33" s="75">
        <f t="shared" si="39"/>
        <v>0</v>
      </c>
      <c r="N33" s="39">
        <f>+月次PL!H26/1000</f>
        <v>0</v>
      </c>
      <c r="O33" s="75">
        <f t="shared" si="40"/>
        <v>0</v>
      </c>
      <c r="P33" s="39">
        <f>+月次PL!I26/1000</f>
        <v>0</v>
      </c>
      <c r="Q33" s="75">
        <f t="shared" si="41"/>
        <v>0</v>
      </c>
      <c r="R33" s="39">
        <f>+月次PL!J26/1000</f>
        <v>0</v>
      </c>
      <c r="S33" s="75">
        <f t="shared" si="42"/>
        <v>0</v>
      </c>
      <c r="T33" s="39">
        <f>+月次PL!K26/1000</f>
        <v>0</v>
      </c>
      <c r="U33" s="75">
        <f t="shared" si="43"/>
        <v>0</v>
      </c>
      <c r="V33" s="39">
        <f>+月次PL!L26/1000</f>
        <v>0</v>
      </c>
      <c r="W33" s="75">
        <f t="shared" si="44"/>
        <v>0</v>
      </c>
      <c r="X33" s="39">
        <f>+月次PL!M26/1000</f>
        <v>0</v>
      </c>
      <c r="Y33" s="75">
        <f t="shared" si="45"/>
        <v>0</v>
      </c>
      <c r="Z33" s="39">
        <f>+月次PL!N26/1000</f>
        <v>0</v>
      </c>
      <c r="AA33" s="476">
        <f t="shared" si="46"/>
        <v>0</v>
      </c>
      <c r="AB33" s="4"/>
    </row>
    <row r="34" spans="3:28">
      <c r="C34" s="5" t="s">
        <v>232</v>
      </c>
      <c r="D34" s="149">
        <f>+月次PL!C38/1000</f>
        <v>0</v>
      </c>
      <c r="E34" s="75">
        <f t="shared" si="34"/>
        <v>0</v>
      </c>
      <c r="F34" s="39">
        <f>+月次PL!D38/1000</f>
        <v>0</v>
      </c>
      <c r="G34" s="75">
        <f t="shared" si="35"/>
        <v>0</v>
      </c>
      <c r="H34" s="39">
        <f>+月次PL!E38/1000</f>
        <v>0</v>
      </c>
      <c r="I34" s="75">
        <f t="shared" si="37"/>
        <v>0</v>
      </c>
      <c r="J34" s="39">
        <f>+月次PL!F38/1000</f>
        <v>0</v>
      </c>
      <c r="K34" s="75">
        <f t="shared" si="38"/>
        <v>0</v>
      </c>
      <c r="L34" s="39">
        <f>+月次PL!G38/1000</f>
        <v>0</v>
      </c>
      <c r="M34" s="75">
        <f t="shared" si="39"/>
        <v>0</v>
      </c>
      <c r="N34" s="39">
        <f>+月次PL!H38/1000</f>
        <v>0</v>
      </c>
      <c r="O34" s="75">
        <f t="shared" si="40"/>
        <v>0</v>
      </c>
      <c r="P34" s="39">
        <f>+月次PL!I38/1000</f>
        <v>0</v>
      </c>
      <c r="Q34" s="75">
        <f t="shared" si="41"/>
        <v>0</v>
      </c>
      <c r="R34" s="39">
        <f>+月次PL!J38/1000</f>
        <v>0</v>
      </c>
      <c r="S34" s="75">
        <f t="shared" si="42"/>
        <v>0</v>
      </c>
      <c r="T34" s="39">
        <f>+月次PL!K38/1000</f>
        <v>0</v>
      </c>
      <c r="U34" s="75">
        <f t="shared" si="43"/>
        <v>0</v>
      </c>
      <c r="V34" s="39">
        <f>+月次PL!L38/1000</f>
        <v>0</v>
      </c>
      <c r="W34" s="75">
        <f t="shared" si="44"/>
        <v>0</v>
      </c>
      <c r="X34" s="39">
        <f>+月次PL!M38/1000</f>
        <v>0</v>
      </c>
      <c r="Y34" s="75">
        <f t="shared" si="45"/>
        <v>0</v>
      </c>
      <c r="Z34" s="39">
        <f>+月次PL!N38/1000</f>
        <v>0</v>
      </c>
      <c r="AA34" s="476">
        <f t="shared" si="46"/>
        <v>0</v>
      </c>
      <c r="AB34" s="4"/>
    </row>
    <row r="35" spans="3:28">
      <c r="C35" s="5" t="s">
        <v>233</v>
      </c>
      <c r="D35" s="149">
        <f>+月次PL!C40/1000</f>
        <v>690.58900000000006</v>
      </c>
      <c r="E35" s="75">
        <f t="shared" si="34"/>
        <v>7.4460455003108494E-2</v>
      </c>
      <c r="F35" s="39">
        <f>+月次PL!D40/1000</f>
        <v>690.58900000000006</v>
      </c>
      <c r="G35" s="75">
        <f t="shared" si="35"/>
        <v>6.9295071462558699E-2</v>
      </c>
      <c r="H35" s="39">
        <f>+月次PL!E40/1000</f>
        <v>690.58900000000006</v>
      </c>
      <c r="I35" s="75">
        <f t="shared" si="37"/>
        <v>8.7772273458835537E-2</v>
      </c>
      <c r="J35" s="39">
        <f>+月次PL!F40/1000</f>
        <v>690.58900000000006</v>
      </c>
      <c r="K35" s="75">
        <f t="shared" si="38"/>
        <v>8.3164276508643997E-2</v>
      </c>
      <c r="L35" s="39">
        <f>+月次PL!G40/1000</f>
        <v>690.58900000000006</v>
      </c>
      <c r="M35" s="75">
        <f t="shared" si="39"/>
        <v>8.4413959646159803E-2</v>
      </c>
      <c r="N35" s="39">
        <f>+月次PL!H40/1000</f>
        <v>690.58900000000006</v>
      </c>
      <c r="O35" s="75">
        <f t="shared" si="40"/>
        <v>5.9251192335556882E-2</v>
      </c>
      <c r="P35" s="39">
        <f>+月次PL!I40/1000</f>
        <v>690.58900000000006</v>
      </c>
      <c r="Q35" s="75">
        <f t="shared" si="41"/>
        <v>8.8512188435274156E-2</v>
      </c>
      <c r="R35" s="39">
        <f>+月次PL!J40/1000</f>
        <v>690.58900000000006</v>
      </c>
      <c r="S35" s="75">
        <f t="shared" si="42"/>
        <v>8.5454023493425041E-2</v>
      </c>
      <c r="T35" s="39">
        <f>+月次PL!K40/1000</f>
        <v>690.58900000000006</v>
      </c>
      <c r="U35" s="75">
        <f t="shared" si="43"/>
        <v>7.8960553395838101E-2</v>
      </c>
      <c r="V35" s="39">
        <f>+月次PL!L40/1000</f>
        <v>690.58900000000006</v>
      </c>
      <c r="W35" s="75">
        <f t="shared" si="44"/>
        <v>9.5861962128230546E-2</v>
      </c>
      <c r="X35" s="39">
        <f>+月次PL!M40/1000</f>
        <v>690.58900000000006</v>
      </c>
      <c r="Y35" s="75">
        <f t="shared" si="45"/>
        <v>9.0916259867191165E-2</v>
      </c>
      <c r="Z35" s="39">
        <f>+月次PL!N40/1000</f>
        <v>690.58900000000006</v>
      </c>
      <c r="AA35" s="476">
        <f t="shared" si="46"/>
        <v>8.9719007182181981E-2</v>
      </c>
      <c r="AB35" s="4"/>
    </row>
    <row r="36" spans="3:28">
      <c r="C36" s="5" t="s">
        <v>234</v>
      </c>
      <c r="D36" s="149">
        <f>+月次PL!C34/1000</f>
        <v>30</v>
      </c>
      <c r="E36" s="75">
        <f t="shared" si="34"/>
        <v>3.2346499149179249E-3</v>
      </c>
      <c r="F36" s="39">
        <f>+月次PL!D34/1000</f>
        <v>30</v>
      </c>
      <c r="G36" s="75">
        <f t="shared" si="35"/>
        <v>3.0102595666550739E-3</v>
      </c>
      <c r="H36" s="39">
        <f>+月次PL!E34/1000</f>
        <v>30</v>
      </c>
      <c r="I36" s="75">
        <f t="shared" si="37"/>
        <v>3.8129309962438816E-3</v>
      </c>
      <c r="J36" s="39">
        <f>+月次PL!F34/1000</f>
        <v>30</v>
      </c>
      <c r="K36" s="75">
        <f t="shared" si="38"/>
        <v>3.6127541783308446E-3</v>
      </c>
      <c r="L36" s="39">
        <f>+月次PL!G34/1000</f>
        <v>30</v>
      </c>
      <c r="M36" s="75">
        <f t="shared" si="39"/>
        <v>3.6670418865414798E-3</v>
      </c>
      <c r="N36" s="39">
        <f>+月次PL!H34/1000</f>
        <v>30</v>
      </c>
      <c r="O36" s="75">
        <f t="shared" si="40"/>
        <v>2.5739416209448838E-3</v>
      </c>
      <c r="P36" s="39">
        <f>+月次PL!I34/1000</f>
        <v>30</v>
      </c>
      <c r="Q36" s="75">
        <f t="shared" si="41"/>
        <v>3.8450737747896713E-3</v>
      </c>
      <c r="R36" s="39">
        <f>+月次PL!J34/1000</f>
        <v>30</v>
      </c>
      <c r="S36" s="75">
        <f t="shared" si="42"/>
        <v>3.712223485753105E-3</v>
      </c>
      <c r="T36" s="39">
        <f>+月次PL!K34/1000</f>
        <v>30</v>
      </c>
      <c r="U36" s="75">
        <f t="shared" si="43"/>
        <v>3.4301394923393551E-3</v>
      </c>
      <c r="V36" s="39">
        <f>+月次PL!L34/1000</f>
        <v>30</v>
      </c>
      <c r="W36" s="75">
        <f t="shared" si="44"/>
        <v>4.1643566055163291E-3</v>
      </c>
      <c r="X36" s="39">
        <f>+月次PL!M34/1000</f>
        <v>30</v>
      </c>
      <c r="Y36" s="75">
        <f t="shared" si="45"/>
        <v>3.949509470923711E-3</v>
      </c>
      <c r="Z36" s="39">
        <f>+月次PL!N34/1000</f>
        <v>30</v>
      </c>
      <c r="AA36" s="476">
        <f t="shared" si="46"/>
        <v>3.8974994033577994E-3</v>
      </c>
      <c r="AB36" s="4"/>
    </row>
    <row r="37" spans="3:28">
      <c r="C37" s="5" t="s">
        <v>235</v>
      </c>
      <c r="D37" s="149">
        <f>+月次PL!C33/1000</f>
        <v>1645.6610000000001</v>
      </c>
      <c r="E37" s="75">
        <f t="shared" si="34"/>
        <v>0.17743790712112492</v>
      </c>
      <c r="F37" s="39">
        <f>+月次PL!D33/1000</f>
        <v>1645.6610000000001</v>
      </c>
      <c r="G37" s="75">
        <f t="shared" si="35"/>
        <v>0.16512889229070518</v>
      </c>
      <c r="H37" s="39">
        <f>+月次PL!E33/1000</f>
        <v>1645.6610000000001</v>
      </c>
      <c r="I37" s="75">
        <f t="shared" si="37"/>
        <v>0.20915972787365678</v>
      </c>
      <c r="J37" s="39">
        <f>+月次PL!F33/1000</f>
        <v>1645.6610000000001</v>
      </c>
      <c r="K37" s="75">
        <f t="shared" si="38"/>
        <v>0.19817895512887054</v>
      </c>
      <c r="L37" s="39">
        <f>+月次PL!G33/1000</f>
        <v>1645.6610000000001</v>
      </c>
      <c r="M37" s="75">
        <f t="shared" si="39"/>
        <v>0.20115692726825793</v>
      </c>
      <c r="N37" s="39">
        <f>+月次PL!H33/1000</f>
        <v>1645.6610000000001</v>
      </c>
      <c r="O37" s="75">
        <f t="shared" si="40"/>
        <v>0.14119451139552594</v>
      </c>
      <c r="P37" s="39">
        <f>+月次PL!I33/1000</f>
        <v>1645.6610000000001</v>
      </c>
      <c r="Q37" s="75">
        <f t="shared" si="41"/>
        <v>0.21092293177647151</v>
      </c>
      <c r="R37" s="39">
        <f>+月次PL!J33/1000</f>
        <v>1645.6610000000001</v>
      </c>
      <c r="S37" s="75">
        <f t="shared" si="42"/>
        <v>0.20363538045959803</v>
      </c>
      <c r="T37" s="39">
        <f>+月次PL!K33/1000</f>
        <v>1645.6610000000001</v>
      </c>
      <c r="U37" s="75">
        <f t="shared" si="43"/>
        <v>0.1881615595700892</v>
      </c>
      <c r="V37" s="39">
        <f>+月次PL!L33/1000</f>
        <v>1645.6610000000001</v>
      </c>
      <c r="W37" s="75">
        <f t="shared" si="44"/>
        <v>0.22843730852635361</v>
      </c>
      <c r="X37" s="39">
        <f>+月次PL!M33/1000</f>
        <v>1645.6610000000001</v>
      </c>
      <c r="Y37" s="75">
        <f t="shared" si="45"/>
        <v>0.21665179018099287</v>
      </c>
      <c r="Z37" s="39">
        <f>+月次PL!N33/1000</f>
        <v>1645.6610000000001</v>
      </c>
      <c r="AA37" s="476">
        <f t="shared" si="46"/>
        <v>0.21379875885430666</v>
      </c>
      <c r="AB37" s="4"/>
    </row>
    <row r="38" spans="3:28">
      <c r="C38" s="5" t="s">
        <v>236</v>
      </c>
      <c r="D38" s="149">
        <f>+月次PL!C32/1000</f>
        <v>49.7</v>
      </c>
      <c r="E38" s="75">
        <f t="shared" si="34"/>
        <v>5.3587366923806955E-3</v>
      </c>
      <c r="F38" s="39">
        <f>+月次PL!D32/1000</f>
        <v>49.7</v>
      </c>
      <c r="G38" s="75">
        <f t="shared" si="35"/>
        <v>4.986996682091906E-3</v>
      </c>
      <c r="H38" s="39">
        <f>+月次PL!E32/1000</f>
        <v>49.7</v>
      </c>
      <c r="I38" s="75">
        <f t="shared" si="37"/>
        <v>6.3167556837773649E-3</v>
      </c>
      <c r="J38" s="39">
        <f>+月次PL!F32/1000</f>
        <v>49.7</v>
      </c>
      <c r="K38" s="75">
        <f t="shared" si="38"/>
        <v>5.9851294221014333E-3</v>
      </c>
      <c r="L38" s="39">
        <f>+月次PL!G32/1000</f>
        <v>49.7</v>
      </c>
      <c r="M38" s="75">
        <f t="shared" si="39"/>
        <v>6.0750660587037186E-3</v>
      </c>
      <c r="N38" s="39">
        <f>+月次PL!H32/1000</f>
        <v>49.7</v>
      </c>
      <c r="O38" s="75">
        <f t="shared" si="40"/>
        <v>4.2641632853653577E-3</v>
      </c>
      <c r="P38" s="39">
        <f>+月次PL!I32/1000</f>
        <v>49.7</v>
      </c>
      <c r="Q38" s="75">
        <f t="shared" si="41"/>
        <v>6.3700055535682223E-3</v>
      </c>
      <c r="R38" s="39">
        <f>+月次PL!J32/1000</f>
        <v>49.7</v>
      </c>
      <c r="S38" s="75">
        <f t="shared" si="42"/>
        <v>6.1499169080643113E-3</v>
      </c>
      <c r="T38" s="39">
        <f>+月次PL!K32/1000</f>
        <v>49.7</v>
      </c>
      <c r="U38" s="75">
        <f t="shared" si="43"/>
        <v>5.6825977589755319E-3</v>
      </c>
      <c r="V38" s="39">
        <f>+月次PL!L32/1000</f>
        <v>49.7</v>
      </c>
      <c r="W38" s="75">
        <f t="shared" si="44"/>
        <v>6.8989507764720525E-3</v>
      </c>
      <c r="X38" s="39">
        <f>+月次PL!M32/1000</f>
        <v>77.900000000000006</v>
      </c>
      <c r="Y38" s="75">
        <f t="shared" si="45"/>
        <v>1.0255559592831904E-2</v>
      </c>
      <c r="Z38" s="39">
        <f>+月次PL!N32/1000</f>
        <v>49.7</v>
      </c>
      <c r="AA38" s="476">
        <f t="shared" si="46"/>
        <v>6.4568573448960881E-3</v>
      </c>
      <c r="AB38" s="4"/>
    </row>
    <row r="39" spans="3:28">
      <c r="C39" s="5" t="s">
        <v>237</v>
      </c>
      <c r="D39" s="149">
        <f>+月次PL!C30/1000</f>
        <v>13.5</v>
      </c>
      <c r="E39" s="75">
        <f t="shared" si="34"/>
        <v>1.4555924617130661E-3</v>
      </c>
      <c r="F39" s="39">
        <f>+月次PL!D30/1000</f>
        <v>57.3</v>
      </c>
      <c r="G39" s="75">
        <f t="shared" si="35"/>
        <v>5.7495957723111913E-3</v>
      </c>
      <c r="H39" s="39">
        <f>+月次PL!E30/1000</f>
        <v>15</v>
      </c>
      <c r="I39" s="75">
        <f t="shared" si="37"/>
        <v>1.9064654981219408E-3</v>
      </c>
      <c r="J39" s="39">
        <f>+月次PL!F30/1000</f>
        <v>0</v>
      </c>
      <c r="K39" s="75">
        <f t="shared" si="38"/>
        <v>0</v>
      </c>
      <c r="L39" s="39">
        <f>+月次PL!G30/1000</f>
        <v>20</v>
      </c>
      <c r="M39" s="75">
        <f t="shared" si="39"/>
        <v>2.4446945910276529E-3</v>
      </c>
      <c r="N39" s="39">
        <f>+月次PL!H30/1000</f>
        <v>19</v>
      </c>
      <c r="O39" s="75">
        <f t="shared" si="40"/>
        <v>1.6301630265984264E-3</v>
      </c>
      <c r="P39" s="39">
        <f>+月次PL!I30/1000</f>
        <v>17</v>
      </c>
      <c r="Q39" s="75">
        <f t="shared" si="41"/>
        <v>2.1788751390474804E-3</v>
      </c>
      <c r="R39" s="39">
        <f>+月次PL!J30/1000</f>
        <v>90.91</v>
      </c>
      <c r="S39" s="75">
        <f t="shared" si="42"/>
        <v>1.1249274569660492E-2</v>
      </c>
      <c r="T39" s="39">
        <f>+月次PL!K30/1000</f>
        <v>0</v>
      </c>
      <c r="U39" s="75">
        <f t="shared" si="43"/>
        <v>0</v>
      </c>
      <c r="V39" s="39">
        <f>+月次PL!L30/1000</f>
        <v>0</v>
      </c>
      <c r="W39" s="75">
        <f t="shared" si="44"/>
        <v>0</v>
      </c>
      <c r="X39" s="39">
        <f>+月次PL!M30/1000</f>
        <v>0</v>
      </c>
      <c r="Y39" s="75">
        <f t="shared" si="45"/>
        <v>0</v>
      </c>
      <c r="Z39" s="39">
        <f>+月次PL!N30/1000</f>
        <v>15</v>
      </c>
      <c r="AA39" s="476">
        <f t="shared" si="46"/>
        <v>1.9487497016788997E-3</v>
      </c>
      <c r="AB39" s="4"/>
    </row>
    <row r="40" spans="3:28">
      <c r="C40" s="5" t="s">
        <v>238</v>
      </c>
      <c r="D40" s="149">
        <f>+月次PL!C35/1000</f>
        <v>22.215</v>
      </c>
      <c r="E40" s="75">
        <f t="shared" si="34"/>
        <v>2.3952582619967233E-3</v>
      </c>
      <c r="F40" s="39">
        <f>+月次PL!D35/1000</f>
        <v>22.215</v>
      </c>
      <c r="G40" s="75">
        <f t="shared" si="35"/>
        <v>2.2290972091080822E-3</v>
      </c>
      <c r="H40" s="39">
        <f>+月次PL!E35/1000</f>
        <v>22.215</v>
      </c>
      <c r="I40" s="75">
        <f t="shared" si="37"/>
        <v>2.8234754027185944E-3</v>
      </c>
      <c r="J40" s="39">
        <f>+月次PL!F35/1000</f>
        <v>22.215</v>
      </c>
      <c r="K40" s="75">
        <f t="shared" si="38"/>
        <v>2.6752444690539903E-3</v>
      </c>
      <c r="L40" s="39">
        <f>+月次PL!G35/1000</f>
        <v>22.215</v>
      </c>
      <c r="M40" s="75">
        <f t="shared" si="39"/>
        <v>2.7154445169839656E-3</v>
      </c>
      <c r="N40" s="39">
        <f>+月次PL!H35/1000</f>
        <v>28.375</v>
      </c>
      <c r="O40" s="75">
        <f t="shared" si="40"/>
        <v>2.4345197831437027E-3</v>
      </c>
      <c r="P40" s="39">
        <f>+月次PL!I35/1000</f>
        <v>28.375</v>
      </c>
      <c r="Q40" s="75">
        <f t="shared" si="41"/>
        <v>3.6367989453218977E-3</v>
      </c>
      <c r="R40" s="39">
        <f>+月次PL!J35/1000</f>
        <v>28.375</v>
      </c>
      <c r="S40" s="75">
        <f t="shared" si="42"/>
        <v>3.5111447136081451E-3</v>
      </c>
      <c r="T40" s="39">
        <f>+月次PL!K35/1000</f>
        <v>28.375</v>
      </c>
      <c r="U40" s="75">
        <f t="shared" si="43"/>
        <v>3.2443402698376402E-3</v>
      </c>
      <c r="V40" s="39">
        <f>+月次PL!L35/1000</f>
        <v>28.375</v>
      </c>
      <c r="W40" s="75">
        <f t="shared" si="44"/>
        <v>3.9387872893841946E-3</v>
      </c>
      <c r="X40" s="39">
        <f>+月次PL!M35/1000</f>
        <v>28.375</v>
      </c>
      <c r="Y40" s="75">
        <f t="shared" si="45"/>
        <v>3.7355777079153434E-3</v>
      </c>
      <c r="Z40" s="39">
        <f>+月次PL!N35/1000</f>
        <v>28.375</v>
      </c>
      <c r="AA40" s="476">
        <f t="shared" si="46"/>
        <v>3.6863848523425854E-3</v>
      </c>
      <c r="AB40" s="4"/>
    </row>
    <row r="41" spans="3:28">
      <c r="C41" s="5" t="s">
        <v>239</v>
      </c>
      <c r="D41" s="149">
        <f>+月次PL!C29/1000</f>
        <v>1055.0150000000001</v>
      </c>
      <c r="E41" s="75">
        <f t="shared" si="34"/>
        <v>0.11375347266623782</v>
      </c>
      <c r="F41" s="39">
        <f>+月次PL!D29/1000</f>
        <v>1104.21</v>
      </c>
      <c r="G41" s="75">
        <f t="shared" si="35"/>
        <v>0.11079862386987331</v>
      </c>
      <c r="H41" s="39">
        <f>+月次PL!E29/1000</f>
        <v>968.20899999999995</v>
      </c>
      <c r="I41" s="75">
        <f t="shared" si="37"/>
        <v>0.12305713689807642</v>
      </c>
      <c r="J41" s="39">
        <f>+月次PL!F29/1000</f>
        <v>757.6</v>
      </c>
      <c r="K41" s="75">
        <f t="shared" si="38"/>
        <v>9.1234085516781596E-2</v>
      </c>
      <c r="L41" s="39">
        <f>+月次PL!G29/1000</f>
        <v>878.36400000000003</v>
      </c>
      <c r="M41" s="75">
        <f t="shared" si="39"/>
        <v>0.10736658598767068</v>
      </c>
      <c r="N41" s="39">
        <f>+月次PL!H29/1000</f>
        <v>1110.021</v>
      </c>
      <c r="O41" s="75">
        <f t="shared" si="40"/>
        <v>9.5237641734095352E-2</v>
      </c>
      <c r="P41" s="39">
        <f>+月次PL!I29/1000</f>
        <v>1144.6120000000001</v>
      </c>
      <c r="Q41" s="75">
        <f t="shared" si="41"/>
        <v>0.14670391945031852</v>
      </c>
      <c r="R41" s="39">
        <f>+月次PL!J29/1000</f>
        <v>1235.761</v>
      </c>
      <c r="S41" s="75">
        <f t="shared" si="42"/>
        <v>0.15291403356592476</v>
      </c>
      <c r="T41" s="39">
        <f>+月次PL!K29/1000</f>
        <v>1093.6469999999999</v>
      </c>
      <c r="U41" s="75">
        <f t="shared" si="43"/>
        <v>0.12504539217928196</v>
      </c>
      <c r="V41" s="39">
        <f>+月次PL!L29/1000</f>
        <v>804.33100000000002</v>
      </c>
      <c r="W41" s="75">
        <f t="shared" si="44"/>
        <v>0.11165070376238515</v>
      </c>
      <c r="X41" s="39">
        <f>+月次PL!M29/1000</f>
        <v>719.82799999999997</v>
      </c>
      <c r="Y41" s="75">
        <f t="shared" si="45"/>
        <v>9.4765583447869103E-2</v>
      </c>
      <c r="Z41" s="39">
        <f>+月次PL!N29/1000</f>
        <v>852.49300000000005</v>
      </c>
      <c r="AA41" s="476">
        <f t="shared" si="46"/>
        <v>0.11075303196222336</v>
      </c>
      <c r="AB41" s="4"/>
    </row>
    <row r="42" spans="3:28">
      <c r="C42" s="5" t="s">
        <v>240</v>
      </c>
      <c r="D42" s="149">
        <f>+月次PL!C31/1000</f>
        <v>332.27199999999999</v>
      </c>
      <c r="E42" s="75">
        <f t="shared" si="34"/>
        <v>3.5826119884320287E-2</v>
      </c>
      <c r="F42" s="39">
        <f>+月次PL!D31/1000</f>
        <v>162.804</v>
      </c>
      <c r="G42" s="75">
        <f t="shared" si="35"/>
        <v>1.6336076616323754E-2</v>
      </c>
      <c r="H42" s="39">
        <f>+月次PL!E31/1000</f>
        <v>154.47399999999999</v>
      </c>
      <c r="I42" s="75">
        <f t="shared" si="37"/>
        <v>1.9633290090459245E-2</v>
      </c>
      <c r="J42" s="39">
        <f>+月次PL!F31/1000</f>
        <v>229.11199999999999</v>
      </c>
      <c r="K42" s="75">
        <f t="shared" si="38"/>
        <v>2.7590844510191215E-2</v>
      </c>
      <c r="L42" s="39">
        <f>+月次PL!G31/1000</f>
        <v>153.4</v>
      </c>
      <c r="M42" s="75">
        <f t="shared" si="39"/>
        <v>1.8750807513182099E-2</v>
      </c>
      <c r="N42" s="39">
        <f>+月次PL!H31/1000</f>
        <v>227.238</v>
      </c>
      <c r="O42" s="75">
        <f t="shared" si="40"/>
        <v>1.9496578202009115E-2</v>
      </c>
      <c r="P42" s="39">
        <f>+月次PL!I31/1000</f>
        <v>157.25299999999999</v>
      </c>
      <c r="Q42" s="75">
        <f t="shared" si="41"/>
        <v>2.0154979543566671E-2</v>
      </c>
      <c r="R42" s="39">
        <f>+月次PL!J31/1000</f>
        <v>203.697</v>
      </c>
      <c r="S42" s="75">
        <f t="shared" si="42"/>
        <v>2.5205626245915009E-2</v>
      </c>
      <c r="T42" s="39">
        <f>+月次PL!K31/1000</f>
        <v>158.297</v>
      </c>
      <c r="U42" s="75">
        <f t="shared" si="43"/>
        <v>1.8099359707294763E-2</v>
      </c>
      <c r="V42" s="39">
        <f>+月次PL!L31/1000</f>
        <v>160.095</v>
      </c>
      <c r="W42" s="75">
        <f t="shared" si="44"/>
        <v>2.2223089025337889E-2</v>
      </c>
      <c r="X42" s="39">
        <f>+月次PL!M31/1000</f>
        <v>127.598</v>
      </c>
      <c r="Y42" s="75">
        <f t="shared" si="45"/>
        <v>1.6798316982364125E-2</v>
      </c>
      <c r="Z42" s="39">
        <f>+月次PL!N31/1000</f>
        <v>280.82</v>
      </c>
      <c r="AA42" s="476">
        <f t="shared" si="46"/>
        <v>3.6483192748364576E-2</v>
      </c>
      <c r="AB42" s="4"/>
    </row>
    <row r="43" spans="3:28">
      <c r="C43" s="5" t="s">
        <v>241</v>
      </c>
      <c r="D43" s="149">
        <f>+月次PL!C36/1000</f>
        <v>146</v>
      </c>
      <c r="E43" s="75">
        <f t="shared" si="34"/>
        <v>1.5741962919267233E-2</v>
      </c>
      <c r="F43" s="39">
        <f>+月次PL!D36/1000</f>
        <v>1</v>
      </c>
      <c r="G43" s="75">
        <f t="shared" si="35"/>
        <v>1.0034198555516913E-4</v>
      </c>
      <c r="H43" s="39">
        <f>+月次PL!E36/1000</f>
        <v>147</v>
      </c>
      <c r="I43" s="75">
        <f t="shared" si="37"/>
        <v>1.8683361881595022E-2</v>
      </c>
      <c r="J43" s="39">
        <f>+月次PL!F36/1000</f>
        <v>0</v>
      </c>
      <c r="K43" s="75">
        <f t="shared" si="38"/>
        <v>0</v>
      </c>
      <c r="L43" s="39">
        <f>+月次PL!G36/1000</f>
        <v>2.4500000000000002</v>
      </c>
      <c r="M43" s="75">
        <f t="shared" si="39"/>
        <v>2.9947508740088753E-4</v>
      </c>
      <c r="N43" s="39">
        <f>+月次PL!H36/1000</f>
        <v>148</v>
      </c>
      <c r="O43" s="75">
        <f t="shared" si="40"/>
        <v>1.2698111996661427E-2</v>
      </c>
      <c r="P43" s="39">
        <f>+月次PL!I36/1000</f>
        <v>0</v>
      </c>
      <c r="Q43" s="75">
        <f t="shared" si="41"/>
        <v>0</v>
      </c>
      <c r="R43" s="39">
        <f>+月次PL!J36/1000</f>
        <v>0</v>
      </c>
      <c r="S43" s="75">
        <f t="shared" si="42"/>
        <v>0</v>
      </c>
      <c r="T43" s="39">
        <f>+月次PL!K36/1000</f>
        <v>1</v>
      </c>
      <c r="U43" s="75">
        <f t="shared" si="43"/>
        <v>1.1433798307797851E-4</v>
      </c>
      <c r="V43" s="39">
        <f>+月次PL!L36/1000</f>
        <v>125.9</v>
      </c>
      <c r="W43" s="75">
        <f t="shared" si="44"/>
        <v>1.7476416554483527E-2</v>
      </c>
      <c r="X43" s="39">
        <f>+月次PL!M36/1000</f>
        <v>0</v>
      </c>
      <c r="Y43" s="75">
        <f t="shared" si="45"/>
        <v>0</v>
      </c>
      <c r="Z43" s="39">
        <f>+月次PL!N36/1000</f>
        <v>1</v>
      </c>
      <c r="AA43" s="476">
        <f t="shared" si="46"/>
        <v>1.2991664677859332E-4</v>
      </c>
      <c r="AB43" s="4"/>
    </row>
    <row r="44" spans="3:28">
      <c r="C44" s="5" t="s">
        <v>242</v>
      </c>
      <c r="D44" s="149">
        <f>+月次PL!C25/1000</f>
        <v>186.90299999999999</v>
      </c>
      <c r="E44" s="75">
        <f t="shared" si="34"/>
        <v>2.0152192434930164E-2</v>
      </c>
      <c r="F44" s="39">
        <f>+月次PL!D25/1000</f>
        <v>179.4</v>
      </c>
      <c r="G44" s="75">
        <f t="shared" si="35"/>
        <v>1.8001352208597343E-2</v>
      </c>
      <c r="H44" s="39">
        <f>+月次PL!E25/1000</f>
        <v>177.56</v>
      </c>
      <c r="I44" s="75">
        <f t="shared" si="37"/>
        <v>2.256746758976879E-2</v>
      </c>
      <c r="J44" s="39">
        <f>+月次PL!F25/1000</f>
        <v>176.50299999999999</v>
      </c>
      <c r="K44" s="75">
        <f t="shared" si="38"/>
        <v>2.1255398357930968E-2</v>
      </c>
      <c r="L44" s="39">
        <f>+月次PL!G25/1000</f>
        <v>215.303</v>
      </c>
      <c r="M44" s="75">
        <f t="shared" si="39"/>
        <v>2.631750397660134E-2</v>
      </c>
      <c r="N44" s="39">
        <f>+月次PL!H25/1000</f>
        <v>210.15299999999999</v>
      </c>
      <c r="O44" s="75">
        <f t="shared" si="40"/>
        <v>1.8030718448881003E-2</v>
      </c>
      <c r="P44" s="39">
        <f>+月次PL!I25/1000</f>
        <v>112</v>
      </c>
      <c r="Q44" s="75">
        <f t="shared" si="41"/>
        <v>1.4354942092548107E-2</v>
      </c>
      <c r="R44" s="39">
        <f>+月次PL!J25/1000</f>
        <v>2162.4209999999998</v>
      </c>
      <c r="S44" s="75">
        <f t="shared" si="42"/>
        <v>0.26757966740952382</v>
      </c>
      <c r="T44" s="39">
        <f>+月次PL!K25/1000</f>
        <v>108</v>
      </c>
      <c r="U44" s="75">
        <f t="shared" si="43"/>
        <v>1.2348502172421678E-2</v>
      </c>
      <c r="V44" s="39">
        <f>+月次PL!L25/1000</f>
        <v>100.654</v>
      </c>
      <c r="W44" s="75">
        <f t="shared" si="44"/>
        <v>1.3971971659054686E-2</v>
      </c>
      <c r="X44" s="39">
        <f>+月次PL!M25/1000</f>
        <v>134.4</v>
      </c>
      <c r="Y44" s="75">
        <f t="shared" si="45"/>
        <v>1.7693802429738226E-2</v>
      </c>
      <c r="Z44" s="39">
        <f>+月次PL!N25/1000</f>
        <v>123.402</v>
      </c>
      <c r="AA44" s="476">
        <f t="shared" si="46"/>
        <v>1.6031974045771974E-2</v>
      </c>
      <c r="AB44" s="4"/>
    </row>
    <row r="45" spans="3:28">
      <c r="C45" s="5" t="s">
        <v>243</v>
      </c>
      <c r="D45" s="149">
        <f>+月次PL!C37/1000</f>
        <v>238.917</v>
      </c>
      <c r="E45" s="75">
        <f t="shared" si="34"/>
        <v>2.5760428457414861E-2</v>
      </c>
      <c r="F45" s="39">
        <f>+月次PL!D37/1000</f>
        <v>268.30900000000003</v>
      </c>
      <c r="G45" s="75">
        <f t="shared" si="35"/>
        <v>2.6922657802321878E-2</v>
      </c>
      <c r="H45" s="39">
        <f>+月次PL!E37/1000</f>
        <v>276.55399999999997</v>
      </c>
      <c r="I45" s="75">
        <f t="shared" si="37"/>
        <v>3.5149377291174344E-2</v>
      </c>
      <c r="J45" s="39">
        <f>+月次PL!F37/1000</f>
        <v>224.363</v>
      </c>
      <c r="K45" s="75">
        <f t="shared" si="38"/>
        <v>2.7018945523761443E-2</v>
      </c>
      <c r="L45" s="39">
        <f>+月次PL!G37/1000</f>
        <v>226.852</v>
      </c>
      <c r="M45" s="75">
        <f t="shared" si="39"/>
        <v>2.7729192868190259E-2</v>
      </c>
      <c r="N45" s="39">
        <f>+月次PL!H37/1000</f>
        <v>264.11</v>
      </c>
      <c r="O45" s="75">
        <f t="shared" si="40"/>
        <v>2.2660124050258443E-2</v>
      </c>
      <c r="P45" s="39">
        <f>+月次PL!I37/1000</f>
        <v>245.928</v>
      </c>
      <c r="Q45" s="75">
        <f t="shared" si="41"/>
        <v>3.152037677621581E-2</v>
      </c>
      <c r="R45" s="39">
        <f>+月次PL!J37/1000</f>
        <v>218.07499999999999</v>
      </c>
      <c r="S45" s="75">
        <f t="shared" si="42"/>
        <v>2.698477122185361E-2</v>
      </c>
      <c r="T45" s="39">
        <f>+月次PL!K37/1000</f>
        <v>308.80700000000002</v>
      </c>
      <c r="U45" s="75">
        <f t="shared" si="43"/>
        <v>3.530836954036131E-2</v>
      </c>
      <c r="V45" s="39">
        <f>+月次PL!L37/1000</f>
        <v>185.84</v>
      </c>
      <c r="W45" s="75">
        <f t="shared" si="44"/>
        <v>2.5796801052305154E-2</v>
      </c>
      <c r="X45" s="39">
        <f>+月次PL!M37/1000</f>
        <v>193.09200000000001</v>
      </c>
      <c r="Y45" s="75">
        <f t="shared" si="45"/>
        <v>2.5420622758653377E-2</v>
      </c>
      <c r="Z45" s="39">
        <f>+月次PL!N37/1000</f>
        <v>243.661</v>
      </c>
      <c r="AA45" s="476">
        <f t="shared" si="46"/>
        <v>3.1655620070718829E-2</v>
      </c>
      <c r="AB45" s="4" t="s">
        <v>449</v>
      </c>
    </row>
    <row r="46" spans="3:28">
      <c r="C46" s="5" t="s">
        <v>244</v>
      </c>
      <c r="D46" s="149">
        <f>+月次PL!C39/1000</f>
        <v>2.593</v>
      </c>
      <c r="E46" s="75">
        <f t="shared" si="34"/>
        <v>2.7958157431273928E-4</v>
      </c>
      <c r="F46" s="39">
        <f>+月次PL!D39/1000</f>
        <v>0</v>
      </c>
      <c r="G46" s="75">
        <f t="shared" si="35"/>
        <v>0</v>
      </c>
      <c r="H46" s="39">
        <f>+月次PL!E39/1000</f>
        <v>0</v>
      </c>
      <c r="I46" s="75">
        <f t="shared" si="37"/>
        <v>0</v>
      </c>
      <c r="J46" s="39">
        <f>+月次PL!F39/1000</f>
        <v>0</v>
      </c>
      <c r="K46" s="75">
        <f t="shared" si="38"/>
        <v>0</v>
      </c>
      <c r="L46" s="39">
        <f>+月次PL!G39/1000</f>
        <v>0</v>
      </c>
      <c r="M46" s="75">
        <f t="shared" si="39"/>
        <v>0</v>
      </c>
      <c r="N46" s="39">
        <f>+月次PL!H39/1000</f>
        <v>0</v>
      </c>
      <c r="O46" s="75">
        <f t="shared" si="40"/>
        <v>0</v>
      </c>
      <c r="P46" s="39">
        <f>+月次PL!I39/1000</f>
        <v>0</v>
      </c>
      <c r="Q46" s="75">
        <f t="shared" si="41"/>
        <v>0</v>
      </c>
      <c r="R46" s="39">
        <f>+月次PL!J39/1000</f>
        <v>0</v>
      </c>
      <c r="S46" s="75">
        <f t="shared" si="42"/>
        <v>0</v>
      </c>
      <c r="T46" s="39">
        <f>+月次PL!K39/1000</f>
        <v>0</v>
      </c>
      <c r="U46" s="75">
        <f t="shared" si="43"/>
        <v>0</v>
      </c>
      <c r="V46" s="39">
        <f>+月次PL!L39/1000</f>
        <v>0</v>
      </c>
      <c r="W46" s="75">
        <f t="shared" si="44"/>
        <v>0</v>
      </c>
      <c r="X46" s="39">
        <f>+月次PL!M39/1000</f>
        <v>0</v>
      </c>
      <c r="Y46" s="75">
        <f t="shared" si="45"/>
        <v>0</v>
      </c>
      <c r="Z46" s="39">
        <f>+月次PL!N39/1000</f>
        <v>0</v>
      </c>
      <c r="AA46" s="476">
        <f t="shared" si="46"/>
        <v>0</v>
      </c>
      <c r="AB46" s="4"/>
    </row>
    <row r="47" spans="3:28">
      <c r="C47" s="5" t="s">
        <v>245</v>
      </c>
      <c r="D47" s="149">
        <f>+月次PL!C42/1000</f>
        <v>70</v>
      </c>
      <c r="E47" s="75">
        <f t="shared" si="34"/>
        <v>7.5475164681418246E-3</v>
      </c>
      <c r="F47" s="39">
        <f>+月次PL!D42/1000</f>
        <v>70</v>
      </c>
      <c r="G47" s="75">
        <f t="shared" si="35"/>
        <v>7.0239389888618392E-3</v>
      </c>
      <c r="H47" s="39">
        <f>+月次PL!E42/1000</f>
        <v>280</v>
      </c>
      <c r="I47" s="75">
        <f t="shared" si="37"/>
        <v>3.5587355964942897E-2</v>
      </c>
      <c r="J47" s="39">
        <f>+月次PL!F42/1000</f>
        <v>70</v>
      </c>
      <c r="K47" s="75">
        <f t="shared" si="38"/>
        <v>8.4297597494386381E-3</v>
      </c>
      <c r="L47" s="39">
        <f>+月次PL!G42/1000</f>
        <v>110</v>
      </c>
      <c r="M47" s="75">
        <f t="shared" si="39"/>
        <v>1.3445820250652092E-2</v>
      </c>
      <c r="N47" s="39">
        <f>+月次PL!H42/1000</f>
        <v>70</v>
      </c>
      <c r="O47" s="75">
        <f t="shared" si="40"/>
        <v>6.0058637822047282E-3</v>
      </c>
      <c r="P47" s="39">
        <f>+月次PL!I42/1000</f>
        <v>70</v>
      </c>
      <c r="Q47" s="75">
        <f t="shared" si="41"/>
        <v>8.9718388078425665E-3</v>
      </c>
      <c r="R47" s="39">
        <f>+月次PL!J42/1000</f>
        <v>70</v>
      </c>
      <c r="S47" s="75">
        <f t="shared" si="42"/>
        <v>8.6618548000905789E-3</v>
      </c>
      <c r="T47" s="39">
        <f>+月次PL!K42/1000</f>
        <v>70</v>
      </c>
      <c r="U47" s="75">
        <f t="shared" si="43"/>
        <v>8.0036588154584962E-3</v>
      </c>
      <c r="V47" s="39">
        <f>+月次PL!L42/1000</f>
        <v>70</v>
      </c>
      <c r="W47" s="75">
        <f t="shared" si="44"/>
        <v>9.7168320795381017E-3</v>
      </c>
      <c r="X47" s="39">
        <f>+月次PL!M42/1000</f>
        <v>70</v>
      </c>
      <c r="Y47" s="75">
        <f t="shared" si="45"/>
        <v>9.2155220988219926E-3</v>
      </c>
      <c r="Z47" s="39">
        <f>+月次PL!N42/1000</f>
        <v>70</v>
      </c>
      <c r="AA47" s="476">
        <f t="shared" si="46"/>
        <v>9.0941652745015322E-3</v>
      </c>
      <c r="AB47" s="4"/>
    </row>
    <row r="48" spans="3:28">
      <c r="C48" s="5" t="s">
        <v>246</v>
      </c>
      <c r="D48" s="149">
        <f>+月次PL!C41/1000</f>
        <v>64.599000000000004</v>
      </c>
      <c r="E48" s="75">
        <f t="shared" si="34"/>
        <v>6.9651716617927682E-3</v>
      </c>
      <c r="F48" s="39">
        <f>+月次PL!D41/1000</f>
        <v>47.521000000000001</v>
      </c>
      <c r="G48" s="75">
        <f t="shared" si="35"/>
        <v>4.768351495567192E-3</v>
      </c>
      <c r="H48" s="39">
        <f>+月次PL!E41/1000</f>
        <v>42.6</v>
      </c>
      <c r="I48" s="75">
        <f t="shared" si="37"/>
        <v>5.4143620146663123E-3</v>
      </c>
      <c r="J48" s="39">
        <f>+月次PL!F41/1000</f>
        <v>71.638999999999996</v>
      </c>
      <c r="K48" s="75">
        <f t="shared" si="38"/>
        <v>8.627136552714779E-3</v>
      </c>
      <c r="L48" s="39">
        <f>+月次PL!G41/1000</f>
        <v>42.72</v>
      </c>
      <c r="M48" s="75">
        <f t="shared" si="39"/>
        <v>5.2218676464350668E-3</v>
      </c>
      <c r="N48" s="39">
        <f>+月次PL!H41/1000</f>
        <v>42.24</v>
      </c>
      <c r="O48" s="75">
        <f t="shared" si="40"/>
        <v>3.6241098022903964E-3</v>
      </c>
      <c r="P48" s="39">
        <f>+月次PL!I41/1000</f>
        <v>71.158000000000001</v>
      </c>
      <c r="Q48" s="75">
        <f t="shared" si="41"/>
        <v>9.1202586555494472E-3</v>
      </c>
      <c r="R48" s="39">
        <f>+月次PL!J41/1000</f>
        <v>41.88</v>
      </c>
      <c r="S48" s="75">
        <f t="shared" si="42"/>
        <v>5.1822639861113353E-3</v>
      </c>
      <c r="T48" s="39">
        <f>+月次PL!K41/1000</f>
        <v>62.28</v>
      </c>
      <c r="U48" s="75">
        <f t="shared" si="43"/>
        <v>7.1209695860965016E-3</v>
      </c>
      <c r="V48" s="39">
        <f>+月次PL!L41/1000</f>
        <v>108.288</v>
      </c>
      <c r="W48" s="75">
        <f t="shared" si="44"/>
        <v>1.5031661603271742E-2</v>
      </c>
      <c r="X48" s="39">
        <f>+月次PL!M41/1000</f>
        <v>38.869999999999997</v>
      </c>
      <c r="Y48" s="75">
        <f t="shared" si="45"/>
        <v>5.1172477711601549E-3</v>
      </c>
      <c r="Z48" s="39">
        <f>+月次PL!N41/1000</f>
        <v>58.99</v>
      </c>
      <c r="AA48" s="476">
        <f t="shared" si="46"/>
        <v>7.6637829934692201E-3</v>
      </c>
      <c r="AB48" s="4"/>
    </row>
    <row r="49" spans="2:77">
      <c r="C49" s="4"/>
      <c r="D49" s="151"/>
      <c r="E49" s="77">
        <f t="shared" si="34"/>
        <v>0</v>
      </c>
      <c r="F49" s="76"/>
      <c r="G49" s="77">
        <f t="shared" si="35"/>
        <v>0</v>
      </c>
      <c r="H49" s="76"/>
      <c r="I49" s="77">
        <f t="shared" si="37"/>
        <v>0</v>
      </c>
      <c r="J49" s="76"/>
      <c r="K49" s="77">
        <f t="shared" si="38"/>
        <v>0</v>
      </c>
      <c r="L49" s="76"/>
      <c r="M49" s="77">
        <f t="shared" si="39"/>
        <v>0</v>
      </c>
      <c r="N49" s="76"/>
      <c r="O49" s="77">
        <f t="shared" si="40"/>
        <v>0</v>
      </c>
      <c r="P49" s="76"/>
      <c r="Q49" s="77">
        <f t="shared" si="41"/>
        <v>0</v>
      </c>
      <c r="R49" s="76"/>
      <c r="S49" s="77">
        <f t="shared" si="42"/>
        <v>0</v>
      </c>
      <c r="T49" s="76"/>
      <c r="U49" s="77">
        <f t="shared" si="43"/>
        <v>0</v>
      </c>
      <c r="V49" s="76"/>
      <c r="W49" s="77">
        <f t="shared" si="44"/>
        <v>0</v>
      </c>
      <c r="X49" s="76"/>
      <c r="Y49" s="77">
        <f t="shared" si="45"/>
        <v>0</v>
      </c>
      <c r="Z49" s="76"/>
      <c r="AA49" s="162">
        <f t="shared" si="46"/>
        <v>0</v>
      </c>
      <c r="AB49" s="4"/>
    </row>
    <row r="50" spans="2:77" s="47" customFormat="1" ht="16.899999999999999" thickBot="1">
      <c r="B50" s="52" t="s">
        <v>149</v>
      </c>
      <c r="C50" s="52"/>
      <c r="D50" s="153">
        <f>+D22-D28</f>
        <v>110.27499999999964</v>
      </c>
      <c r="E50" s="82">
        <f t="shared" si="34"/>
        <v>1.18900339789191E-2</v>
      </c>
      <c r="F50" s="81">
        <f>+F22-F28</f>
        <v>969.21599999999944</v>
      </c>
      <c r="G50" s="82">
        <f t="shared" si="35"/>
        <v>9.7253057871838744E-2</v>
      </c>
      <c r="H50" s="81">
        <f>+H22-H28</f>
        <v>-684.85500000000138</v>
      </c>
      <c r="I50" s="82">
        <f t="shared" si="37"/>
        <v>-8.7043495247753636E-2</v>
      </c>
      <c r="J50" s="81">
        <f>+J22-J28</f>
        <v>25.891999999999825</v>
      </c>
      <c r="K50" s="82">
        <f t="shared" si="38"/>
        <v>3.1180477061780532E-3</v>
      </c>
      <c r="L50" s="81">
        <f>+L22-L28</f>
        <v>-264.61599999999999</v>
      </c>
      <c r="M50" s="82">
        <f t="shared" si="39"/>
        <v>-3.2345265194968671E-2</v>
      </c>
      <c r="N50" s="81">
        <f>+N22-N28</f>
        <v>1487.4320000000007</v>
      </c>
      <c r="O50" s="82">
        <f t="shared" si="40"/>
        <v>0.12761877110417641</v>
      </c>
      <c r="P50" s="81">
        <f>+P22-P28</f>
        <v>-1083.1920000000009</v>
      </c>
      <c r="Q50" s="82">
        <f t="shared" si="41"/>
        <v>-0.1388317717420659</v>
      </c>
      <c r="R50" s="81">
        <f>+R22-R28</f>
        <v>-3159.003999999999</v>
      </c>
      <c r="S50" s="82">
        <f t="shared" si="42"/>
        <v>-0.39089762801293326</v>
      </c>
      <c r="T50" s="81">
        <f>+T22-T28</f>
        <v>-826.45499999999902</v>
      </c>
      <c r="U50" s="82">
        <f t="shared" si="43"/>
        <v>-9.4495197804710607E-2</v>
      </c>
      <c r="V50" s="81">
        <f>+V22-V28</f>
        <v>-1592.8609999999999</v>
      </c>
      <c r="W50" s="82">
        <f t="shared" si="44"/>
        <v>-0.22110804090064484</v>
      </c>
      <c r="X50" s="81">
        <f>+X22-X28</f>
        <v>-920.23499999999876</v>
      </c>
      <c r="Y50" s="82">
        <f t="shared" si="45"/>
        <v>-0.12114922826584922</v>
      </c>
      <c r="Z50" s="81">
        <f>+Z22-Z28</f>
        <v>-875.17900000000009</v>
      </c>
      <c r="AA50" s="477">
        <f t="shared" si="46"/>
        <v>-0.11370032101104253</v>
      </c>
      <c r="AB50" s="480"/>
      <c r="AC50" s="486"/>
    </row>
    <row r="51" spans="2:77" s="6" customFormat="1" ht="16.899999999999999" thickTop="1">
      <c r="B51" s="154"/>
      <c r="C51" s="154" t="s">
        <v>193</v>
      </c>
      <c r="D51" s="155">
        <f>+D50</f>
        <v>110.27499999999964</v>
      </c>
      <c r="E51" s="156"/>
      <c r="F51" s="108">
        <f>+D51+F50</f>
        <v>1079.4909999999991</v>
      </c>
      <c r="G51" s="156"/>
      <c r="H51" s="108">
        <f>+F51+H50</f>
        <v>394.63599999999769</v>
      </c>
      <c r="I51" s="156"/>
      <c r="J51" s="108">
        <f>+H51+J50</f>
        <v>420.52799999999752</v>
      </c>
      <c r="K51" s="156"/>
      <c r="L51" s="108">
        <f>+J51+L50</f>
        <v>155.91199999999753</v>
      </c>
      <c r="M51" s="156"/>
      <c r="N51" s="108">
        <f>+L51+N50</f>
        <v>1643.3439999999982</v>
      </c>
      <c r="O51" s="156"/>
      <c r="P51" s="108">
        <f>+N51+P50</f>
        <v>560.15199999999732</v>
      </c>
      <c r="Q51" s="156"/>
      <c r="R51" s="108">
        <f>+P51+R50</f>
        <v>-2598.8520000000017</v>
      </c>
      <c r="S51" s="156"/>
      <c r="T51" s="108">
        <f>+R51+T50</f>
        <v>-3425.3070000000007</v>
      </c>
      <c r="U51" s="156"/>
      <c r="V51" s="108">
        <f>+T51+V50</f>
        <v>-5018.1680000000006</v>
      </c>
      <c r="W51" s="156"/>
      <c r="X51" s="108">
        <f>+V51+X50</f>
        <v>-5938.4029999999993</v>
      </c>
      <c r="Y51" s="156"/>
      <c r="Z51" s="108">
        <f>+X51+Z50</f>
        <v>-6813.5819999999994</v>
      </c>
      <c r="AA51" s="156"/>
      <c r="AB51" s="4"/>
      <c r="AC51" s="13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2:77">
      <c r="B52" s="1" t="s">
        <v>146</v>
      </c>
      <c r="D52" s="151">
        <f>+月次PL!C50/1000</f>
        <v>0</v>
      </c>
      <c r="E52" s="77">
        <f>IF(D$10&lt;&gt;0,D52/D$10,0)</f>
        <v>0</v>
      </c>
      <c r="F52" s="76">
        <f>+月次PL!D50/1000</f>
        <v>33.39</v>
      </c>
      <c r="G52" s="77">
        <f>IF(F$10&lt;&gt;0,F52/F$10,0)</f>
        <v>3.3504188976870974E-3</v>
      </c>
      <c r="H52" s="76">
        <f>+月次PL!E50/1000</f>
        <v>403.66899999999998</v>
      </c>
      <c r="I52" s="77">
        <f>IF(H$10&lt;&gt;0,H52/H$10,0)</f>
        <v>5.1305401410759045E-2</v>
      </c>
      <c r="J52" s="76">
        <f>+月次PL!F50/1000</f>
        <v>0</v>
      </c>
      <c r="K52" s="77">
        <f>IF(J$10&lt;&gt;0,J52/J$10,0)</f>
        <v>0</v>
      </c>
      <c r="L52" s="76">
        <f>+月次PL!G50/1000</f>
        <v>0</v>
      </c>
      <c r="M52" s="77">
        <f>IF(L$10&lt;&gt;0,L52/L$10,0)</f>
        <v>0</v>
      </c>
      <c r="N52" s="76">
        <f>+月次PL!H50/1000</f>
        <v>0</v>
      </c>
      <c r="O52" s="77">
        <f>IF(N$10&lt;&gt;0,N52/N$10,0)</f>
        <v>0</v>
      </c>
      <c r="P52" s="76">
        <f>+月次PL!I50/1000</f>
        <v>0</v>
      </c>
      <c r="Q52" s="77">
        <f>IF(P$10&lt;&gt;0,P52/P$10,0)</f>
        <v>0</v>
      </c>
      <c r="R52" s="76">
        <f>+月次PL!J50/1000</f>
        <v>33.136000000000003</v>
      </c>
      <c r="S52" s="77">
        <f>IF(R$10&lt;&gt;0,R52/R$10,0)</f>
        <v>4.1002745807971631E-3</v>
      </c>
      <c r="T52" s="76">
        <f>+月次PL!K50/1000</f>
        <v>1000.001</v>
      </c>
      <c r="U52" s="77">
        <f>IF(T$10&lt;&gt;0,T52/T$10,0)</f>
        <v>0.11433809741596158</v>
      </c>
      <c r="V52" s="76">
        <f>+月次PL!L50/1000</f>
        <v>0</v>
      </c>
      <c r="W52" s="77">
        <f>IF(V$10&lt;&gt;0,V52/V$10,0)</f>
        <v>0</v>
      </c>
      <c r="X52" s="76">
        <f>+月次PL!M50/1000</f>
        <v>400</v>
      </c>
      <c r="Y52" s="77">
        <f>IF(X$10&lt;&gt;0,X52/X$10,0)</f>
        <v>5.2660126278982818E-2</v>
      </c>
      <c r="Z52" s="76">
        <f>+月次PL!N50/1000</f>
        <v>0.23899999999999999</v>
      </c>
      <c r="AA52" s="162">
        <f>IF(Z$10&lt;&gt;0,Z52/Z$10,0)</f>
        <v>3.1050078580083801E-5</v>
      </c>
      <c r="AB52" s="4"/>
    </row>
    <row r="53" spans="2:77">
      <c r="B53" s="157" t="s">
        <v>147</v>
      </c>
      <c r="C53" s="157"/>
      <c r="D53" s="158">
        <f>+月次PL!C55/1000</f>
        <v>147.96199999999999</v>
      </c>
      <c r="E53" s="84">
        <f>IF(D$10&lt;&gt;0,D53/D$10,0)</f>
        <v>1.5953509023702867E-2</v>
      </c>
      <c r="F53" s="83">
        <f>+月次PL!D55/1000</f>
        <v>82.191000000000003</v>
      </c>
      <c r="G53" s="84">
        <f>IF(F$10&lt;&gt;0,F53/F$10,0)</f>
        <v>8.2472081347649065E-3</v>
      </c>
      <c r="H53" s="83">
        <f>+月次PL!E55/1000</f>
        <v>206.05600000000001</v>
      </c>
      <c r="I53" s="84">
        <f>IF(H$10&lt;&gt;0,H53/H$10,0)</f>
        <v>2.618924364540098E-2</v>
      </c>
      <c r="J53" s="83">
        <f>+月次PL!F55/1000</f>
        <v>152.44800000000001</v>
      </c>
      <c r="K53" s="84">
        <f>IF(J$10&lt;&gt;0,J53/J$10,0)</f>
        <v>1.835857163260602E-2</v>
      </c>
      <c r="L53" s="83">
        <f>+月次PL!G55/1000</f>
        <v>72.430000000000007</v>
      </c>
      <c r="M53" s="84">
        <f>IF(L$10&lt;&gt;0,L53/L$10,0)</f>
        <v>8.8534614614066472E-3</v>
      </c>
      <c r="N53" s="83">
        <f>+月次PL!H55/1000</f>
        <v>74.483999999999995</v>
      </c>
      <c r="O53" s="84">
        <f>IF(N$10&lt;&gt;0,N53/N$10,0)</f>
        <v>6.3905822564819569E-3</v>
      </c>
      <c r="P53" s="83">
        <f>+月次PL!I55/1000</f>
        <v>148.21700000000001</v>
      </c>
      <c r="Q53" s="84">
        <f>IF(P$10&lt;&gt;0,P53/P$10,0)</f>
        <v>1.8996843322600026E-2</v>
      </c>
      <c r="R53" s="83">
        <f>+月次PL!J55/1000</f>
        <v>130.72900000000001</v>
      </c>
      <c r="S53" s="84">
        <f>IF(R$10&lt;&gt;0,R53/R$10,0)</f>
        <v>1.617650880230059E-2</v>
      </c>
      <c r="T53" s="83">
        <f>+月次PL!K55/1000</f>
        <v>199.64500000000001</v>
      </c>
      <c r="U53" s="84">
        <f>IF(T$10&lt;&gt;0,T53/T$10,0)</f>
        <v>2.282700663160302E-2</v>
      </c>
      <c r="V53" s="83">
        <f>+月次PL!L55/1000</f>
        <v>143.44499999999999</v>
      </c>
      <c r="W53" s="84">
        <f>IF(V$10&lt;&gt;0,V53/V$10,0)</f>
        <v>1.9911871109276325E-2</v>
      </c>
      <c r="X53" s="83">
        <f>+月次PL!M55/1000</f>
        <v>81.533000000000001</v>
      </c>
      <c r="Y53" s="84">
        <f>IF(X$10&lt;&gt;0,X53/X$10,0)</f>
        <v>1.0733845189760765E-2</v>
      </c>
      <c r="Z53" s="83">
        <f>+月次PL!N55/1000</f>
        <v>127.161</v>
      </c>
      <c r="AA53" s="478">
        <f>IF(Z$10&lt;&gt;0,Z53/Z$10,0)</f>
        <v>1.6520330721012704E-2</v>
      </c>
      <c r="AB53" s="4"/>
    </row>
    <row r="54" spans="2:77" s="47" customFormat="1" ht="16.899999999999999" thickBot="1">
      <c r="B54" s="52" t="s">
        <v>148</v>
      </c>
      <c r="C54" s="52"/>
      <c r="D54" s="153">
        <f>+D50+D52-D53</f>
        <v>-37.687000000000353</v>
      </c>
      <c r="E54" s="82">
        <f>IF(D$10&lt;&gt;0,D54/D$10,0)</f>
        <v>-4.0634750447837657E-3</v>
      </c>
      <c r="F54" s="81">
        <f>+F50+F52-F53</f>
        <v>920.4149999999994</v>
      </c>
      <c r="G54" s="82">
        <f>IF(F$10&lt;&gt;0,F54/F$10,0)</f>
        <v>9.235626863476093E-2</v>
      </c>
      <c r="H54" s="81">
        <f t="shared" ref="H54:Z54" si="47">+H50+H52-H53</f>
        <v>-487.24200000000144</v>
      </c>
      <c r="I54" s="82">
        <f>IF(H$10&lt;&gt;0,H54/H$10,0)</f>
        <v>-6.1927337482395567E-2</v>
      </c>
      <c r="J54" s="81">
        <f t="shared" si="47"/>
        <v>-126.55600000000018</v>
      </c>
      <c r="K54" s="82">
        <f>IF(J$10&lt;&gt;0,J54/J$10,0)</f>
        <v>-1.5240523926427968E-2</v>
      </c>
      <c r="L54" s="81">
        <f t="shared" si="47"/>
        <v>-337.04599999999999</v>
      </c>
      <c r="M54" s="82">
        <f>IF(L$10&lt;&gt;0,L54/L$10,0)</f>
        <v>-4.119872665637532E-2</v>
      </c>
      <c r="N54" s="81">
        <f t="shared" si="47"/>
        <v>1412.9480000000008</v>
      </c>
      <c r="O54" s="82">
        <f>IF(N$10&lt;&gt;0,N54/N$10,0)</f>
        <v>0.12122818884769446</v>
      </c>
      <c r="P54" s="81">
        <f t="shared" si="47"/>
        <v>-1231.409000000001</v>
      </c>
      <c r="Q54" s="82">
        <f>IF(P$10&lt;&gt;0,P54/P$10,0)</f>
        <v>-0.15782861506466594</v>
      </c>
      <c r="R54" s="81">
        <f t="shared" si="47"/>
        <v>-3256.5969999999988</v>
      </c>
      <c r="S54" s="82">
        <f>IF(R$10&lt;&gt;0,R54/R$10,0)</f>
        <v>-0.40297386223443665</v>
      </c>
      <c r="T54" s="81">
        <f t="shared" si="47"/>
        <v>-26.098999999999052</v>
      </c>
      <c r="U54" s="82">
        <f>IF(T$10&lt;&gt;0,T54/T$10,0)</f>
        <v>-2.9841070203520527E-3</v>
      </c>
      <c r="V54" s="81">
        <f t="shared" si="47"/>
        <v>-1736.3059999999998</v>
      </c>
      <c r="W54" s="82">
        <f>IF(V$10&lt;&gt;0,V54/V$10,0)</f>
        <v>-0.24101991200992115</v>
      </c>
      <c r="X54" s="81">
        <f t="shared" si="47"/>
        <v>-601.76799999999878</v>
      </c>
      <c r="Y54" s="82">
        <f>IF(X$10&lt;&gt;0,X54/X$10,0)</f>
        <v>-7.9222947176627173E-2</v>
      </c>
      <c r="Z54" s="81">
        <f t="shared" si="47"/>
        <v>-1002.1010000000001</v>
      </c>
      <c r="AA54" s="477">
        <f>IF(Z$10&lt;&gt;0,Z54/Z$10,0)</f>
        <v>-0.13018960165347515</v>
      </c>
      <c r="AB54" s="480"/>
      <c r="AC54" s="486"/>
    </row>
    <row r="55" spans="2:77" ht="16.899999999999999" thickTop="1">
      <c r="B55" s="159"/>
      <c r="C55" s="159" t="s">
        <v>193</v>
      </c>
      <c r="D55" s="160">
        <f>+D54</f>
        <v>-37.687000000000353</v>
      </c>
      <c r="E55" s="161"/>
      <c r="F55" s="85">
        <f>+D55+F54</f>
        <v>882.72799999999904</v>
      </c>
      <c r="G55" s="161"/>
      <c r="H55" s="85">
        <f>+F55+H54</f>
        <v>395.4859999999976</v>
      </c>
      <c r="I55" s="161"/>
      <c r="J55" s="85">
        <f>+H55+J54</f>
        <v>268.92999999999745</v>
      </c>
      <c r="K55" s="161"/>
      <c r="L55" s="85">
        <f>+J55+L54</f>
        <v>-68.116000000002543</v>
      </c>
      <c r="M55" s="161"/>
      <c r="N55" s="85">
        <f>+L55+N54</f>
        <v>1344.8319999999983</v>
      </c>
      <c r="O55" s="161"/>
      <c r="P55" s="85">
        <f>+N55+P54</f>
        <v>113.42299999999727</v>
      </c>
      <c r="Q55" s="161"/>
      <c r="R55" s="85">
        <f>+P55+R54</f>
        <v>-3143.1740000000018</v>
      </c>
      <c r="S55" s="161"/>
      <c r="T55" s="85">
        <f>+R55+T54</f>
        <v>-3169.273000000001</v>
      </c>
      <c r="U55" s="161"/>
      <c r="V55" s="85">
        <f>+T55+V54</f>
        <v>-4905.5790000000006</v>
      </c>
      <c r="W55" s="161"/>
      <c r="X55" s="85">
        <f>+V55+X54</f>
        <v>-5507.3469999999998</v>
      </c>
      <c r="Y55" s="161"/>
      <c r="Z55" s="85">
        <f>+X55+Z54</f>
        <v>-6509.4480000000003</v>
      </c>
      <c r="AA55" s="161"/>
      <c r="AB55" s="4"/>
    </row>
    <row r="56" spans="2:77" s="58" customFormat="1">
      <c r="B56" s="531" t="s">
        <v>204</v>
      </c>
      <c r="C56" s="531"/>
      <c r="D56" s="60">
        <f>+BS千円!D80</f>
        <v>-17737.607</v>
      </c>
      <c r="E56" s="59">
        <f>+D56/BS千円!D93</f>
        <v>-0.12959967761420718</v>
      </c>
      <c r="F56" s="63">
        <f>+BS千円!E80</f>
        <v>-16817.191999999999</v>
      </c>
      <c r="G56" s="59">
        <f>+F56/BS千円!E93</f>
        <v>-0.12424066820429699</v>
      </c>
      <c r="H56" s="63">
        <f>+BS千円!F80</f>
        <v>-17304.434000000001</v>
      </c>
      <c r="I56" s="59">
        <f>+H56/BS千円!F93</f>
        <v>-0.1286806232313876</v>
      </c>
      <c r="J56" s="63">
        <f>+BS千円!G80</f>
        <v>-17430.990000000002</v>
      </c>
      <c r="K56" s="59">
        <f>+J56/BS千円!G93</f>
        <v>-0.12900695663252265</v>
      </c>
      <c r="L56" s="63">
        <f>+BS千円!H80</f>
        <v>-17768.036</v>
      </c>
      <c r="M56" s="59">
        <f>+L56/BS千円!H93</f>
        <v>-0.1301949744929598</v>
      </c>
      <c r="N56" s="63">
        <f>+BS千円!I80</f>
        <v>-16355.088</v>
      </c>
      <c r="O56" s="59">
        <f>+N56/BS千円!I93</f>
        <v>-0.11702246731275266</v>
      </c>
      <c r="P56" s="63">
        <f>+BS千円!J80</f>
        <v>-17586.496999999999</v>
      </c>
      <c r="Q56" s="59">
        <f>+P56/BS千円!J93</f>
        <v>-0.12825697397095867</v>
      </c>
      <c r="R56" s="63">
        <f>+BS千円!K80</f>
        <v>-20843.094000000001</v>
      </c>
      <c r="S56" s="59">
        <f>+R56/BS千円!K93</f>
        <v>-0.15658713378840389</v>
      </c>
      <c r="T56" s="63">
        <f>+BS千円!L80</f>
        <v>-20870.899000000001</v>
      </c>
      <c r="U56" s="59">
        <f>+T56/BS千円!L93</f>
        <v>-0.15701267507146571</v>
      </c>
      <c r="V56" s="63">
        <f>+BS千円!M80</f>
        <v>-22607.205000000002</v>
      </c>
      <c r="W56" s="59">
        <f>+V56/BS千円!M93</f>
        <v>-0.1719857744626378</v>
      </c>
      <c r="X56" s="63">
        <f>+BS千円!N80</f>
        <v>-23208.973000000002</v>
      </c>
      <c r="Y56" s="59">
        <f>+X56/BS千円!N93</f>
        <v>-0.17546385688694854</v>
      </c>
      <c r="Z56" s="63">
        <f>+BS千円!O80</f>
        <v>-24211.074000000001</v>
      </c>
      <c r="AA56" s="59" t="e">
        <f>+Z56/BS千円!Z92</f>
        <v>#DIV/0!</v>
      </c>
      <c r="AB56" s="4"/>
      <c r="AC56" s="13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2:77">
      <c r="C57" s="28" t="s">
        <v>197</v>
      </c>
      <c r="D57" s="151">
        <f>+D16+D29</f>
        <v>4506.866</v>
      </c>
      <c r="E57" s="162">
        <f>+D57/D10</f>
        <v>0.48593779078154964</v>
      </c>
      <c r="F57" s="76">
        <f>+F16+F29</f>
        <v>4472.2740000000003</v>
      </c>
      <c r="G57" s="162">
        <f>+F57/F10</f>
        <v>0.4487568531067585</v>
      </c>
      <c r="H57" s="73">
        <f>+H16+H29</f>
        <v>3873.0479999999998</v>
      </c>
      <c r="I57" s="74">
        <f>+H57/H10</f>
        <v>0.49225549230467908</v>
      </c>
      <c r="J57" s="76">
        <f>+J16+J29</f>
        <v>4076.17</v>
      </c>
      <c r="K57" s="162">
        <f>+J57/J10</f>
        <v>0.49087333996956128</v>
      </c>
      <c r="L57" s="76">
        <f>+L16+L29</f>
        <v>4178.768</v>
      </c>
      <c r="M57" s="162">
        <f>+L57/L10</f>
        <v>0.5107905763379722</v>
      </c>
      <c r="N57" s="76">
        <f>+N16+N29</f>
        <v>5551.8819999999996</v>
      </c>
      <c r="O57" s="162">
        <f>+N57/N10</f>
        <v>0.47634067181249073</v>
      </c>
      <c r="P57" s="73">
        <f>+P16+P29</f>
        <v>4534.6620000000003</v>
      </c>
      <c r="Q57" s="74">
        <f>+P57/P10</f>
        <v>0.58120366445784277</v>
      </c>
      <c r="R57" s="76">
        <f>+R16+R29</f>
        <v>4660.18</v>
      </c>
      <c r="S57" s="162">
        <f>+R57/R10</f>
        <v>0.57665432146123019</v>
      </c>
      <c r="T57" s="76">
        <f>+T16+T29</f>
        <v>5217.05</v>
      </c>
      <c r="U57" s="162">
        <f>+T57/T10</f>
        <v>0.59650697461696778</v>
      </c>
      <c r="V57" s="76">
        <f>+V16+V29</f>
        <v>4628.5249999999996</v>
      </c>
      <c r="W57" s="162">
        <f>+V57/V10</f>
        <v>0.64249428858491553</v>
      </c>
      <c r="X57" s="76">
        <f>+X16+X29</f>
        <v>4652.92</v>
      </c>
      <c r="Y57" s="162">
        <f>+X57/X10</f>
        <v>0.61255838691501185</v>
      </c>
      <c r="Z57" s="76">
        <f>+Z16+Z29</f>
        <v>4388.7180000000008</v>
      </c>
      <c r="AA57" s="162">
        <f>+Z57/Z10</f>
        <v>0.57016752621685463</v>
      </c>
      <c r="AB57" s="4"/>
    </row>
    <row r="58" spans="2:77">
      <c r="C58" s="397" t="s">
        <v>399</v>
      </c>
      <c r="D58" s="9">
        <f>+D57-D21</f>
        <v>4439.866</v>
      </c>
      <c r="E58" s="398">
        <f>+D58/D59</f>
        <v>0.53566101961567814</v>
      </c>
      <c r="F58" s="10">
        <f>+F57-F21</f>
        <v>4427.2740000000003</v>
      </c>
      <c r="G58" s="398">
        <f>+F58/F59</f>
        <v>0.54309599286940824</v>
      </c>
      <c r="H58" s="10">
        <f>+H57-H21</f>
        <v>3867.0479999999998</v>
      </c>
      <c r="I58" s="398">
        <f>+H58/H59</f>
        <v>0.56020117737846775</v>
      </c>
      <c r="J58" s="10">
        <f>+J57-J21</f>
        <v>4035.17</v>
      </c>
      <c r="K58" s="398">
        <f>+J58/J59</f>
        <v>0.58371476919863308</v>
      </c>
      <c r="L58" s="10">
        <f>+L57-L21</f>
        <v>4172.768</v>
      </c>
      <c r="M58" s="398">
        <f>+L58/L59</f>
        <v>0.58052017666713362</v>
      </c>
      <c r="N58" s="10">
        <f>+N57-N21</f>
        <v>5523.8819999999996</v>
      </c>
      <c r="O58" s="398">
        <f>+N58/N59</f>
        <v>0.53711919050013823</v>
      </c>
      <c r="P58" s="10">
        <f>+P57-P21</f>
        <v>4530.6620000000003</v>
      </c>
      <c r="Q58" s="398">
        <f>+P58/P59</f>
        <v>0.67258514492834309</v>
      </c>
      <c r="R58" s="10">
        <f>+R57-R21</f>
        <v>4621.18</v>
      </c>
      <c r="S58" s="398">
        <f>+R58/R59</f>
        <v>0.65221066953076823</v>
      </c>
      <c r="T58" s="10">
        <f>+T57-T21</f>
        <v>5182.05</v>
      </c>
      <c r="U58" s="399">
        <f>+T58/T59</f>
        <v>0.67246950428237739</v>
      </c>
      <c r="V58" s="10">
        <f>+V57-V21</f>
        <v>4605.5249999999996</v>
      </c>
      <c r="W58" s="399">
        <f>+V58/V59</f>
        <v>0.73688470740931911</v>
      </c>
      <c r="X58" s="10">
        <f>+X57-X21</f>
        <v>4631.92</v>
      </c>
      <c r="Y58" s="399">
        <f>+X58/X59</f>
        <v>0.69206679336847521</v>
      </c>
      <c r="Z58" s="10">
        <f>+Z57-Z21</f>
        <v>4364.7180000000008</v>
      </c>
      <c r="AA58" s="399">
        <f>+Z58/Z59</f>
        <v>0.64355081349930998</v>
      </c>
      <c r="AB58" s="490">
        <f>+D58+F58+H58+J58</f>
        <v>16769.358</v>
      </c>
      <c r="AC58" s="13">
        <f>+AB58/AB59</f>
        <v>0.55424224896252428</v>
      </c>
    </row>
    <row r="59" spans="2:77">
      <c r="C59" s="397" t="s">
        <v>400</v>
      </c>
      <c r="D59" s="9">
        <f>+D10-200-D15</f>
        <v>8288.5740000000005</v>
      </c>
      <c r="E59" s="57"/>
      <c r="F59" s="10">
        <f>+F10-200-F15</f>
        <v>8151.9179999999997</v>
      </c>
      <c r="G59" s="57"/>
      <c r="H59" s="10">
        <f>+H10-200-H15</f>
        <v>6902.9629999999997</v>
      </c>
      <c r="I59" s="57"/>
      <c r="J59" s="10">
        <f>+J10-200-J15</f>
        <v>6912.9140000000007</v>
      </c>
      <c r="K59" s="57"/>
      <c r="L59" s="10">
        <f>+L10-L15-350</f>
        <v>7187.9809999999998</v>
      </c>
      <c r="M59" s="57"/>
      <c r="N59" s="10">
        <f>+N10-N15-350</f>
        <v>10284.276</v>
      </c>
      <c r="O59" s="57"/>
      <c r="P59" s="10">
        <f>+P10-P15-350</f>
        <v>6736.1909999999998</v>
      </c>
      <c r="Q59" s="57"/>
      <c r="R59" s="10">
        <f>+R10-R15-350</f>
        <v>7085.41</v>
      </c>
      <c r="S59" s="57"/>
      <c r="T59" s="10">
        <f>+T10-T15-350</f>
        <v>7706</v>
      </c>
      <c r="U59" s="57"/>
      <c r="V59" s="10">
        <f>+V10-V15-350</f>
        <v>6249.9939999999997</v>
      </c>
      <c r="W59" s="57"/>
      <c r="X59" s="10">
        <f>+X10-X15-350</f>
        <v>6692.88</v>
      </c>
      <c r="Y59" s="57"/>
      <c r="Z59" s="10">
        <f>+Z10-Z15-350</f>
        <v>6782.2430000000004</v>
      </c>
      <c r="AA59" s="57"/>
      <c r="AB59" s="490">
        <f>+D59+F59+H59+J59</f>
        <v>30256.368999999999</v>
      </c>
    </row>
    <row r="60" spans="2:77">
      <c r="D60" s="9"/>
      <c r="E60" s="57"/>
      <c r="F60" s="10"/>
      <c r="G60" s="57"/>
      <c r="H60" s="76"/>
      <c r="I60" s="86"/>
      <c r="J60" s="76"/>
      <c r="K60" s="163"/>
      <c r="L60" s="76"/>
      <c r="M60" s="163"/>
      <c r="N60" s="76"/>
      <c r="O60" s="163"/>
      <c r="P60" s="99"/>
      <c r="Q60" s="163"/>
      <c r="R60" s="99"/>
      <c r="S60" s="163"/>
      <c r="T60" s="99"/>
      <c r="U60" s="163"/>
      <c r="V60" s="99"/>
      <c r="W60" s="163"/>
      <c r="X60" s="100"/>
      <c r="Y60" s="163"/>
      <c r="Z60" s="128"/>
      <c r="AA60" s="163"/>
      <c r="AB60" s="4"/>
    </row>
    <row r="61" spans="2:77">
      <c r="D61" s="9"/>
      <c r="E61" s="57"/>
      <c r="F61" s="10"/>
      <c r="G61" s="57"/>
      <c r="H61" s="76"/>
      <c r="I61" s="86"/>
      <c r="J61" s="76"/>
      <c r="K61" s="163"/>
      <c r="L61" s="76"/>
      <c r="M61" s="163"/>
      <c r="N61" s="76"/>
      <c r="O61" s="163"/>
      <c r="P61" s="99"/>
      <c r="Q61" s="163"/>
      <c r="R61" s="122"/>
      <c r="S61" s="163"/>
      <c r="T61" s="122"/>
      <c r="U61" s="163"/>
      <c r="V61" s="122"/>
      <c r="W61" s="163"/>
      <c r="X61" s="99"/>
      <c r="Y61" s="163"/>
      <c r="Z61" s="99"/>
      <c r="AA61" s="163"/>
      <c r="AB61" s="4"/>
    </row>
    <row r="62" spans="2:77">
      <c r="D62" s="9"/>
      <c r="E62" s="57"/>
      <c r="F62" s="10"/>
      <c r="G62" s="57"/>
      <c r="H62" s="76"/>
      <c r="I62" s="86"/>
      <c r="J62" s="76"/>
      <c r="K62" s="163"/>
      <c r="L62" s="76"/>
      <c r="M62" s="163"/>
      <c r="N62" s="76"/>
      <c r="O62" s="163"/>
      <c r="P62" s="99"/>
      <c r="Q62" s="163"/>
      <c r="R62" s="122"/>
      <c r="S62" s="163"/>
      <c r="T62" s="122"/>
      <c r="U62" s="163"/>
      <c r="V62" s="122"/>
      <c r="W62" s="163"/>
      <c r="X62" s="122"/>
      <c r="Y62" s="163"/>
      <c r="Z62" s="122"/>
      <c r="AA62" s="163"/>
      <c r="AB62" s="4"/>
    </row>
    <row r="63" spans="2:77">
      <c r="D63" s="9"/>
      <c r="E63" s="57"/>
      <c r="F63" s="10"/>
      <c r="G63" s="57"/>
      <c r="H63" s="530"/>
      <c r="I63" s="86"/>
      <c r="J63" s="76"/>
      <c r="K63" s="163"/>
      <c r="L63" s="76"/>
      <c r="M63" s="163"/>
      <c r="N63" s="76"/>
      <c r="O63" s="163"/>
      <c r="P63" s="99"/>
      <c r="Q63" s="163"/>
      <c r="R63" s="99"/>
      <c r="S63" s="163"/>
      <c r="T63" s="99"/>
      <c r="U63" s="163"/>
      <c r="V63" s="99"/>
      <c r="W63" s="163"/>
      <c r="X63" s="122"/>
      <c r="Y63" s="163"/>
      <c r="Z63" s="122"/>
      <c r="AA63" s="163"/>
      <c r="AB63" s="4"/>
    </row>
    <row r="64" spans="2:77">
      <c r="D64" s="9"/>
      <c r="E64" s="57"/>
      <c r="F64" s="10"/>
      <c r="G64" s="57"/>
      <c r="H64" s="530"/>
      <c r="I64" s="86"/>
      <c r="J64" s="76"/>
      <c r="K64" s="163"/>
      <c r="L64" s="76"/>
      <c r="M64" s="163"/>
      <c r="N64" s="76"/>
      <c r="O64" s="163"/>
      <c r="P64" s="99"/>
      <c r="Q64" s="163"/>
      <c r="R64" s="122"/>
      <c r="S64" s="163"/>
      <c r="T64" s="122"/>
      <c r="U64" s="163"/>
      <c r="V64" s="122"/>
      <c r="W64" s="163"/>
      <c r="X64" s="122"/>
      <c r="Y64" s="163"/>
      <c r="Z64" s="122"/>
      <c r="AA64" s="163"/>
      <c r="AB64" s="4"/>
    </row>
    <row r="65" spans="4:28">
      <c r="D65" s="9"/>
      <c r="E65" s="57"/>
      <c r="F65" s="10"/>
      <c r="G65" s="57"/>
      <c r="H65" s="530"/>
      <c r="I65" s="86"/>
      <c r="J65" s="76"/>
      <c r="K65" s="163"/>
      <c r="L65" s="76"/>
      <c r="M65" s="163"/>
      <c r="N65" s="76"/>
      <c r="O65" s="163"/>
      <c r="P65" s="99"/>
      <c r="Q65" s="163"/>
      <c r="R65" s="122"/>
      <c r="S65" s="163"/>
      <c r="T65" s="122"/>
      <c r="U65" s="163"/>
      <c r="V65" s="122"/>
      <c r="W65" s="163"/>
      <c r="X65" s="99"/>
      <c r="Y65" s="163"/>
      <c r="Z65" s="99"/>
      <c r="AA65" s="163"/>
      <c r="AB65" s="4"/>
    </row>
    <row r="66" spans="4:28">
      <c r="D66" s="9"/>
      <c r="E66" s="57"/>
      <c r="F66" s="10"/>
      <c r="G66" s="57"/>
      <c r="H66" s="70"/>
      <c r="I66" s="163"/>
      <c r="J66" s="76"/>
      <c r="K66" s="163"/>
      <c r="L66" s="76"/>
      <c r="M66" s="163"/>
      <c r="N66" s="76"/>
      <c r="O66" s="163"/>
      <c r="P66" s="76"/>
      <c r="Q66" s="163"/>
      <c r="R66" s="122"/>
      <c r="S66" s="163"/>
      <c r="T66" s="122"/>
      <c r="U66" s="163"/>
      <c r="V66" s="122"/>
      <c r="W66" s="163"/>
      <c r="X66" s="122"/>
      <c r="Y66" s="163"/>
      <c r="Z66" s="122"/>
      <c r="AA66" s="86"/>
    </row>
    <row r="67" spans="4:28">
      <c r="D67" s="9"/>
      <c r="E67" s="57"/>
      <c r="F67" s="10"/>
      <c r="G67" s="57"/>
      <c r="H67" s="70"/>
      <c r="I67" s="163"/>
      <c r="J67" s="76"/>
      <c r="K67" s="163"/>
      <c r="L67" s="76"/>
      <c r="M67" s="163"/>
      <c r="N67" s="76"/>
      <c r="O67" s="163"/>
      <c r="P67" s="76"/>
      <c r="Q67" s="163"/>
      <c r="R67" s="122"/>
      <c r="S67" s="163"/>
      <c r="T67" s="122"/>
      <c r="U67" s="163"/>
      <c r="V67" s="87"/>
      <c r="W67" s="163"/>
      <c r="X67" s="122"/>
      <c r="Y67" s="163"/>
      <c r="Z67" s="122"/>
      <c r="AA67" s="86"/>
    </row>
    <row r="68" spans="4:28">
      <c r="D68" s="9"/>
      <c r="E68" s="57"/>
      <c r="F68" s="10"/>
      <c r="G68" s="57"/>
      <c r="H68" s="70"/>
      <c r="I68" s="163"/>
      <c r="J68" s="76"/>
      <c r="K68" s="163"/>
      <c r="L68" s="70"/>
      <c r="M68" s="163"/>
      <c r="N68" s="76"/>
      <c r="O68" s="163"/>
      <c r="P68" s="76"/>
      <c r="Q68" s="163"/>
      <c r="R68" s="76"/>
      <c r="S68" s="163"/>
      <c r="T68" s="124"/>
      <c r="U68" s="163"/>
      <c r="V68" s="122"/>
      <c r="W68" s="163"/>
      <c r="X68" s="122"/>
      <c r="Y68" s="163"/>
      <c r="Z68" s="122"/>
      <c r="AA68" s="86"/>
    </row>
    <row r="69" spans="4:28">
      <c r="D69" s="9"/>
      <c r="E69" s="57"/>
      <c r="F69" s="10"/>
      <c r="G69" s="57"/>
      <c r="H69" s="70"/>
      <c r="I69" s="163"/>
      <c r="J69" s="76"/>
      <c r="K69" s="163"/>
      <c r="L69" s="70"/>
      <c r="M69" s="163"/>
      <c r="N69" s="76"/>
      <c r="O69" s="163"/>
      <c r="P69" s="76"/>
      <c r="Q69" s="163"/>
      <c r="R69" s="76"/>
      <c r="S69" s="163"/>
      <c r="T69" s="76"/>
      <c r="U69" s="163"/>
      <c r="V69" s="124"/>
      <c r="W69" s="163"/>
      <c r="X69" s="122"/>
      <c r="Y69" s="163"/>
      <c r="Z69" s="122"/>
      <c r="AA69" s="86"/>
    </row>
    <row r="70" spans="4:28">
      <c r="D70" s="9"/>
      <c r="E70" s="57"/>
      <c r="F70" s="10"/>
      <c r="G70" s="57"/>
      <c r="H70" s="70"/>
      <c r="I70" s="163"/>
      <c r="J70" s="76"/>
      <c r="K70" s="163"/>
      <c r="L70" s="70"/>
      <c r="M70" s="163"/>
      <c r="N70" s="76"/>
      <c r="O70" s="163"/>
      <c r="P70" s="76"/>
      <c r="Q70" s="163"/>
      <c r="R70" s="76"/>
      <c r="S70" s="163"/>
      <c r="T70" s="76"/>
      <c r="U70" s="163"/>
      <c r="V70" s="124"/>
      <c r="W70" s="163"/>
      <c r="X70" s="87"/>
      <c r="Y70" s="163"/>
      <c r="Z70" s="76"/>
      <c r="AA70" s="86"/>
    </row>
    <row r="71" spans="4:28">
      <c r="D71" s="9"/>
      <c r="E71" s="57"/>
      <c r="F71" s="10"/>
      <c r="G71" s="57"/>
      <c r="H71" s="70"/>
      <c r="I71" s="163"/>
      <c r="J71" s="76"/>
      <c r="K71" s="163"/>
      <c r="L71" s="70"/>
      <c r="M71" s="163"/>
      <c r="N71" s="76"/>
      <c r="O71" s="163"/>
      <c r="P71" s="76"/>
      <c r="Q71" s="163"/>
      <c r="R71" s="76"/>
      <c r="S71" s="163"/>
      <c r="T71" s="76"/>
      <c r="U71" s="163"/>
      <c r="V71" s="76"/>
      <c r="W71" s="163"/>
      <c r="X71" s="122"/>
      <c r="Y71" s="163"/>
      <c r="Z71" s="76"/>
      <c r="AA71" s="86"/>
    </row>
    <row r="72" spans="4:28">
      <c r="D72" s="9"/>
      <c r="E72" s="57"/>
      <c r="F72" s="10"/>
      <c r="G72" s="57"/>
      <c r="H72" s="70"/>
      <c r="I72" s="163"/>
      <c r="J72" s="76"/>
      <c r="K72" s="163"/>
      <c r="L72" s="70"/>
      <c r="M72" s="163"/>
      <c r="N72" s="76"/>
      <c r="O72" s="163"/>
      <c r="P72" s="76"/>
      <c r="Q72" s="163"/>
      <c r="R72" s="76"/>
      <c r="S72" s="163"/>
      <c r="T72" s="76"/>
      <c r="U72" s="163"/>
      <c r="V72" s="76"/>
      <c r="W72" s="163"/>
      <c r="X72" s="124"/>
      <c r="Y72" s="163"/>
      <c r="Z72" s="76"/>
      <c r="AA72" s="86"/>
    </row>
    <row r="73" spans="4:28">
      <c r="D73" s="9"/>
      <c r="E73" s="57"/>
      <c r="F73" s="10"/>
      <c r="G73" s="57"/>
      <c r="H73" s="70"/>
      <c r="I73" s="163"/>
      <c r="J73" s="76"/>
      <c r="K73" s="163"/>
      <c r="L73" s="70"/>
      <c r="M73" s="163"/>
      <c r="N73" s="76"/>
      <c r="O73" s="163"/>
      <c r="P73" s="76"/>
      <c r="Q73" s="163"/>
      <c r="R73" s="76"/>
      <c r="S73" s="163"/>
      <c r="T73" s="76"/>
      <c r="U73" s="163"/>
      <c r="V73" s="76"/>
      <c r="W73" s="163"/>
      <c r="X73" s="124"/>
      <c r="Y73" s="163"/>
      <c r="Z73" s="76"/>
      <c r="AA73" s="86"/>
    </row>
    <row r="74" spans="4:28">
      <c r="D74" s="9"/>
      <c r="E74" s="57"/>
      <c r="F74" s="10"/>
      <c r="G74" s="57"/>
      <c r="H74" s="70"/>
      <c r="I74" s="163"/>
      <c r="J74" s="76"/>
      <c r="K74" s="163"/>
      <c r="L74" s="70"/>
      <c r="M74" s="163"/>
      <c r="N74" s="76"/>
      <c r="O74" s="163"/>
      <c r="P74" s="76"/>
      <c r="Q74" s="163"/>
      <c r="R74" s="76"/>
      <c r="S74" s="163"/>
      <c r="T74" s="76"/>
      <c r="U74" s="163"/>
      <c r="V74" s="76"/>
      <c r="W74" s="163"/>
      <c r="X74" s="76"/>
      <c r="Y74" s="163"/>
      <c r="Z74" s="76"/>
      <c r="AA74" s="86"/>
    </row>
    <row r="75" spans="4:28">
      <c r="D75" s="9"/>
      <c r="E75" s="57"/>
      <c r="F75" s="10"/>
      <c r="G75" s="57"/>
      <c r="H75" s="70"/>
      <c r="I75" s="163"/>
      <c r="J75" s="76"/>
      <c r="K75" s="163"/>
      <c r="L75" s="70"/>
      <c r="M75" s="163"/>
      <c r="N75" s="76"/>
      <c r="O75" s="163"/>
      <c r="P75" s="76"/>
      <c r="Q75" s="163"/>
      <c r="R75" s="76"/>
      <c r="S75" s="163"/>
      <c r="T75" s="76"/>
      <c r="U75" s="163"/>
      <c r="V75" s="76"/>
      <c r="W75" s="163"/>
      <c r="X75" s="76"/>
      <c r="Y75" s="163"/>
      <c r="Z75" s="76"/>
      <c r="AA75" s="86"/>
    </row>
    <row r="76" spans="4:28">
      <c r="D76" s="9"/>
      <c r="E76" s="57"/>
      <c r="F76" s="10"/>
      <c r="G76" s="57"/>
      <c r="I76" s="57"/>
      <c r="J76" s="10"/>
      <c r="K76" s="57"/>
      <c r="M76" s="57"/>
      <c r="N76" s="10"/>
      <c r="O76" s="57"/>
      <c r="P76" s="10"/>
      <c r="Q76" s="57"/>
      <c r="R76" s="10"/>
      <c r="S76" s="57"/>
      <c r="T76" s="76"/>
      <c r="U76" s="57"/>
      <c r="V76" s="76"/>
      <c r="W76" s="57"/>
      <c r="X76" s="76"/>
      <c r="Y76" s="57"/>
      <c r="Z76" s="76"/>
      <c r="AA76" s="405"/>
    </row>
    <row r="77" spans="4:28">
      <c r="D77" s="9"/>
      <c r="E77" s="57"/>
      <c r="F77" s="10"/>
      <c r="G77" s="57"/>
      <c r="I77" s="57"/>
      <c r="J77" s="10"/>
      <c r="K77" s="57"/>
      <c r="M77" s="57"/>
      <c r="N77" s="10"/>
      <c r="O77" s="57"/>
      <c r="P77" s="10"/>
      <c r="Q77" s="57"/>
      <c r="R77" s="10"/>
      <c r="S77" s="57"/>
      <c r="T77" s="76"/>
      <c r="U77" s="57"/>
      <c r="V77" s="76"/>
      <c r="W77" s="57"/>
      <c r="X77" s="76"/>
      <c r="Y77" s="57"/>
      <c r="Z77" s="76"/>
      <c r="AA77" s="405"/>
    </row>
    <row r="78" spans="4:28">
      <c r="D78" s="9"/>
      <c r="E78" s="57"/>
      <c r="F78" s="10"/>
      <c r="G78" s="57"/>
      <c r="I78" s="57"/>
      <c r="J78" s="10"/>
      <c r="K78" s="57"/>
      <c r="M78" s="57"/>
      <c r="N78" s="10"/>
      <c r="O78" s="57"/>
      <c r="P78" s="10"/>
      <c r="Q78" s="57"/>
      <c r="R78" s="10"/>
      <c r="S78" s="57"/>
      <c r="T78" s="76"/>
      <c r="U78" s="57"/>
      <c r="V78" s="76"/>
      <c r="W78" s="57"/>
      <c r="X78" s="76"/>
      <c r="Y78" s="57"/>
      <c r="Z78" s="76"/>
      <c r="AA78" s="405"/>
    </row>
    <row r="79" spans="4:28">
      <c r="D79" s="61"/>
      <c r="E79" s="62"/>
      <c r="F79" s="64"/>
      <c r="G79" s="62"/>
      <c r="H79" s="11"/>
      <c r="I79" s="62"/>
      <c r="J79" s="64"/>
      <c r="K79" s="62"/>
      <c r="L79" s="11"/>
      <c r="M79" s="62"/>
      <c r="N79" s="64"/>
      <c r="O79" s="62"/>
      <c r="P79" s="64"/>
      <c r="Q79" s="62"/>
      <c r="R79" s="64"/>
      <c r="S79" s="62"/>
      <c r="T79" s="87"/>
      <c r="U79" s="62"/>
      <c r="V79" s="87"/>
      <c r="W79" s="62"/>
      <c r="X79" s="87"/>
      <c r="Y79" s="62"/>
      <c r="Z79" s="87"/>
      <c r="AA79" s="406"/>
    </row>
    <row r="80" spans="4:28">
      <c r="D80" s="61"/>
      <c r="E80" s="62"/>
      <c r="F80" s="64"/>
      <c r="G80" s="62"/>
      <c r="H80" s="11"/>
      <c r="I80" s="62"/>
      <c r="J80" s="64"/>
      <c r="K80" s="62"/>
      <c r="L80" s="11"/>
      <c r="M80" s="62"/>
      <c r="N80" s="64"/>
      <c r="O80" s="62"/>
      <c r="P80" s="64"/>
      <c r="Q80" s="62"/>
      <c r="R80" s="64"/>
      <c r="S80" s="62"/>
      <c r="T80" s="87"/>
      <c r="U80" s="62"/>
      <c r="V80" s="87"/>
      <c r="W80" s="62"/>
      <c r="X80" s="87"/>
      <c r="Y80" s="62"/>
      <c r="Z80" s="87"/>
      <c r="AA80" s="406"/>
    </row>
    <row r="81" spans="4:27">
      <c r="D81" s="61"/>
      <c r="E81" s="62"/>
      <c r="F81" s="64"/>
      <c r="G81" s="62"/>
      <c r="H81" s="11"/>
      <c r="I81" s="62"/>
      <c r="J81" s="64"/>
      <c r="K81" s="62"/>
      <c r="L81" s="11"/>
      <c r="M81" s="62"/>
      <c r="N81" s="64"/>
      <c r="O81" s="62"/>
      <c r="P81" s="64"/>
      <c r="Q81" s="62"/>
      <c r="R81" s="64"/>
      <c r="S81" s="62"/>
      <c r="T81" s="87"/>
      <c r="U81" s="62"/>
      <c r="V81" s="87"/>
      <c r="W81" s="62"/>
      <c r="X81" s="87"/>
      <c r="Y81" s="62"/>
      <c r="Z81" s="87"/>
      <c r="AA81" s="406"/>
    </row>
    <row r="82" spans="4:27">
      <c r="D82" s="61"/>
      <c r="E82" s="62"/>
      <c r="F82" s="64"/>
      <c r="G82" s="62"/>
      <c r="H82" s="11"/>
      <c r="I82" s="62"/>
      <c r="J82" s="64"/>
      <c r="K82" s="62"/>
      <c r="L82" s="11"/>
      <c r="M82" s="62"/>
      <c r="N82" s="64"/>
      <c r="O82" s="62"/>
      <c r="P82" s="64"/>
      <c r="Q82" s="62"/>
      <c r="R82" s="64"/>
      <c r="S82" s="62"/>
      <c r="T82" s="87"/>
      <c r="U82" s="62"/>
      <c r="V82" s="87"/>
      <c r="W82" s="62"/>
      <c r="X82" s="87"/>
      <c r="Y82" s="62"/>
      <c r="Z82" s="87"/>
      <c r="AA82" s="406"/>
    </row>
    <row r="83" spans="4:27">
      <c r="D83" s="61"/>
      <c r="E83" s="62"/>
      <c r="F83" s="64"/>
      <c r="G83" s="62"/>
      <c r="H83" s="11"/>
      <c r="I83" s="62"/>
      <c r="J83" s="64"/>
      <c r="K83" s="62"/>
      <c r="L83" s="11"/>
      <c r="M83" s="62"/>
      <c r="N83" s="64"/>
      <c r="O83" s="62"/>
      <c r="P83" s="64"/>
      <c r="Q83" s="62"/>
      <c r="R83" s="64"/>
      <c r="S83" s="62"/>
      <c r="T83" s="87"/>
      <c r="U83" s="62"/>
      <c r="V83" s="87"/>
      <c r="W83" s="62"/>
      <c r="X83" s="87"/>
      <c r="Y83" s="62"/>
      <c r="Z83" s="87"/>
      <c r="AA83" s="406"/>
    </row>
    <row r="84" spans="4:27">
      <c r="D84" s="61"/>
      <c r="E84" s="62"/>
      <c r="F84" s="64"/>
      <c r="G84" s="62"/>
      <c r="H84" s="11"/>
      <c r="I84" s="62"/>
      <c r="J84" s="64"/>
      <c r="K84" s="62"/>
      <c r="L84" s="11"/>
      <c r="M84" s="62"/>
      <c r="N84" s="64"/>
      <c r="O84" s="62"/>
      <c r="P84" s="64"/>
      <c r="Q84" s="62"/>
      <c r="R84" s="64"/>
      <c r="S84" s="62"/>
      <c r="T84" s="87"/>
      <c r="U84" s="62"/>
      <c r="V84" s="87"/>
      <c r="W84" s="62"/>
      <c r="X84" s="87"/>
      <c r="Y84" s="62"/>
      <c r="Z84" s="87"/>
      <c r="AA84" s="406"/>
    </row>
    <row r="85" spans="4:27">
      <c r="D85" s="61"/>
      <c r="E85" s="62"/>
      <c r="F85" s="64"/>
      <c r="G85" s="62"/>
      <c r="H85" s="11"/>
      <c r="I85" s="62"/>
      <c r="J85" s="64"/>
      <c r="K85" s="62"/>
      <c r="L85" s="11"/>
      <c r="M85" s="62"/>
      <c r="N85" s="64"/>
      <c r="O85" s="62"/>
      <c r="P85" s="64"/>
      <c r="Q85" s="62"/>
      <c r="R85" s="64"/>
      <c r="S85" s="62"/>
      <c r="T85" s="87"/>
      <c r="U85" s="62"/>
      <c r="V85" s="87"/>
      <c r="W85" s="62"/>
      <c r="X85" s="87"/>
      <c r="Y85" s="62"/>
      <c r="Z85" s="87"/>
      <c r="AA85" s="406"/>
    </row>
    <row r="86" spans="4:27">
      <c r="D86" s="61"/>
      <c r="E86" s="62"/>
      <c r="F86" s="64"/>
      <c r="G86" s="62"/>
      <c r="H86" s="11"/>
      <c r="I86" s="62"/>
      <c r="J86" s="64"/>
      <c r="K86" s="62"/>
      <c r="L86" s="11"/>
      <c r="M86" s="62"/>
      <c r="N86" s="64"/>
      <c r="O86" s="62"/>
      <c r="P86" s="64"/>
      <c r="Q86" s="62"/>
      <c r="R86" s="64"/>
      <c r="S86" s="62"/>
      <c r="T86" s="87"/>
      <c r="U86" s="62"/>
      <c r="V86" s="87"/>
      <c r="W86" s="62"/>
      <c r="X86" s="87"/>
      <c r="Y86" s="62"/>
      <c r="Z86" s="87"/>
      <c r="AA86" s="406"/>
    </row>
    <row r="87" spans="4:27">
      <c r="D87" s="61"/>
      <c r="E87" s="62"/>
      <c r="F87" s="64"/>
      <c r="G87" s="62"/>
      <c r="H87" s="11"/>
      <c r="I87" s="62"/>
      <c r="J87" s="64"/>
      <c r="K87" s="62"/>
      <c r="L87" s="11"/>
      <c r="M87" s="62"/>
      <c r="N87" s="64"/>
      <c r="O87" s="62"/>
      <c r="P87" s="64"/>
      <c r="Q87" s="62"/>
      <c r="R87" s="64"/>
      <c r="S87" s="62"/>
      <c r="T87" s="87"/>
      <c r="U87" s="62"/>
      <c r="V87" s="87"/>
      <c r="W87" s="62"/>
      <c r="X87" s="87"/>
      <c r="Y87" s="62"/>
      <c r="Z87" s="87"/>
      <c r="AA87" s="406"/>
    </row>
    <row r="88" spans="4:27">
      <c r="D88" s="61"/>
      <c r="E88" s="62"/>
      <c r="F88" s="64"/>
      <c r="G88" s="62"/>
      <c r="H88" s="11"/>
      <c r="I88" s="62"/>
      <c r="J88" s="64"/>
      <c r="K88" s="62"/>
      <c r="L88" s="11"/>
      <c r="M88" s="62"/>
      <c r="N88" s="64"/>
      <c r="O88" s="62"/>
      <c r="P88" s="11"/>
      <c r="Q88" s="62"/>
      <c r="R88" s="11"/>
      <c r="S88" s="62"/>
      <c r="T88" s="88"/>
      <c r="U88" s="62"/>
      <c r="V88" s="88"/>
      <c r="W88" s="62"/>
      <c r="X88" s="88"/>
      <c r="Y88" s="62"/>
      <c r="Z88" s="127"/>
      <c r="AA88" s="62"/>
    </row>
    <row r="89" spans="4:27">
      <c r="D89" s="61"/>
      <c r="E89" s="62"/>
      <c r="F89" s="11"/>
      <c r="G89" s="62"/>
      <c r="H89" s="11"/>
      <c r="I89" s="62"/>
      <c r="J89" s="64"/>
      <c r="K89" s="62"/>
      <c r="L89" s="11"/>
      <c r="M89" s="62"/>
      <c r="N89" s="64"/>
      <c r="O89" s="62"/>
      <c r="P89" s="11"/>
      <c r="Q89" s="62"/>
      <c r="R89" s="11"/>
      <c r="S89" s="62"/>
      <c r="T89" s="88"/>
      <c r="U89" s="62"/>
      <c r="V89" s="88"/>
      <c r="W89" s="62"/>
      <c r="X89" s="88"/>
      <c r="Y89" s="62"/>
      <c r="Z89" s="127"/>
      <c r="AA89" s="62"/>
    </row>
    <row r="90" spans="4:27">
      <c r="D90" s="61"/>
      <c r="E90" s="62"/>
      <c r="F90" s="11"/>
      <c r="G90" s="62"/>
      <c r="H90" s="11"/>
      <c r="I90" s="62"/>
      <c r="J90" s="64"/>
      <c r="K90" s="62"/>
      <c r="L90" s="11"/>
      <c r="M90" s="62"/>
      <c r="N90" s="64"/>
      <c r="O90" s="62"/>
      <c r="P90" s="11"/>
      <c r="Q90" s="62"/>
      <c r="R90" s="11"/>
      <c r="S90" s="62"/>
      <c r="T90" s="88"/>
      <c r="U90" s="62"/>
      <c r="V90" s="88"/>
      <c r="W90" s="62"/>
      <c r="X90" s="88"/>
      <c r="Y90" s="62"/>
      <c r="Z90" s="127"/>
      <c r="AA90" s="62"/>
    </row>
    <row r="91" spans="4:27">
      <c r="D91" s="61"/>
      <c r="E91" s="62"/>
      <c r="F91" s="11"/>
      <c r="G91" s="62"/>
      <c r="H91" s="11"/>
      <c r="I91" s="62"/>
      <c r="J91" s="11"/>
      <c r="K91" s="62"/>
      <c r="L91" s="11"/>
      <c r="M91" s="62"/>
      <c r="N91" s="11"/>
      <c r="O91" s="62"/>
      <c r="P91" s="11"/>
      <c r="Q91" s="62"/>
      <c r="R91" s="11"/>
      <c r="S91" s="62"/>
      <c r="T91" s="88"/>
      <c r="U91" s="62"/>
      <c r="V91" s="88"/>
      <c r="W91" s="62"/>
      <c r="X91" s="88"/>
      <c r="Y91" s="62"/>
      <c r="Z91" s="88"/>
      <c r="AA91" s="62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8"/>
      <c r="U92" s="11"/>
      <c r="V92" s="88"/>
      <c r="W92" s="11"/>
      <c r="X92" s="88"/>
      <c r="Y92" s="11"/>
      <c r="Z92" s="88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8"/>
      <c r="U93" s="11"/>
      <c r="V93" s="88"/>
      <c r="W93" s="11"/>
      <c r="X93" s="88"/>
      <c r="Y93" s="11"/>
      <c r="Z93" s="88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8"/>
      <c r="U94" s="11"/>
      <c r="V94" s="88"/>
      <c r="W94" s="11"/>
      <c r="X94" s="88"/>
      <c r="Y94" s="11"/>
      <c r="Z94" s="88"/>
      <c r="AA94" s="11"/>
    </row>
  </sheetData>
  <mergeCells count="15">
    <mergeCell ref="T9:U9"/>
    <mergeCell ref="V9:W9"/>
    <mergeCell ref="X9:Y9"/>
    <mergeCell ref="Z9:AA9"/>
    <mergeCell ref="J9:K9"/>
    <mergeCell ref="L9:M9"/>
    <mergeCell ref="N9:O9"/>
    <mergeCell ref="P9:Q9"/>
    <mergeCell ref="R9:S9"/>
    <mergeCell ref="H63:H65"/>
    <mergeCell ref="B56:C56"/>
    <mergeCell ref="B9:C9"/>
    <mergeCell ref="D9:E9"/>
    <mergeCell ref="F9:G9"/>
    <mergeCell ref="H9:I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F73"/>
  <sheetViews>
    <sheetView tabSelected="1" topLeftCell="A7" zoomScaleNormal="100" workbookViewId="0">
      <pane xSplit="2" ySplit="4" topLeftCell="AJ11" activePane="bottomRight" state="frozen"/>
      <selection activeCell="A7" sqref="A7"/>
      <selection pane="topRight" activeCell="C7" sqref="C7"/>
      <selection pane="bottomLeft" activeCell="A11" sqref="A11"/>
      <selection pane="bottomRight" activeCell="BF48" sqref="BF48"/>
    </sheetView>
  </sheetViews>
  <sheetFormatPr defaultColWidth="9" defaultRowHeight="16.5" outlineLevelCol="1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customWidth="1"/>
    <col min="10" max="10" width="9" style="367" customWidth="1"/>
    <col min="11" max="13" width="9" style="2" customWidth="1"/>
    <col min="14" max="14" width="9" style="367" customWidth="1"/>
    <col min="15" max="17" width="9" style="2" customWidth="1"/>
    <col min="18" max="18" width="9" style="367" customWidth="1"/>
    <col min="19" max="21" width="9" style="2" customWidth="1"/>
    <col min="22" max="22" width="9" style="367" customWidth="1"/>
    <col min="23" max="25" width="9" style="2" customWidth="1"/>
    <col min="26" max="26" width="9" style="367" customWidth="1"/>
    <col min="27" max="29" width="9" style="2" customWidth="1"/>
    <col min="30" max="30" width="9" style="367" customWidth="1"/>
    <col min="31" max="33" width="9" style="2" customWidth="1"/>
    <col min="34" max="34" width="9" style="367" customWidth="1"/>
    <col min="35" max="37" width="9" style="2" customWidth="1"/>
    <col min="38" max="38" width="9" style="367" customWidth="1"/>
    <col min="39" max="41" width="9" style="2" customWidth="1"/>
    <col min="42" max="42" width="9" style="367" customWidth="1"/>
    <col min="43" max="45" width="9" style="2" customWidth="1"/>
    <col min="46" max="46" width="9" style="367" customWidth="1"/>
    <col min="47" max="49" width="9" style="2" customWidth="1" outlineLevel="1"/>
    <col min="50" max="50" width="9" style="367" customWidth="1" outlineLevel="1"/>
    <col min="51" max="53" width="9" style="2" customWidth="1"/>
    <col min="54" max="54" width="9" style="13" customWidth="1"/>
    <col min="55" max="16384" width="9" style="1"/>
  </cols>
  <sheetData>
    <row r="2" spans="1:54">
      <c r="A2" s="310"/>
      <c r="B2" s="310"/>
    </row>
    <row r="3" spans="1:54">
      <c r="A3" s="310"/>
      <c r="B3" s="310"/>
    </row>
    <row r="4" spans="1:54">
      <c r="A4" s="310"/>
      <c r="B4" s="310"/>
    </row>
    <row r="5" spans="1:54">
      <c r="A5" s="310"/>
      <c r="B5" s="310"/>
    </row>
    <row r="6" spans="1:54">
      <c r="A6" s="310"/>
      <c r="B6" s="310"/>
    </row>
    <row r="7" spans="1:54" ht="19.899999999999999">
      <c r="A7" s="56" t="s">
        <v>368</v>
      </c>
      <c r="B7" s="47"/>
      <c r="BB7" s="417" t="str">
        <f>+PL推移!D7</f>
        <v>㈱ｅｓエンターテイメント</v>
      </c>
    </row>
    <row r="8" spans="1:54" s="6" customFormat="1">
      <c r="A8" s="308">
        <f>+PL推移!B8</f>
        <v>2025</v>
      </c>
      <c r="B8" s="308" t="s">
        <v>150</v>
      </c>
      <c r="C8" s="416"/>
      <c r="D8" s="414"/>
      <c r="E8" s="414"/>
      <c r="F8" s="414"/>
      <c r="G8" s="415"/>
      <c r="H8" s="311"/>
      <c r="I8" s="311"/>
      <c r="J8" s="313"/>
      <c r="K8" s="311"/>
      <c r="L8" s="311"/>
      <c r="M8" s="311"/>
      <c r="N8" s="313"/>
      <c r="O8" s="311"/>
      <c r="P8" s="311"/>
      <c r="Q8" s="311"/>
      <c r="R8" s="313"/>
      <c r="S8" s="311"/>
      <c r="T8" s="311"/>
      <c r="U8" s="311"/>
      <c r="V8" s="313"/>
      <c r="W8" s="311"/>
      <c r="X8" s="311"/>
      <c r="Y8" s="311"/>
      <c r="Z8" s="313"/>
      <c r="AA8" s="311"/>
      <c r="AB8" s="311"/>
      <c r="AC8" s="311"/>
      <c r="AD8" s="313"/>
      <c r="AE8" s="311"/>
      <c r="AF8" s="311"/>
      <c r="AG8" s="311"/>
      <c r="AH8" s="313"/>
      <c r="AI8" s="311"/>
      <c r="AJ8" s="311"/>
      <c r="AK8" s="311"/>
      <c r="AL8" s="313"/>
      <c r="AM8" s="311"/>
      <c r="AN8" s="311"/>
      <c r="AO8" s="311"/>
      <c r="AP8" s="313"/>
      <c r="AQ8" s="311"/>
      <c r="AR8" s="311"/>
      <c r="AS8" s="311"/>
      <c r="AT8" s="313"/>
      <c r="AU8" s="311"/>
      <c r="AV8" s="311"/>
      <c r="AW8" s="311"/>
      <c r="AX8" s="313"/>
      <c r="AY8" s="311"/>
      <c r="AZ8" s="311"/>
      <c r="BA8" s="311"/>
      <c r="BB8" s="312" t="s">
        <v>379</v>
      </c>
    </row>
    <row r="9" spans="1:54" s="396" customFormat="1" ht="18.75" customHeight="1">
      <c r="A9" s="521" t="s">
        <v>151</v>
      </c>
      <c r="B9" s="522"/>
      <c r="C9" s="515" t="str">
        <f>+PL推移!D9</f>
        <v>7月</v>
      </c>
      <c r="D9" s="516"/>
      <c r="E9" s="516"/>
      <c r="F9" s="517"/>
      <c r="G9" s="518" t="str">
        <f>+PL推移!F9</f>
        <v>8月</v>
      </c>
      <c r="H9" s="516"/>
      <c r="I9" s="516"/>
      <c r="J9" s="519"/>
      <c r="K9" s="520" t="str">
        <f>+PL推移!H9</f>
        <v>9月</v>
      </c>
      <c r="L9" s="516"/>
      <c r="M9" s="516"/>
      <c r="N9" s="517"/>
      <c r="O9" s="518" t="str">
        <f>+PL推移!J9</f>
        <v>10月</v>
      </c>
      <c r="P9" s="516"/>
      <c r="Q9" s="516"/>
      <c r="R9" s="519"/>
      <c r="S9" s="520" t="str">
        <f>+PL推移!L9</f>
        <v>11月</v>
      </c>
      <c r="T9" s="516"/>
      <c r="U9" s="516"/>
      <c r="V9" s="517"/>
      <c r="W9" s="518" t="str">
        <f>+PL推移!N9</f>
        <v>12月</v>
      </c>
      <c r="X9" s="516"/>
      <c r="Y9" s="516"/>
      <c r="Z9" s="519"/>
      <c r="AA9" s="520" t="str">
        <f>+PL推移!P9</f>
        <v>1月</v>
      </c>
      <c r="AB9" s="516"/>
      <c r="AC9" s="516"/>
      <c r="AD9" s="517"/>
      <c r="AE9" s="518" t="str">
        <f>+PL推移!R9</f>
        <v>2月</v>
      </c>
      <c r="AF9" s="516"/>
      <c r="AG9" s="516"/>
      <c r="AH9" s="517"/>
      <c r="AI9" s="527">
        <f>+PL推移!T9</f>
        <v>3</v>
      </c>
      <c r="AJ9" s="528"/>
      <c r="AK9" s="528"/>
      <c r="AL9" s="529"/>
      <c r="AM9" s="527">
        <f>+PL推移!V9</f>
        <v>4</v>
      </c>
      <c r="AN9" s="528"/>
      <c r="AO9" s="528"/>
      <c r="AP9" s="529"/>
      <c r="AQ9" s="527" t="str">
        <f>+PL推移!X9</f>
        <v>5月</v>
      </c>
      <c r="AR9" s="528"/>
      <c r="AS9" s="528"/>
      <c r="AT9" s="529"/>
      <c r="AU9" s="527" t="str">
        <f>+PL推移!Z9</f>
        <v>6月</v>
      </c>
      <c r="AV9" s="528"/>
      <c r="AW9" s="528"/>
      <c r="AX9" s="529"/>
      <c r="AY9" s="525" t="s">
        <v>371</v>
      </c>
      <c r="AZ9" s="516"/>
      <c r="BA9" s="516"/>
      <c r="BB9" s="526"/>
    </row>
    <row r="10" spans="1:54" s="336" customFormat="1" ht="19.5" customHeight="1" thickBot="1">
      <c r="A10" s="523"/>
      <c r="B10" s="524"/>
      <c r="C10" s="418" t="s">
        <v>373</v>
      </c>
      <c r="D10" s="436" t="s">
        <v>375</v>
      </c>
      <c r="E10" s="335" t="s">
        <v>376</v>
      </c>
      <c r="F10" s="334" t="s">
        <v>378</v>
      </c>
      <c r="G10" s="427" t="s">
        <v>372</v>
      </c>
      <c r="H10" s="436" t="s">
        <v>374</v>
      </c>
      <c r="I10" s="335" t="s">
        <v>376</v>
      </c>
      <c r="J10" s="333" t="s">
        <v>377</v>
      </c>
      <c r="K10" s="332" t="s">
        <v>372</v>
      </c>
      <c r="L10" s="459" t="s">
        <v>374</v>
      </c>
      <c r="M10" s="347" t="s">
        <v>376</v>
      </c>
      <c r="N10" s="334" t="s">
        <v>377</v>
      </c>
      <c r="O10" s="332" t="s">
        <v>372</v>
      </c>
      <c r="P10" s="459" t="s">
        <v>374</v>
      </c>
      <c r="Q10" s="347" t="s">
        <v>376</v>
      </c>
      <c r="R10" s="334" t="s">
        <v>377</v>
      </c>
      <c r="S10" s="332" t="s">
        <v>372</v>
      </c>
      <c r="T10" s="459" t="s">
        <v>374</v>
      </c>
      <c r="U10" s="347" t="s">
        <v>376</v>
      </c>
      <c r="V10" s="334" t="s">
        <v>377</v>
      </c>
      <c r="W10" s="332" t="s">
        <v>372</v>
      </c>
      <c r="X10" s="459" t="s">
        <v>374</v>
      </c>
      <c r="Y10" s="347" t="s">
        <v>376</v>
      </c>
      <c r="Z10" s="334" t="s">
        <v>377</v>
      </c>
      <c r="AA10" s="332" t="s">
        <v>372</v>
      </c>
      <c r="AB10" s="459" t="s">
        <v>374</v>
      </c>
      <c r="AC10" s="347" t="s">
        <v>376</v>
      </c>
      <c r="AD10" s="334" t="s">
        <v>377</v>
      </c>
      <c r="AE10" s="332" t="s">
        <v>372</v>
      </c>
      <c r="AF10" s="459" t="s">
        <v>374</v>
      </c>
      <c r="AG10" s="347" t="s">
        <v>376</v>
      </c>
      <c r="AH10" s="334" t="s">
        <v>377</v>
      </c>
      <c r="AI10" s="332" t="s">
        <v>372</v>
      </c>
      <c r="AJ10" s="459" t="s">
        <v>374</v>
      </c>
      <c r="AK10" s="347" t="s">
        <v>376</v>
      </c>
      <c r="AL10" s="333" t="s">
        <v>377</v>
      </c>
      <c r="AM10" s="332" t="s">
        <v>372</v>
      </c>
      <c r="AN10" s="459" t="s">
        <v>374</v>
      </c>
      <c r="AO10" s="347" t="s">
        <v>376</v>
      </c>
      <c r="AP10" s="333" t="s">
        <v>377</v>
      </c>
      <c r="AQ10" s="332" t="s">
        <v>372</v>
      </c>
      <c r="AR10" s="459" t="s">
        <v>374</v>
      </c>
      <c r="AS10" s="347" t="s">
        <v>376</v>
      </c>
      <c r="AT10" s="333" t="s">
        <v>377</v>
      </c>
      <c r="AU10" s="332" t="s">
        <v>372</v>
      </c>
      <c r="AV10" s="357" t="s">
        <v>374</v>
      </c>
      <c r="AW10" s="347" t="s">
        <v>376</v>
      </c>
      <c r="AX10" s="333" t="s">
        <v>377</v>
      </c>
      <c r="AY10" s="418" t="s">
        <v>372</v>
      </c>
      <c r="AZ10" s="436" t="s">
        <v>374</v>
      </c>
      <c r="BA10" s="335" t="s">
        <v>376</v>
      </c>
      <c r="BB10" s="346" t="s">
        <v>377</v>
      </c>
    </row>
    <row r="11" spans="1:54" s="47" customFormat="1" ht="16.899999999999999" thickTop="1">
      <c r="A11" s="47" t="s">
        <v>138</v>
      </c>
      <c r="C11" s="419">
        <f>+収支計画!G17/1000</f>
        <v>9600</v>
      </c>
      <c r="D11" s="437">
        <f>+PL推移!D10</f>
        <v>9274.5740000000005</v>
      </c>
      <c r="E11" s="329">
        <f t="shared" ref="E11" si="0">SUM(E12:E16)</f>
        <v>-325</v>
      </c>
      <c r="F11" s="337">
        <f>IF(C11&lt;&gt;0,D11/C11,"-")</f>
        <v>0.96610145833333338</v>
      </c>
      <c r="G11" s="428">
        <f>+収支計画!H17/1000</f>
        <v>11220</v>
      </c>
      <c r="H11" s="437">
        <f t="shared" ref="H11:I11" si="1">SUM(H12:H16)</f>
        <v>9616</v>
      </c>
      <c r="I11" s="329">
        <f t="shared" si="1"/>
        <v>-1254</v>
      </c>
      <c r="J11" s="368">
        <f>IF(G11&lt;&gt;0,H11/G11,"-")</f>
        <v>0.85704099821746882</v>
      </c>
      <c r="K11" s="328">
        <f>+収支計画!I17/1000</f>
        <v>9600</v>
      </c>
      <c r="L11" s="460">
        <f>+PL推移!H10</f>
        <v>7867.9629999999997</v>
      </c>
      <c r="M11" s="348">
        <f t="shared" ref="M11" si="2">SUM(M12:M16)</f>
        <v>-1733</v>
      </c>
      <c r="N11" s="337">
        <f>IF(K11&lt;&gt;0,L11/K11,"-")</f>
        <v>0.81957947916666662</v>
      </c>
      <c r="O11" s="328">
        <f>+収支計画!J17/1000</f>
        <v>9600</v>
      </c>
      <c r="P11" s="460">
        <f>+PL推移!J10</f>
        <v>8303.9140000000007</v>
      </c>
      <c r="Q11" s="348">
        <f t="shared" ref="Q11" si="3">SUM(Q12:Q16)</f>
        <v>-1287</v>
      </c>
      <c r="R11" s="337">
        <f>IF(O11&lt;&gt;0,P11/O11,"-")</f>
        <v>0.86499104166666674</v>
      </c>
      <c r="S11" s="328">
        <f>+収支計画!K17/1000</f>
        <v>9600</v>
      </c>
      <c r="T11" s="460">
        <f>+PL推移!L10</f>
        <v>8180.9809999999998</v>
      </c>
      <c r="U11" s="348">
        <f t="shared" ref="U11" si="4">SUM(U12:U16)</f>
        <v>-1419</v>
      </c>
      <c r="V11" s="337">
        <f>IF(S11&lt;&gt;0,T11/S11,"-")</f>
        <v>0.85218552083333332</v>
      </c>
      <c r="W11" s="328">
        <f>+収支計画!L17/1000</f>
        <v>12100</v>
      </c>
      <c r="X11" s="460">
        <f>+PL推移!N10</f>
        <v>11655.276</v>
      </c>
      <c r="Y11" s="348">
        <f t="shared" ref="Y11" si="5">SUM(Y12:Y16)</f>
        <v>-148</v>
      </c>
      <c r="Z11" s="337">
        <f>IF(W11&lt;&gt;0,X11/W11,"-")</f>
        <v>0.96324595041322314</v>
      </c>
      <c r="AA11" s="328">
        <f>+収支計画!M17/1000</f>
        <v>9600</v>
      </c>
      <c r="AB11" s="460">
        <f>+PL推移!P10</f>
        <v>7802.1909999999998</v>
      </c>
      <c r="AC11" s="348">
        <f t="shared" ref="AC11" si="6">SUM(AC12:AC16)</f>
        <v>-1798</v>
      </c>
      <c r="AD11" s="337">
        <f>IF(AA11&lt;&gt;0,AB11/AA11,"-")</f>
        <v>0.81272822916666665</v>
      </c>
      <c r="AE11" s="328">
        <f>+収支計画!N17/1000</f>
        <v>9600</v>
      </c>
      <c r="AF11" s="460">
        <f>+PL推移!R10</f>
        <v>8081.41</v>
      </c>
      <c r="AG11" s="348">
        <f t="shared" ref="AG11" si="7">SUM(AG12:AG16)</f>
        <v>-1533</v>
      </c>
      <c r="AH11" s="337">
        <f>IF(AE11&lt;&gt;0,AF11/AE11,"-")</f>
        <v>0.84181354166666666</v>
      </c>
      <c r="AI11" s="328">
        <f>+収支計画!O17/1000</f>
        <v>11100</v>
      </c>
      <c r="AJ11" s="460">
        <f>+PL推移!T10</f>
        <v>8746</v>
      </c>
      <c r="AK11" s="348">
        <f t="shared" ref="AK11" si="8">SUM(AK12:AK16)</f>
        <v>-2343</v>
      </c>
      <c r="AL11" s="368">
        <f>IF(AI11&lt;&gt;0,AJ11/AI11,"-")</f>
        <v>0.78792792792792787</v>
      </c>
      <c r="AM11" s="328">
        <f>+収支計画!P17/1000</f>
        <v>9600</v>
      </c>
      <c r="AN11" s="460">
        <f>+PL推移!V10</f>
        <v>7203.9939999999997</v>
      </c>
      <c r="AO11" s="348">
        <f>+AN11-AM11</f>
        <v>-2396.0060000000003</v>
      </c>
      <c r="AP11" s="368">
        <f>IF(AM11&lt;&gt;0,AN11/AM11,"-")</f>
        <v>0.75041604166666664</v>
      </c>
      <c r="AQ11" s="328">
        <f>+収支計画!Q17/1000</f>
        <v>9600</v>
      </c>
      <c r="AR11" s="460">
        <f>+PL推移!X10</f>
        <v>7595.88</v>
      </c>
      <c r="AS11" s="348">
        <f>+AR11-AQ11</f>
        <v>-2004.12</v>
      </c>
      <c r="AT11" s="368">
        <f>IF(AQ11&lt;&gt;0,AR11/AQ11,"-")</f>
        <v>0.79123750000000004</v>
      </c>
      <c r="AU11" s="328">
        <f>+収支計画!R17/1000</f>
        <v>9600</v>
      </c>
      <c r="AV11" s="358">
        <f>+PL推移!Z10</f>
        <v>7697.2430000000004</v>
      </c>
      <c r="AW11" s="348">
        <f>+AV11-AU11</f>
        <v>-1902.7569999999996</v>
      </c>
      <c r="AX11" s="368">
        <f>IF(AU11&lt;&gt;0,AV11/AU11,"-")</f>
        <v>0.80179614583333336</v>
      </c>
      <c r="AY11" s="419">
        <f>+C11+G11+K11+O11+S11+W11+AA11+AE11+AI11+AM11+AQ11+AU11</f>
        <v>120820</v>
      </c>
      <c r="AZ11" s="437">
        <f>+D11+H11+L11+P11+T11+X11+AB11+AF11+AJ11+AN11+AR11+AV11</f>
        <v>102025.42600000001</v>
      </c>
      <c r="BA11" s="329">
        <f>+AZ11-AY11</f>
        <v>-18794.573999999993</v>
      </c>
      <c r="BB11" s="504">
        <f>IF(AY11&lt;&gt;0,AZ11/AY11,"-")</f>
        <v>0.8444415328587983</v>
      </c>
    </row>
    <row r="12" spans="1:54">
      <c r="A12" s="177"/>
      <c r="B12" s="8" t="s">
        <v>225</v>
      </c>
      <c r="C12" s="420">
        <f>+収支計画!G11/1000</f>
        <v>7000</v>
      </c>
      <c r="D12" s="438">
        <f>+PL推移!D11</f>
        <v>6973</v>
      </c>
      <c r="E12" s="317">
        <f>+D12-C12</f>
        <v>-27</v>
      </c>
      <c r="F12" s="338">
        <f t="shared" ref="F12:F56" si="9">IF(C12&lt;&gt;0,D12/C12,"-")</f>
        <v>0.99614285714285711</v>
      </c>
      <c r="G12" s="429">
        <f>+収支計画!H11/1000</f>
        <v>7000</v>
      </c>
      <c r="H12" s="438">
        <f>+PL推移!F11</f>
        <v>6864</v>
      </c>
      <c r="I12" s="317">
        <f>+H12-G12</f>
        <v>-136</v>
      </c>
      <c r="J12" s="369">
        <f t="shared" ref="J12:J56" si="10">IF(G12&lt;&gt;0,H12/G12,"-")</f>
        <v>0.98057142857142854</v>
      </c>
      <c r="K12" s="316">
        <f>+収支計画!I11/1000</f>
        <v>7000</v>
      </c>
      <c r="L12" s="461">
        <f>+PL推移!H11</f>
        <v>5812</v>
      </c>
      <c r="M12" s="349">
        <f>+L12-K12</f>
        <v>-1188</v>
      </c>
      <c r="N12" s="338">
        <f t="shared" ref="N12:N56" si="11">IF(K12&lt;&gt;0,L12/K12,"-")</f>
        <v>0.83028571428571429</v>
      </c>
      <c r="O12" s="316">
        <f>+収支計画!S11/1000</f>
        <v>7000</v>
      </c>
      <c r="P12" s="461">
        <f>+PL推移!J11</f>
        <v>5700</v>
      </c>
      <c r="Q12" s="349">
        <f>+P12-O12</f>
        <v>-1300</v>
      </c>
      <c r="R12" s="338">
        <f t="shared" ref="R12:R56" si="12">IF(O12&lt;&gt;0,P12/O12,"-")</f>
        <v>0.81428571428571428</v>
      </c>
      <c r="S12" s="316">
        <f>+収支計画!K11/1000</f>
        <v>7000</v>
      </c>
      <c r="T12" s="461">
        <f>+PL推移!L11</f>
        <v>6255</v>
      </c>
      <c r="U12" s="349">
        <f>+T12-S12</f>
        <v>-745</v>
      </c>
      <c r="V12" s="338">
        <f t="shared" ref="V12:V56" si="13">IF(S12&lt;&gt;0,T12/S12,"-")</f>
        <v>0.89357142857142857</v>
      </c>
      <c r="W12" s="316">
        <f>+収支計画!L11/1000</f>
        <v>9500</v>
      </c>
      <c r="X12" s="461">
        <f>+PL推移!N11</f>
        <v>9574</v>
      </c>
      <c r="Y12" s="349">
        <f>+X12-W12</f>
        <v>74</v>
      </c>
      <c r="Z12" s="338">
        <f t="shared" ref="Z12:Z56" si="14">IF(W12&lt;&gt;0,X12/W12,"-")</f>
        <v>1.0077894736842106</v>
      </c>
      <c r="AA12" s="316">
        <f>+収支計画!M11/1000</f>
        <v>7000</v>
      </c>
      <c r="AB12" s="461">
        <f>+PL推移!P11</f>
        <v>5703</v>
      </c>
      <c r="AC12" s="349">
        <f>+AB12-AA12</f>
        <v>-1297</v>
      </c>
      <c r="AD12" s="338">
        <f t="shared" ref="AD12:AD56" si="15">IF(AA12&lt;&gt;0,AB12/AA12,"-")</f>
        <v>0.81471428571428572</v>
      </c>
      <c r="AE12" s="316">
        <f>+収支計画!N11/1000</f>
        <v>7000</v>
      </c>
      <c r="AF12" s="461">
        <f>+PL推移!R11</f>
        <v>6142</v>
      </c>
      <c r="AG12" s="349">
        <f>+AF12-AE12</f>
        <v>-858</v>
      </c>
      <c r="AH12" s="338">
        <f t="shared" ref="AH12:AH56" si="16">IF(AE12&lt;&gt;0,AF12/AE12,"-")</f>
        <v>0.87742857142857145</v>
      </c>
      <c r="AI12" s="316">
        <f>+収支計画!O11/1000</f>
        <v>8500</v>
      </c>
      <c r="AJ12" s="461">
        <f>+PL推移!T11</f>
        <v>6615</v>
      </c>
      <c r="AK12" s="349">
        <f>+AJ12-AI12</f>
        <v>-1885</v>
      </c>
      <c r="AL12" s="369">
        <f t="shared" ref="AL12:AL56" si="17">IF(AI12&lt;&gt;0,AJ12/AI12,"-")</f>
        <v>0.77823529411764703</v>
      </c>
      <c r="AM12" s="316">
        <f>+収支計画!P11/1000</f>
        <v>7000</v>
      </c>
      <c r="AN12" s="461">
        <f>+PL推移!V11</f>
        <v>4998</v>
      </c>
      <c r="AO12" s="349">
        <f t="shared" ref="AO12:AO55" si="18">+AN12-AM12</f>
        <v>-2002</v>
      </c>
      <c r="AP12" s="369">
        <f t="shared" ref="AP12:AP56" si="19">IF(AM12&lt;&gt;0,AN12/AM12,"-")</f>
        <v>0.71399999999999997</v>
      </c>
      <c r="AQ12" s="316">
        <f>+収支計画!Q11/1000</f>
        <v>7000</v>
      </c>
      <c r="AR12" s="461">
        <f>+PL推移!X11</f>
        <v>5401</v>
      </c>
      <c r="AS12" s="349">
        <f t="shared" ref="AS12:AS55" si="20">+AR12-AQ12</f>
        <v>-1599</v>
      </c>
      <c r="AT12" s="369">
        <f t="shared" ref="AT12:AT56" si="21">IF(AQ12&lt;&gt;0,AR12/AQ12,"-")</f>
        <v>0.77157142857142857</v>
      </c>
      <c r="AU12" s="316">
        <f>+収支計画!R11/1000</f>
        <v>7000</v>
      </c>
      <c r="AV12" s="359">
        <f>+PL推移!Z11</f>
        <v>5367</v>
      </c>
      <c r="AW12" s="349">
        <f t="shared" ref="AW12:AW55" si="22">+AV12-AU12</f>
        <v>-1633</v>
      </c>
      <c r="AX12" s="369">
        <f t="shared" ref="AX12:AX56" si="23">IF(AU12&lt;&gt;0,AV12/AU12,"-")</f>
        <v>0.76671428571428568</v>
      </c>
      <c r="AY12" s="420">
        <f t="shared" ref="AY12:AY51" si="24">+C12+G12+K12+O12+S12+W12+AA12+AE12+AI12+AM12+AQ12+AU12</f>
        <v>88000</v>
      </c>
      <c r="AZ12" s="438">
        <f t="shared" ref="AZ12:AZ51" si="25">+D12+H12+L12+P12+T12+X12+AB12+AF12+AJ12+AN12+AR12+AV12</f>
        <v>75404</v>
      </c>
      <c r="BA12" s="317">
        <f t="shared" ref="BA12:BA55" si="26">+AZ12-AY12</f>
        <v>-12596</v>
      </c>
      <c r="BB12" s="505">
        <f t="shared" ref="BB12:BB56" si="27">IF(AY12&lt;&gt;0,AZ12/AY12,"-")</f>
        <v>0.85686363636363638</v>
      </c>
    </row>
    <row r="13" spans="1:54">
      <c r="A13" s="177"/>
      <c r="B13" s="5" t="s">
        <v>139</v>
      </c>
      <c r="C13" s="421">
        <f>+収支計画!G12/1000</f>
        <v>750</v>
      </c>
      <c r="D13" s="439">
        <f>+PL推移!D12</f>
        <v>573</v>
      </c>
      <c r="E13" s="319">
        <f t="shared" ref="E13:E24" si="28">+D13-C13</f>
        <v>-177</v>
      </c>
      <c r="F13" s="339">
        <f t="shared" si="9"/>
        <v>0.76400000000000001</v>
      </c>
      <c r="G13" s="430">
        <f>+収支計画!H12/1000</f>
        <v>750</v>
      </c>
      <c r="H13" s="439">
        <f>+PL推移!F12</f>
        <v>597</v>
      </c>
      <c r="I13" s="319">
        <f t="shared" ref="I13:I28" si="29">+H13-G13</f>
        <v>-153</v>
      </c>
      <c r="J13" s="370">
        <f t="shared" si="10"/>
        <v>0.79600000000000004</v>
      </c>
      <c r="K13" s="318">
        <f>+収支計画!I12/1000</f>
        <v>750</v>
      </c>
      <c r="L13" s="462">
        <f>+PL推移!H12</f>
        <v>602</v>
      </c>
      <c r="M13" s="350">
        <f t="shared" ref="M13:M28" si="30">+L13-K13</f>
        <v>-148</v>
      </c>
      <c r="N13" s="339">
        <f t="shared" si="11"/>
        <v>0.80266666666666664</v>
      </c>
      <c r="O13" s="318">
        <f>+収支計画!S12/1000</f>
        <v>750</v>
      </c>
      <c r="P13" s="462">
        <f>+PL推移!J12</f>
        <v>580</v>
      </c>
      <c r="Q13" s="350">
        <f t="shared" ref="Q13:Q16" si="31">+P13-O13</f>
        <v>-170</v>
      </c>
      <c r="R13" s="339">
        <f t="shared" si="12"/>
        <v>0.77333333333333332</v>
      </c>
      <c r="S13" s="318">
        <f>+収支計画!K12/1000</f>
        <v>750</v>
      </c>
      <c r="T13" s="462">
        <f>+PL推移!L12</f>
        <v>531</v>
      </c>
      <c r="U13" s="350">
        <f t="shared" ref="U13:U16" si="32">+T13-S13</f>
        <v>-219</v>
      </c>
      <c r="V13" s="339">
        <f t="shared" si="13"/>
        <v>0.70799999999999996</v>
      </c>
      <c r="W13" s="318">
        <f>+収支計画!L12/1000</f>
        <v>750</v>
      </c>
      <c r="X13" s="462">
        <f>+PL推移!N12</f>
        <v>558</v>
      </c>
      <c r="Y13" s="350">
        <f t="shared" ref="Y13:Y16" si="33">+X13-W13</f>
        <v>-192</v>
      </c>
      <c r="Z13" s="339">
        <f t="shared" si="14"/>
        <v>0.74399999999999999</v>
      </c>
      <c r="AA13" s="318">
        <f>+収支計画!M12/1000</f>
        <v>750</v>
      </c>
      <c r="AB13" s="462">
        <f>+PL推移!P12</f>
        <v>590</v>
      </c>
      <c r="AC13" s="350">
        <f t="shared" ref="AC13:AC16" si="34">+AB13-AA13</f>
        <v>-160</v>
      </c>
      <c r="AD13" s="339">
        <f t="shared" si="15"/>
        <v>0.78666666666666663</v>
      </c>
      <c r="AE13" s="318">
        <f>+収支計画!N12/1000</f>
        <v>750</v>
      </c>
      <c r="AF13" s="462">
        <f>+PL推移!R12</f>
        <v>596</v>
      </c>
      <c r="AG13" s="350">
        <f t="shared" ref="AG13:AG16" si="35">+AF13-AE13</f>
        <v>-154</v>
      </c>
      <c r="AH13" s="339">
        <f t="shared" si="16"/>
        <v>0.79466666666666663</v>
      </c>
      <c r="AI13" s="318">
        <f>+収支計画!O12/1000</f>
        <v>750</v>
      </c>
      <c r="AJ13" s="462">
        <f>+PL推移!T12</f>
        <v>606</v>
      </c>
      <c r="AK13" s="350">
        <f t="shared" ref="AK13:AK16" si="36">+AJ13-AI13</f>
        <v>-144</v>
      </c>
      <c r="AL13" s="370">
        <f t="shared" si="17"/>
        <v>0.80800000000000005</v>
      </c>
      <c r="AM13" s="318">
        <f>+収支計画!P12/1000</f>
        <v>750</v>
      </c>
      <c r="AN13" s="462">
        <f>+PL推移!V12</f>
        <v>541</v>
      </c>
      <c r="AO13" s="350">
        <f t="shared" si="18"/>
        <v>-209</v>
      </c>
      <c r="AP13" s="370">
        <f t="shared" si="19"/>
        <v>0.72133333333333338</v>
      </c>
      <c r="AQ13" s="318">
        <f>+収支計画!Q12/1000</f>
        <v>750</v>
      </c>
      <c r="AR13" s="462">
        <f>+PL推移!X12</f>
        <v>611</v>
      </c>
      <c r="AS13" s="350">
        <f t="shared" si="20"/>
        <v>-139</v>
      </c>
      <c r="AT13" s="370">
        <f t="shared" si="21"/>
        <v>0.81466666666666665</v>
      </c>
      <c r="AU13" s="318">
        <f>+収支計画!R12/1000</f>
        <v>750</v>
      </c>
      <c r="AV13" s="360">
        <f>+PL推移!Z12</f>
        <v>600</v>
      </c>
      <c r="AW13" s="350">
        <f t="shared" si="22"/>
        <v>-150</v>
      </c>
      <c r="AX13" s="370">
        <f t="shared" si="23"/>
        <v>0.8</v>
      </c>
      <c r="AY13" s="421">
        <f t="shared" si="24"/>
        <v>9000</v>
      </c>
      <c r="AZ13" s="439">
        <f t="shared" si="25"/>
        <v>6985</v>
      </c>
      <c r="BA13" s="319">
        <f t="shared" si="26"/>
        <v>-2015</v>
      </c>
      <c r="BB13" s="506">
        <f t="shared" si="27"/>
        <v>0.77611111111111108</v>
      </c>
    </row>
    <row r="14" spans="1:54">
      <c r="A14" s="177"/>
      <c r="B14" s="5" t="s">
        <v>226</v>
      </c>
      <c r="C14" s="421">
        <f>+収支計画!G13/1000</f>
        <v>350</v>
      </c>
      <c r="D14" s="439">
        <f>+PL推移!D13</f>
        <v>464</v>
      </c>
      <c r="E14" s="319">
        <f t="shared" si="28"/>
        <v>114</v>
      </c>
      <c r="F14" s="339">
        <f t="shared" si="9"/>
        <v>1.3257142857142856</v>
      </c>
      <c r="G14" s="430">
        <f>+収支計画!H13/1000</f>
        <v>350</v>
      </c>
      <c r="H14" s="439">
        <f>+PL推移!F13</f>
        <v>361</v>
      </c>
      <c r="I14" s="319">
        <f t="shared" si="29"/>
        <v>11</v>
      </c>
      <c r="J14" s="370">
        <f t="shared" si="10"/>
        <v>1.0314285714285714</v>
      </c>
      <c r="K14" s="318">
        <f>+収支計画!I13/1000</f>
        <v>350</v>
      </c>
      <c r="L14" s="462">
        <f>+PL推移!H13</f>
        <v>266</v>
      </c>
      <c r="M14" s="350">
        <f t="shared" si="30"/>
        <v>-84</v>
      </c>
      <c r="N14" s="339">
        <f t="shared" si="11"/>
        <v>0.76</v>
      </c>
      <c r="O14" s="318">
        <f>+収支計画!S13/1000</f>
        <v>350</v>
      </c>
      <c r="P14" s="462">
        <f>+PL推移!J13</f>
        <v>209</v>
      </c>
      <c r="Q14" s="350">
        <f t="shared" si="31"/>
        <v>-141</v>
      </c>
      <c r="R14" s="339">
        <f t="shared" si="12"/>
        <v>0.5971428571428572</v>
      </c>
      <c r="S14" s="318">
        <f>+収支計画!K13/1000</f>
        <v>350</v>
      </c>
      <c r="T14" s="462">
        <f>+PL推移!L13</f>
        <v>279</v>
      </c>
      <c r="U14" s="350">
        <f t="shared" si="32"/>
        <v>-71</v>
      </c>
      <c r="V14" s="339">
        <f t="shared" si="13"/>
        <v>0.79714285714285715</v>
      </c>
      <c r="W14" s="318">
        <f>+収支計画!L13/1000</f>
        <v>350</v>
      </c>
      <c r="X14" s="462">
        <f>+PL推移!N13</f>
        <v>318</v>
      </c>
      <c r="Y14" s="350">
        <f t="shared" si="33"/>
        <v>-32</v>
      </c>
      <c r="Z14" s="339">
        <f t="shared" si="14"/>
        <v>0.90857142857142859</v>
      </c>
      <c r="AA14" s="318">
        <f>+収支計画!M13/1000</f>
        <v>350</v>
      </c>
      <c r="AB14" s="462">
        <f>+PL推移!P13</f>
        <v>337</v>
      </c>
      <c r="AC14" s="350">
        <f t="shared" si="34"/>
        <v>-13</v>
      </c>
      <c r="AD14" s="339">
        <f t="shared" si="15"/>
        <v>0.96285714285714286</v>
      </c>
      <c r="AE14" s="318">
        <f>+収支計画!N13/1000</f>
        <v>350</v>
      </c>
      <c r="AF14" s="462">
        <f>+PL推移!R13</f>
        <v>243</v>
      </c>
      <c r="AG14" s="350">
        <f t="shared" si="35"/>
        <v>-107</v>
      </c>
      <c r="AH14" s="339">
        <f t="shared" si="16"/>
        <v>0.69428571428571428</v>
      </c>
      <c r="AI14" s="318">
        <f>+収支計画!O13/1000</f>
        <v>350</v>
      </c>
      <c r="AJ14" s="462">
        <f>+PL推移!T13</f>
        <v>371</v>
      </c>
      <c r="AK14" s="350">
        <f t="shared" si="36"/>
        <v>21</v>
      </c>
      <c r="AL14" s="370">
        <f t="shared" si="17"/>
        <v>1.06</v>
      </c>
      <c r="AM14" s="318">
        <f>+収支計画!P13/1000</f>
        <v>350</v>
      </c>
      <c r="AN14" s="462">
        <f>+PL推移!V13</f>
        <v>421</v>
      </c>
      <c r="AO14" s="350">
        <f t="shared" si="18"/>
        <v>71</v>
      </c>
      <c r="AP14" s="370">
        <f t="shared" si="19"/>
        <v>1.2028571428571428</v>
      </c>
      <c r="AQ14" s="318">
        <f>+収支計画!Q13/1000</f>
        <v>350</v>
      </c>
      <c r="AR14" s="462">
        <f>+PL推移!X13</f>
        <v>460</v>
      </c>
      <c r="AS14" s="350">
        <f t="shared" si="20"/>
        <v>110</v>
      </c>
      <c r="AT14" s="370">
        <f t="shared" si="21"/>
        <v>1.3142857142857143</v>
      </c>
      <c r="AU14" s="318">
        <f>+収支計画!R13/1000</f>
        <v>350</v>
      </c>
      <c r="AV14" s="360">
        <f>+PL推移!Z13</f>
        <v>444</v>
      </c>
      <c r="AW14" s="350">
        <f t="shared" si="22"/>
        <v>94</v>
      </c>
      <c r="AX14" s="370">
        <f t="shared" si="23"/>
        <v>1.2685714285714285</v>
      </c>
      <c r="AY14" s="421">
        <f t="shared" si="24"/>
        <v>4200</v>
      </c>
      <c r="AZ14" s="439">
        <f t="shared" si="25"/>
        <v>4173</v>
      </c>
      <c r="BA14" s="319">
        <f t="shared" si="26"/>
        <v>-27</v>
      </c>
      <c r="BB14" s="506">
        <f t="shared" si="27"/>
        <v>0.99357142857142855</v>
      </c>
    </row>
    <row r="15" spans="1:54">
      <c r="A15" s="177"/>
      <c r="B15" s="5" t="s">
        <v>369</v>
      </c>
      <c r="C15" s="421">
        <f>+収支計画!G14/1000</f>
        <v>150</v>
      </c>
      <c r="D15" s="439">
        <f>+PL推移!D14</f>
        <v>129</v>
      </c>
      <c r="E15" s="319">
        <f t="shared" si="28"/>
        <v>-21</v>
      </c>
      <c r="F15" s="339">
        <f t="shared" si="9"/>
        <v>0.86</v>
      </c>
      <c r="G15" s="430">
        <f>+収支計画!H14/1000</f>
        <v>150</v>
      </c>
      <c r="H15" s="439">
        <f>+PL推移!F14</f>
        <v>180</v>
      </c>
      <c r="I15" s="319">
        <f t="shared" si="29"/>
        <v>30</v>
      </c>
      <c r="J15" s="370">
        <f t="shared" si="10"/>
        <v>1.2</v>
      </c>
      <c r="K15" s="318">
        <f>+収支計画!I14/1000</f>
        <v>150</v>
      </c>
      <c r="L15" s="462">
        <f>+PL推移!H14</f>
        <v>72</v>
      </c>
      <c r="M15" s="350">
        <f t="shared" si="30"/>
        <v>-78</v>
      </c>
      <c r="N15" s="339">
        <f t="shared" si="11"/>
        <v>0.48</v>
      </c>
      <c r="O15" s="318">
        <f>+収支計画!S14/1000</f>
        <v>150</v>
      </c>
      <c r="P15" s="462">
        <f>+PL推移!J14</f>
        <v>283</v>
      </c>
      <c r="Q15" s="350">
        <f t="shared" si="31"/>
        <v>133</v>
      </c>
      <c r="R15" s="339">
        <f t="shared" si="12"/>
        <v>1.8866666666666667</v>
      </c>
      <c r="S15" s="318">
        <f>+収支計画!K14/1000</f>
        <v>150</v>
      </c>
      <c r="T15" s="462">
        <f>+PL推移!L14</f>
        <v>123</v>
      </c>
      <c r="U15" s="350">
        <f t="shared" si="32"/>
        <v>-27</v>
      </c>
      <c r="V15" s="339">
        <f t="shared" si="13"/>
        <v>0.82</v>
      </c>
      <c r="W15" s="318">
        <f>+収支計画!L14/1000</f>
        <v>150</v>
      </c>
      <c r="X15" s="462">
        <f>+PL推移!N14</f>
        <v>131</v>
      </c>
      <c r="Y15" s="350">
        <f t="shared" si="33"/>
        <v>-19</v>
      </c>
      <c r="Z15" s="339">
        <f t="shared" si="14"/>
        <v>0.87333333333333329</v>
      </c>
      <c r="AA15" s="318">
        <f>+収支計画!M14/1000</f>
        <v>150</v>
      </c>
      <c r="AB15" s="462">
        <f>+PL推移!P14</f>
        <v>106</v>
      </c>
      <c r="AC15" s="350">
        <f t="shared" si="34"/>
        <v>-44</v>
      </c>
      <c r="AD15" s="339">
        <f t="shared" si="15"/>
        <v>0.70666666666666667</v>
      </c>
      <c r="AE15" s="318">
        <f>+収支計画!N14/1000</f>
        <v>150</v>
      </c>
      <c r="AF15" s="462">
        <f>+PL推移!R14</f>
        <v>90</v>
      </c>
      <c r="AG15" s="350">
        <f t="shared" si="35"/>
        <v>-60</v>
      </c>
      <c r="AH15" s="339">
        <f t="shared" si="16"/>
        <v>0.6</v>
      </c>
      <c r="AI15" s="318">
        <f>+収支計画!O14/1000</f>
        <v>150</v>
      </c>
      <c r="AJ15" s="462">
        <f>+PL推移!T14</f>
        <v>125</v>
      </c>
      <c r="AK15" s="350">
        <f t="shared" si="36"/>
        <v>-25</v>
      </c>
      <c r="AL15" s="370">
        <f t="shared" si="17"/>
        <v>0.83333333333333337</v>
      </c>
      <c r="AM15" s="318">
        <f>+収支計画!P14/1000</f>
        <v>150</v>
      </c>
      <c r="AN15" s="462">
        <f>+PL推移!V14</f>
        <v>100</v>
      </c>
      <c r="AO15" s="350">
        <f t="shared" si="18"/>
        <v>-50</v>
      </c>
      <c r="AP15" s="370">
        <f t="shared" si="19"/>
        <v>0.66666666666666663</v>
      </c>
      <c r="AQ15" s="318">
        <f>+収支計画!Q14/1000</f>
        <v>150</v>
      </c>
      <c r="AR15" s="462">
        <f>+PL推移!X14</f>
        <v>83</v>
      </c>
      <c r="AS15" s="350">
        <f t="shared" si="20"/>
        <v>-67</v>
      </c>
      <c r="AT15" s="370">
        <f t="shared" si="21"/>
        <v>0.55333333333333334</v>
      </c>
      <c r="AU15" s="318">
        <f>+収支計画!R14/1000</f>
        <v>150</v>
      </c>
      <c r="AV15" s="360">
        <f>+PL推移!Z14</f>
        <v>75</v>
      </c>
      <c r="AW15" s="350">
        <f t="shared" si="22"/>
        <v>-75</v>
      </c>
      <c r="AX15" s="370">
        <f t="shared" si="23"/>
        <v>0.5</v>
      </c>
      <c r="AY15" s="421">
        <f t="shared" si="24"/>
        <v>1800</v>
      </c>
      <c r="AZ15" s="439">
        <f t="shared" si="25"/>
        <v>1497</v>
      </c>
      <c r="BA15" s="319">
        <f t="shared" si="26"/>
        <v>-303</v>
      </c>
      <c r="BB15" s="506">
        <f t="shared" si="27"/>
        <v>0.83166666666666667</v>
      </c>
    </row>
    <row r="16" spans="1:54" s="6" customFormat="1">
      <c r="A16" s="188"/>
      <c r="B16" s="7" t="s">
        <v>227</v>
      </c>
      <c r="C16" s="422">
        <f>+収支計画!G15/1000</f>
        <v>1000</v>
      </c>
      <c r="D16" s="440">
        <f>+PL推移!D15</f>
        <v>786</v>
      </c>
      <c r="E16" s="321">
        <f t="shared" si="28"/>
        <v>-214</v>
      </c>
      <c r="F16" s="340">
        <f t="shared" si="9"/>
        <v>0.78600000000000003</v>
      </c>
      <c r="G16" s="431">
        <f>+収支計画!H15/1000</f>
        <v>2620</v>
      </c>
      <c r="H16" s="440">
        <f>+PL推移!F15</f>
        <v>1614</v>
      </c>
      <c r="I16" s="321">
        <f t="shared" si="29"/>
        <v>-1006</v>
      </c>
      <c r="J16" s="371">
        <f t="shared" si="10"/>
        <v>0.61603053435114508</v>
      </c>
      <c r="K16" s="320">
        <f>+収支計画!I15/1000</f>
        <v>1000</v>
      </c>
      <c r="L16" s="463">
        <f>+PL推移!H15</f>
        <v>765</v>
      </c>
      <c r="M16" s="351">
        <f t="shared" si="30"/>
        <v>-235</v>
      </c>
      <c r="N16" s="340">
        <f t="shared" si="11"/>
        <v>0.76500000000000001</v>
      </c>
      <c r="O16" s="320">
        <f>+収支計画!S15/1000</f>
        <v>1000</v>
      </c>
      <c r="P16" s="463">
        <f>+PL推移!J15</f>
        <v>1191</v>
      </c>
      <c r="Q16" s="351">
        <f t="shared" si="31"/>
        <v>191</v>
      </c>
      <c r="R16" s="340">
        <f t="shared" si="12"/>
        <v>1.1910000000000001</v>
      </c>
      <c r="S16" s="320">
        <f>+収支計画!K15/1000</f>
        <v>1000</v>
      </c>
      <c r="T16" s="463">
        <f>+PL推移!L15</f>
        <v>643</v>
      </c>
      <c r="U16" s="351">
        <f t="shared" si="32"/>
        <v>-357</v>
      </c>
      <c r="V16" s="340">
        <f t="shared" si="13"/>
        <v>0.64300000000000002</v>
      </c>
      <c r="W16" s="320">
        <f>+収支計画!L15/1000</f>
        <v>1000</v>
      </c>
      <c r="X16" s="463">
        <f>+PL推移!N15</f>
        <v>1021</v>
      </c>
      <c r="Y16" s="351">
        <f t="shared" si="33"/>
        <v>21</v>
      </c>
      <c r="Z16" s="340">
        <f t="shared" si="14"/>
        <v>1.0209999999999999</v>
      </c>
      <c r="AA16" s="320">
        <f>+収支計画!M15/1000</f>
        <v>1000</v>
      </c>
      <c r="AB16" s="463">
        <f>+PL推移!P15</f>
        <v>716</v>
      </c>
      <c r="AC16" s="351">
        <f t="shared" si="34"/>
        <v>-284</v>
      </c>
      <c r="AD16" s="340">
        <f t="shared" si="15"/>
        <v>0.71599999999999997</v>
      </c>
      <c r="AE16" s="320">
        <f>+収支計画!N15/1000</f>
        <v>1000</v>
      </c>
      <c r="AF16" s="463">
        <f>+PL推移!R15</f>
        <v>646</v>
      </c>
      <c r="AG16" s="351">
        <f t="shared" si="35"/>
        <v>-354</v>
      </c>
      <c r="AH16" s="340">
        <f t="shared" si="16"/>
        <v>0.64600000000000002</v>
      </c>
      <c r="AI16" s="320">
        <f>+収支計画!O15/1000</f>
        <v>1000</v>
      </c>
      <c r="AJ16" s="463">
        <f>+PL推移!T15</f>
        <v>690</v>
      </c>
      <c r="AK16" s="351">
        <f t="shared" si="36"/>
        <v>-310</v>
      </c>
      <c r="AL16" s="371">
        <f t="shared" si="17"/>
        <v>0.69</v>
      </c>
      <c r="AM16" s="320">
        <f>+収支計画!P15/1000</f>
        <v>1000</v>
      </c>
      <c r="AN16" s="463">
        <f>+PL推移!V15</f>
        <v>604</v>
      </c>
      <c r="AO16" s="351">
        <f t="shared" si="18"/>
        <v>-396</v>
      </c>
      <c r="AP16" s="371">
        <f t="shared" si="19"/>
        <v>0.60399999999999998</v>
      </c>
      <c r="AQ16" s="320">
        <f>+収支計画!Q15/1000</f>
        <v>1000</v>
      </c>
      <c r="AR16" s="463">
        <f>+PL推移!X15</f>
        <v>553</v>
      </c>
      <c r="AS16" s="351">
        <f t="shared" si="20"/>
        <v>-447</v>
      </c>
      <c r="AT16" s="371">
        <f t="shared" si="21"/>
        <v>0.55300000000000005</v>
      </c>
      <c r="AU16" s="320">
        <f>+収支計画!R15/1000</f>
        <v>1000</v>
      </c>
      <c r="AV16" s="361">
        <f>+PL推移!Z15</f>
        <v>565</v>
      </c>
      <c r="AW16" s="351">
        <f t="shared" si="22"/>
        <v>-435</v>
      </c>
      <c r="AX16" s="371">
        <f t="shared" si="23"/>
        <v>0.56499999999999995</v>
      </c>
      <c r="AY16" s="422">
        <f t="shared" si="24"/>
        <v>13620</v>
      </c>
      <c r="AZ16" s="440">
        <f t="shared" si="25"/>
        <v>9794</v>
      </c>
      <c r="BA16" s="321">
        <f t="shared" si="26"/>
        <v>-3826</v>
      </c>
      <c r="BB16" s="507">
        <f t="shared" si="27"/>
        <v>0.71908957415565344</v>
      </c>
    </row>
    <row r="17" spans="1:54" s="47" customFormat="1">
      <c r="A17" s="47" t="s">
        <v>141</v>
      </c>
      <c r="C17" s="419">
        <f>SUM(C18:C22)</f>
        <v>2200</v>
      </c>
      <c r="D17" s="437">
        <f>+PL推移!D16</f>
        <v>2134.92</v>
      </c>
      <c r="E17" s="329">
        <f t="shared" ref="E17" si="37">SUM(E18:E22)</f>
        <v>-66</v>
      </c>
      <c r="F17" s="337">
        <f t="shared" si="9"/>
        <v>0.97041818181818185</v>
      </c>
      <c r="G17" s="428">
        <f>+収支計画!H24/1000</f>
        <v>2200</v>
      </c>
      <c r="H17" s="437">
        <f>+PL推移!F16</f>
        <v>2119.4160000000002</v>
      </c>
      <c r="I17" s="329">
        <f t="shared" ref="I17" si="38">SUM(I18:I22)</f>
        <v>-82</v>
      </c>
      <c r="J17" s="368">
        <f t="shared" si="10"/>
        <v>0.96337090909090917</v>
      </c>
      <c r="K17" s="328">
        <f>SUM(K18:K22)</f>
        <v>2200</v>
      </c>
      <c r="L17" s="460">
        <f>+PL推移!H16</f>
        <v>1606.557</v>
      </c>
      <c r="M17" s="348">
        <f t="shared" ref="M17" si="39">SUM(M18:M22)</f>
        <v>-604</v>
      </c>
      <c r="N17" s="337">
        <f t="shared" si="11"/>
        <v>0.73025318181818177</v>
      </c>
      <c r="O17" s="328">
        <f>SUM(O18:O22)</f>
        <v>2200</v>
      </c>
      <c r="P17" s="460">
        <f>+PL推移!J16</f>
        <v>1700.604</v>
      </c>
      <c r="Q17" s="348">
        <f t="shared" ref="Q17" si="40">SUM(Q18:Q22)</f>
        <v>-501</v>
      </c>
      <c r="R17" s="337">
        <f t="shared" si="12"/>
        <v>0.77300181818181823</v>
      </c>
      <c r="S17" s="328">
        <f>SUM(S18:S22)</f>
        <v>2200</v>
      </c>
      <c r="T17" s="460">
        <f>+PL推移!L16</f>
        <v>1780.96</v>
      </c>
      <c r="U17" s="348">
        <f t="shared" ref="U17" si="41">SUM(U18:U22)</f>
        <v>-420</v>
      </c>
      <c r="V17" s="337">
        <f t="shared" si="13"/>
        <v>0.80952727272727276</v>
      </c>
      <c r="W17" s="328">
        <f>SUM(W18:W22)</f>
        <v>2837.5</v>
      </c>
      <c r="X17" s="460">
        <f>+PL推移!N16</f>
        <v>2735.2739999999999</v>
      </c>
      <c r="Y17" s="348">
        <f t="shared" ref="Y17" si="42">SUM(Y18:Y22)</f>
        <v>-193.5</v>
      </c>
      <c r="Z17" s="337">
        <f t="shared" si="14"/>
        <v>0.96397321585903084</v>
      </c>
      <c r="AA17" s="328">
        <f>+収支計画!M24/1000</f>
        <v>2200</v>
      </c>
      <c r="AB17" s="460">
        <f>+PL推移!P16</f>
        <v>1730.4780000000001</v>
      </c>
      <c r="AC17" s="348">
        <f t="shared" ref="AC17" si="43">SUM(AC18:AC22)</f>
        <v>-470</v>
      </c>
      <c r="AD17" s="337">
        <f t="shared" si="15"/>
        <v>0.78658090909090916</v>
      </c>
      <c r="AE17" s="328">
        <f>+収支計画!N24/1000</f>
        <v>2200</v>
      </c>
      <c r="AF17" s="460">
        <f>+PL推移!R16</f>
        <v>1869.5530000000001</v>
      </c>
      <c r="AG17" s="348">
        <f t="shared" ref="AG17" si="44">SUM(AG18:AG22)</f>
        <v>-331</v>
      </c>
      <c r="AH17" s="337">
        <f t="shared" si="16"/>
        <v>0.84979681818181818</v>
      </c>
      <c r="AI17" s="328">
        <f>+収支計画!O24/1000</f>
        <v>2582.5</v>
      </c>
      <c r="AJ17" s="460">
        <f>+PL推移!T16</f>
        <v>2027.335</v>
      </c>
      <c r="AK17" s="348">
        <f t="shared" ref="AK17" si="45">SUM(AK18:AK22)</f>
        <v>-553.5</v>
      </c>
      <c r="AL17" s="368">
        <f t="shared" si="17"/>
        <v>0.78502807357212001</v>
      </c>
      <c r="AM17" s="328">
        <f>+収支計画!P24/1000</f>
        <v>2182.5</v>
      </c>
      <c r="AN17" s="460">
        <f>+PL推移!V16</f>
        <v>1978.7280000000001</v>
      </c>
      <c r="AO17" s="348">
        <f t="shared" si="18"/>
        <v>-203.77199999999993</v>
      </c>
      <c r="AP17" s="368">
        <f t="shared" si="19"/>
        <v>0.9066336769759451</v>
      </c>
      <c r="AQ17" s="328">
        <f>+収支計画!Q24/1000</f>
        <v>2182.5</v>
      </c>
      <c r="AR17" s="460">
        <f>+PL推移!X16</f>
        <v>1982.5239999999999</v>
      </c>
      <c r="AS17" s="348">
        <f t="shared" si="20"/>
        <v>-199.97600000000011</v>
      </c>
      <c r="AT17" s="368">
        <f t="shared" si="21"/>
        <v>0.90837296678121415</v>
      </c>
      <c r="AU17" s="328">
        <f>+収支計画!R24/1000</f>
        <v>2182.5</v>
      </c>
      <c r="AV17" s="358">
        <f>+PL推移!Z16</f>
        <v>1865.9380000000001</v>
      </c>
      <c r="AW17" s="348">
        <f t="shared" si="22"/>
        <v>-316.5619999999999</v>
      </c>
      <c r="AX17" s="368">
        <f t="shared" si="23"/>
        <v>0.85495441008018336</v>
      </c>
      <c r="AY17" s="419">
        <f t="shared" si="24"/>
        <v>27367.5</v>
      </c>
      <c r="AZ17" s="437">
        <f t="shared" si="25"/>
        <v>23532.286999999997</v>
      </c>
      <c r="BA17" s="329">
        <f t="shared" si="26"/>
        <v>-3835.2130000000034</v>
      </c>
      <c r="BB17" s="504">
        <f t="shared" si="27"/>
        <v>0.85986250114186524</v>
      </c>
    </row>
    <row r="18" spans="1:54">
      <c r="A18" s="177"/>
      <c r="B18" s="3" t="str">
        <f>+B12</f>
        <v>恵愛</v>
      </c>
      <c r="C18" s="423">
        <f>+収支計画!G18/1000</f>
        <v>1785</v>
      </c>
      <c r="D18" s="441">
        <f>+PL推移!D17</f>
        <v>1815</v>
      </c>
      <c r="E18" s="323">
        <f t="shared" si="28"/>
        <v>30</v>
      </c>
      <c r="F18" s="341">
        <f t="shared" si="9"/>
        <v>1.0168067226890756</v>
      </c>
      <c r="G18" s="432">
        <f>+収支計画!H18/1000</f>
        <v>1785</v>
      </c>
      <c r="H18" s="441">
        <f>+PL推移!F17</f>
        <v>1783</v>
      </c>
      <c r="I18" s="323">
        <f t="shared" si="29"/>
        <v>-2</v>
      </c>
      <c r="J18" s="372">
        <f t="shared" si="10"/>
        <v>0.9988795518207283</v>
      </c>
      <c r="K18" s="322">
        <f>+収支計画!I18/1000</f>
        <v>1785</v>
      </c>
      <c r="L18" s="464">
        <f>+PL推移!H17</f>
        <v>1374</v>
      </c>
      <c r="M18" s="352">
        <f t="shared" si="30"/>
        <v>-411</v>
      </c>
      <c r="N18" s="341">
        <f t="shared" si="11"/>
        <v>0.76974789915966391</v>
      </c>
      <c r="O18" s="322">
        <f>+収支計画!J18/1000</f>
        <v>1785</v>
      </c>
      <c r="P18" s="464">
        <f>+PL推移!J17</f>
        <v>1329</v>
      </c>
      <c r="Q18" s="352">
        <f t="shared" ref="Q18:Q22" si="46">+P18-O18</f>
        <v>-456</v>
      </c>
      <c r="R18" s="341">
        <f t="shared" si="12"/>
        <v>0.74453781512605044</v>
      </c>
      <c r="S18" s="322">
        <f>+収支計画!K18/1000</f>
        <v>1785</v>
      </c>
      <c r="T18" s="464">
        <f>+PL推移!L17</f>
        <v>1535</v>
      </c>
      <c r="U18" s="352">
        <f t="shared" ref="U18:U22" si="47">+T18-S18</f>
        <v>-250</v>
      </c>
      <c r="V18" s="341">
        <f t="shared" si="13"/>
        <v>0.85994397759103647</v>
      </c>
      <c r="W18" s="322">
        <f>+収支計画!L18/1000</f>
        <v>2422.5</v>
      </c>
      <c r="X18" s="464">
        <f>+PL推移!N17</f>
        <v>2301</v>
      </c>
      <c r="Y18" s="352">
        <f t="shared" ref="Y18:Y22" si="48">+X18-W18</f>
        <v>-121.5</v>
      </c>
      <c r="Z18" s="341">
        <f t="shared" si="14"/>
        <v>0.94984520123839011</v>
      </c>
      <c r="AA18" s="322">
        <f>+収支計画!M18/1000</f>
        <v>1785</v>
      </c>
      <c r="AB18" s="464">
        <f>+PL推移!P17</f>
        <v>1459</v>
      </c>
      <c r="AC18" s="352">
        <f t="shared" ref="AC18:AC22" si="49">+AB18-AA18</f>
        <v>-326</v>
      </c>
      <c r="AD18" s="341">
        <f t="shared" si="15"/>
        <v>0.81736694677871147</v>
      </c>
      <c r="AE18" s="322">
        <f>+収支計画!N18/1000</f>
        <v>1785</v>
      </c>
      <c r="AF18" s="464">
        <f>+PL推移!R17</f>
        <v>1573</v>
      </c>
      <c r="AG18" s="352">
        <f t="shared" ref="AG18:AG22" si="50">+AF18-AE18</f>
        <v>-212</v>
      </c>
      <c r="AH18" s="341">
        <f t="shared" si="16"/>
        <v>0.88123249299719886</v>
      </c>
      <c r="AI18" s="322">
        <f>+収支計画!O18/1000</f>
        <v>2167.5</v>
      </c>
      <c r="AJ18" s="464">
        <f>+PL推移!T17</f>
        <v>1698</v>
      </c>
      <c r="AK18" s="352">
        <f t="shared" ref="AK18:AK22" si="51">+AJ18-AI18</f>
        <v>-469.5</v>
      </c>
      <c r="AL18" s="372">
        <f t="shared" si="17"/>
        <v>0.78339100346020762</v>
      </c>
      <c r="AM18" s="322">
        <f>+収支計画!P18/1000</f>
        <v>1785</v>
      </c>
      <c r="AN18" s="464">
        <f>+PL推移!V17</f>
        <v>1609</v>
      </c>
      <c r="AO18" s="352">
        <f t="shared" si="18"/>
        <v>-176</v>
      </c>
      <c r="AP18" s="372">
        <f t="shared" si="19"/>
        <v>0.90140056022408965</v>
      </c>
      <c r="AQ18" s="322">
        <f>+収支計画!Q18/1000</f>
        <v>1785</v>
      </c>
      <c r="AR18" s="464">
        <f>+PL推移!X17</f>
        <v>1737</v>
      </c>
      <c r="AS18" s="352">
        <f t="shared" si="20"/>
        <v>-48</v>
      </c>
      <c r="AT18" s="372">
        <f t="shared" si="21"/>
        <v>0.97310924369747898</v>
      </c>
      <c r="AU18" s="322">
        <f>+収支計画!R18/1000</f>
        <v>1785</v>
      </c>
      <c r="AV18" s="362">
        <f>+PL推移!Z17</f>
        <v>1556</v>
      </c>
      <c r="AW18" s="352">
        <f t="shared" si="22"/>
        <v>-229</v>
      </c>
      <c r="AX18" s="372">
        <f t="shared" si="23"/>
        <v>0.87170868347338937</v>
      </c>
      <c r="AY18" s="423">
        <f t="shared" si="24"/>
        <v>22440</v>
      </c>
      <c r="AZ18" s="441">
        <f t="shared" si="25"/>
        <v>19769</v>
      </c>
      <c r="BA18" s="323">
        <f t="shared" si="26"/>
        <v>-2671</v>
      </c>
      <c r="BB18" s="508">
        <f t="shared" si="27"/>
        <v>0.88097147950089127</v>
      </c>
    </row>
    <row r="19" spans="1:54">
      <c r="A19" s="177"/>
      <c r="B19" s="5" t="str">
        <f>+B13</f>
        <v>村</v>
      </c>
      <c r="C19" s="421">
        <f>+収支計画!G19/1000</f>
        <v>112.5</v>
      </c>
      <c r="D19" s="439">
        <f>+PL推移!D18</f>
        <v>65</v>
      </c>
      <c r="E19" s="319">
        <f t="shared" si="28"/>
        <v>-47.5</v>
      </c>
      <c r="F19" s="339">
        <f t="shared" si="9"/>
        <v>0.57777777777777772</v>
      </c>
      <c r="G19" s="430">
        <f>+収支計画!H19/1000</f>
        <v>112.5</v>
      </c>
      <c r="H19" s="439">
        <f>+PL推移!F18</f>
        <v>78</v>
      </c>
      <c r="I19" s="319">
        <f t="shared" si="29"/>
        <v>-34.5</v>
      </c>
      <c r="J19" s="370">
        <f t="shared" si="10"/>
        <v>0.69333333333333336</v>
      </c>
      <c r="K19" s="318">
        <f>+収支計画!I19/1000</f>
        <v>112.5</v>
      </c>
      <c r="L19" s="462">
        <f>+PL推移!H18</f>
        <v>59</v>
      </c>
      <c r="M19" s="350">
        <f t="shared" si="30"/>
        <v>-53.5</v>
      </c>
      <c r="N19" s="339">
        <f t="shared" si="11"/>
        <v>0.52444444444444449</v>
      </c>
      <c r="O19" s="318">
        <f>+収支計画!S19/1000</f>
        <v>112.5</v>
      </c>
      <c r="P19" s="462">
        <f>+PL推移!J18</f>
        <v>145</v>
      </c>
      <c r="Q19" s="350">
        <f t="shared" si="46"/>
        <v>32.5</v>
      </c>
      <c r="R19" s="339">
        <f t="shared" si="12"/>
        <v>1.288888888888889</v>
      </c>
      <c r="S19" s="318">
        <f>+収支計画!K19/1000</f>
        <v>112.5</v>
      </c>
      <c r="T19" s="462">
        <f>+PL推移!L18</f>
        <v>69</v>
      </c>
      <c r="U19" s="350">
        <f t="shared" si="47"/>
        <v>-43.5</v>
      </c>
      <c r="V19" s="339">
        <f t="shared" si="13"/>
        <v>0.61333333333333329</v>
      </c>
      <c r="W19" s="318">
        <f>+収支計画!L19/1000</f>
        <v>112.5</v>
      </c>
      <c r="X19" s="462">
        <f>+PL推移!N18</f>
        <v>142</v>
      </c>
      <c r="Y19" s="350">
        <f t="shared" si="48"/>
        <v>29.5</v>
      </c>
      <c r="Z19" s="339">
        <f t="shared" si="14"/>
        <v>1.2622222222222221</v>
      </c>
      <c r="AA19" s="318">
        <f>+収支計画!M19/1000</f>
        <v>112.5</v>
      </c>
      <c r="AB19" s="462">
        <f>+PL推移!P18</f>
        <v>87</v>
      </c>
      <c r="AC19" s="350">
        <f t="shared" si="49"/>
        <v>-25.5</v>
      </c>
      <c r="AD19" s="339">
        <f t="shared" si="15"/>
        <v>0.77333333333333332</v>
      </c>
      <c r="AE19" s="318">
        <f>+収支計画!N19/1000</f>
        <v>112.5</v>
      </c>
      <c r="AF19" s="462">
        <f>+PL推移!R18</f>
        <v>100</v>
      </c>
      <c r="AG19" s="350">
        <f t="shared" si="50"/>
        <v>-12.5</v>
      </c>
      <c r="AH19" s="339">
        <f t="shared" si="16"/>
        <v>0.88888888888888884</v>
      </c>
      <c r="AI19" s="318">
        <f>+収支計画!O19/1000</f>
        <v>112.5</v>
      </c>
      <c r="AJ19" s="462">
        <f>+PL推移!T18</f>
        <v>110</v>
      </c>
      <c r="AK19" s="350">
        <f t="shared" si="51"/>
        <v>-2.5</v>
      </c>
      <c r="AL19" s="370">
        <f t="shared" si="17"/>
        <v>0.97777777777777775</v>
      </c>
      <c r="AM19" s="318">
        <f>+収支計画!P19/1000</f>
        <v>112.5</v>
      </c>
      <c r="AN19" s="462">
        <f>+PL推移!V18</f>
        <v>135</v>
      </c>
      <c r="AO19" s="350">
        <f t="shared" si="18"/>
        <v>22.5</v>
      </c>
      <c r="AP19" s="370">
        <f t="shared" si="19"/>
        <v>1.2</v>
      </c>
      <c r="AQ19" s="318">
        <f>+収支計画!Q19/1000</f>
        <v>112.5</v>
      </c>
      <c r="AR19" s="462">
        <f>+PL推移!X18</f>
        <v>102</v>
      </c>
      <c r="AS19" s="350">
        <f t="shared" si="20"/>
        <v>-10.5</v>
      </c>
      <c r="AT19" s="370">
        <f t="shared" si="21"/>
        <v>0.90666666666666662</v>
      </c>
      <c r="AU19" s="318">
        <f>+収支計画!R19/1000</f>
        <v>112.5</v>
      </c>
      <c r="AV19" s="360">
        <f>+PL推移!Z18</f>
        <v>66</v>
      </c>
      <c r="AW19" s="350">
        <f t="shared" si="22"/>
        <v>-46.5</v>
      </c>
      <c r="AX19" s="370">
        <f t="shared" si="23"/>
        <v>0.58666666666666667</v>
      </c>
      <c r="AY19" s="421">
        <f t="shared" si="24"/>
        <v>1350</v>
      </c>
      <c r="AZ19" s="439">
        <f t="shared" si="25"/>
        <v>1158</v>
      </c>
      <c r="BA19" s="319">
        <f t="shared" si="26"/>
        <v>-192</v>
      </c>
      <c r="BB19" s="506">
        <f t="shared" si="27"/>
        <v>0.85777777777777775</v>
      </c>
    </row>
    <row r="20" spans="1:54">
      <c r="A20" s="177"/>
      <c r="B20" s="5" t="str">
        <f>+B14</f>
        <v>弁当</v>
      </c>
      <c r="C20" s="421">
        <f>+収支計画!G20/1000</f>
        <v>157.5</v>
      </c>
      <c r="D20" s="439">
        <f>+PL推移!D19</f>
        <v>148</v>
      </c>
      <c r="E20" s="319">
        <f t="shared" si="28"/>
        <v>-9.5</v>
      </c>
      <c r="F20" s="339">
        <f t="shared" si="9"/>
        <v>0.93968253968253967</v>
      </c>
      <c r="G20" s="430">
        <f>+収支計画!H20/1000</f>
        <v>157.5</v>
      </c>
      <c r="H20" s="439">
        <f>+PL推移!F19</f>
        <v>158</v>
      </c>
      <c r="I20" s="319">
        <f t="shared" si="29"/>
        <v>0.5</v>
      </c>
      <c r="J20" s="370">
        <f t="shared" si="10"/>
        <v>1.0031746031746032</v>
      </c>
      <c r="K20" s="318">
        <f>+収支計画!I20/1000</f>
        <v>157.5</v>
      </c>
      <c r="L20" s="462">
        <f>+PL推移!H19</f>
        <v>135</v>
      </c>
      <c r="M20" s="350">
        <f t="shared" si="30"/>
        <v>-22.5</v>
      </c>
      <c r="N20" s="339">
        <f t="shared" si="11"/>
        <v>0.8571428571428571</v>
      </c>
      <c r="O20" s="318">
        <f>+収支計画!S20/1000</f>
        <v>157.5</v>
      </c>
      <c r="P20" s="462">
        <f>+PL推移!J19</f>
        <v>100</v>
      </c>
      <c r="Q20" s="350">
        <f t="shared" si="46"/>
        <v>-57.5</v>
      </c>
      <c r="R20" s="339">
        <f t="shared" si="12"/>
        <v>0.63492063492063489</v>
      </c>
      <c r="S20" s="318">
        <f>+収支計画!K20/1000</f>
        <v>157.5</v>
      </c>
      <c r="T20" s="462">
        <f>+PL推移!L19</f>
        <v>133</v>
      </c>
      <c r="U20" s="350">
        <f t="shared" si="47"/>
        <v>-24.5</v>
      </c>
      <c r="V20" s="339">
        <f t="shared" si="13"/>
        <v>0.84444444444444444</v>
      </c>
      <c r="W20" s="318">
        <f>+収支計画!L20/1000</f>
        <v>157.5</v>
      </c>
      <c r="X20" s="462">
        <f>+PL推移!N19</f>
        <v>129</v>
      </c>
      <c r="Y20" s="350">
        <f t="shared" si="48"/>
        <v>-28.5</v>
      </c>
      <c r="Z20" s="339">
        <f t="shared" si="14"/>
        <v>0.81904761904761902</v>
      </c>
      <c r="AA20" s="318">
        <f>+収支計画!M20/1000</f>
        <v>157.5</v>
      </c>
      <c r="AB20" s="462">
        <f>+PL推移!P19</f>
        <v>148</v>
      </c>
      <c r="AC20" s="350">
        <f t="shared" si="49"/>
        <v>-9.5</v>
      </c>
      <c r="AD20" s="339">
        <f t="shared" si="15"/>
        <v>0.93968253968253967</v>
      </c>
      <c r="AE20" s="318">
        <f>+収支計画!N20/1000</f>
        <v>157.5</v>
      </c>
      <c r="AF20" s="462">
        <f>+PL推移!R19</f>
        <v>130</v>
      </c>
      <c r="AG20" s="350">
        <f t="shared" si="50"/>
        <v>-27.5</v>
      </c>
      <c r="AH20" s="339">
        <f t="shared" si="16"/>
        <v>0.82539682539682535</v>
      </c>
      <c r="AI20" s="318">
        <f>+収支計画!O20/1000</f>
        <v>157.5</v>
      </c>
      <c r="AJ20" s="462">
        <f>+PL推移!T19</f>
        <v>148</v>
      </c>
      <c r="AK20" s="350">
        <f t="shared" si="51"/>
        <v>-9.5</v>
      </c>
      <c r="AL20" s="370">
        <f t="shared" si="17"/>
        <v>0.93968253968253967</v>
      </c>
      <c r="AM20" s="318">
        <f>+収支計画!P20/1000</f>
        <v>140</v>
      </c>
      <c r="AN20" s="462">
        <f>+PL推移!V19</f>
        <v>163</v>
      </c>
      <c r="AO20" s="350">
        <f t="shared" si="18"/>
        <v>23</v>
      </c>
      <c r="AP20" s="370">
        <f t="shared" si="19"/>
        <v>1.1642857142857144</v>
      </c>
      <c r="AQ20" s="318">
        <f>+収支計画!Q20/1000</f>
        <v>140</v>
      </c>
      <c r="AR20" s="462">
        <f>+PL推移!X19</f>
        <v>131</v>
      </c>
      <c r="AS20" s="350">
        <f t="shared" si="20"/>
        <v>-9</v>
      </c>
      <c r="AT20" s="370">
        <f t="shared" si="21"/>
        <v>0.93571428571428572</v>
      </c>
      <c r="AU20" s="318">
        <f>+収支計画!R20/1000</f>
        <v>140</v>
      </c>
      <c r="AV20" s="360">
        <f>+PL推移!Z19</f>
        <v>197</v>
      </c>
      <c r="AW20" s="350">
        <f t="shared" si="22"/>
        <v>57</v>
      </c>
      <c r="AX20" s="370">
        <f t="shared" si="23"/>
        <v>1.4071428571428573</v>
      </c>
      <c r="AY20" s="421">
        <f t="shared" si="24"/>
        <v>1837.5</v>
      </c>
      <c r="AZ20" s="439">
        <f t="shared" si="25"/>
        <v>1720</v>
      </c>
      <c r="BA20" s="319">
        <f t="shared" si="26"/>
        <v>-117.5</v>
      </c>
      <c r="BB20" s="506">
        <f t="shared" si="27"/>
        <v>0.93605442176870746</v>
      </c>
    </row>
    <row r="21" spans="1:54">
      <c r="A21" s="177"/>
      <c r="B21" s="5" t="str">
        <f t="shared" ref="B21:B22" si="52">+B15</f>
        <v>シェア</v>
      </c>
      <c r="C21" s="421">
        <f>+収支計画!G21/1000</f>
        <v>45</v>
      </c>
      <c r="D21" s="439">
        <f>+PL推移!D20</f>
        <v>39</v>
      </c>
      <c r="E21" s="319">
        <f t="shared" si="28"/>
        <v>-6</v>
      </c>
      <c r="F21" s="339">
        <f t="shared" si="9"/>
        <v>0.8666666666666667</v>
      </c>
      <c r="G21" s="430">
        <f>+収支計画!H21/1000</f>
        <v>45</v>
      </c>
      <c r="H21" s="439">
        <f>+PL推移!F20</f>
        <v>54</v>
      </c>
      <c r="I21" s="319">
        <f t="shared" si="29"/>
        <v>9</v>
      </c>
      <c r="J21" s="370">
        <f t="shared" si="10"/>
        <v>1.2</v>
      </c>
      <c r="K21" s="318">
        <f>+収支計画!I21/1000</f>
        <v>45</v>
      </c>
      <c r="L21" s="462">
        <f>+PL推移!H20</f>
        <v>22</v>
      </c>
      <c r="M21" s="350">
        <f t="shared" si="30"/>
        <v>-23</v>
      </c>
      <c r="N21" s="339">
        <f t="shared" si="11"/>
        <v>0.48888888888888887</v>
      </c>
      <c r="O21" s="318">
        <f>+収支計画!S21/1000</f>
        <v>45</v>
      </c>
      <c r="P21" s="462">
        <f>+PL推移!J20</f>
        <v>84</v>
      </c>
      <c r="Q21" s="350">
        <f t="shared" si="46"/>
        <v>39</v>
      </c>
      <c r="R21" s="339">
        <f t="shared" si="12"/>
        <v>1.8666666666666667</v>
      </c>
      <c r="S21" s="318">
        <f>+収支計画!K21/1000</f>
        <v>45</v>
      </c>
      <c r="T21" s="462">
        <f>+PL推移!L20</f>
        <v>37</v>
      </c>
      <c r="U21" s="350">
        <f t="shared" si="47"/>
        <v>-8</v>
      </c>
      <c r="V21" s="339">
        <f t="shared" si="13"/>
        <v>0.82222222222222219</v>
      </c>
      <c r="W21" s="318">
        <f>+収支計画!L21/1000</f>
        <v>45</v>
      </c>
      <c r="X21" s="462">
        <f>+PL推移!N20</f>
        <v>44</v>
      </c>
      <c r="Y21" s="350">
        <f t="shared" si="48"/>
        <v>-1</v>
      </c>
      <c r="Z21" s="339">
        <f t="shared" si="14"/>
        <v>0.97777777777777775</v>
      </c>
      <c r="AA21" s="318">
        <f>+収支計画!M21/1000</f>
        <v>45</v>
      </c>
      <c r="AB21" s="462">
        <f>+PL推移!P20</f>
        <v>32</v>
      </c>
      <c r="AC21" s="350">
        <f t="shared" si="49"/>
        <v>-13</v>
      </c>
      <c r="AD21" s="339">
        <f t="shared" si="15"/>
        <v>0.71111111111111114</v>
      </c>
      <c r="AE21" s="318">
        <f>+収支計画!N21/1000</f>
        <v>45</v>
      </c>
      <c r="AF21" s="462">
        <f>+PL推移!R20</f>
        <v>27</v>
      </c>
      <c r="AG21" s="350">
        <f t="shared" si="50"/>
        <v>-18</v>
      </c>
      <c r="AH21" s="339">
        <f t="shared" si="16"/>
        <v>0.6</v>
      </c>
      <c r="AI21" s="318">
        <f>+収支計画!O21/1000</f>
        <v>45</v>
      </c>
      <c r="AJ21" s="462">
        <f>+PL推移!T20</f>
        <v>38</v>
      </c>
      <c r="AK21" s="350">
        <f t="shared" si="51"/>
        <v>-7</v>
      </c>
      <c r="AL21" s="370">
        <f t="shared" si="17"/>
        <v>0.84444444444444444</v>
      </c>
      <c r="AM21" s="318">
        <f>+収支計画!P21/1000</f>
        <v>45</v>
      </c>
      <c r="AN21" s="462">
        <f>+PL推移!V20</f>
        <v>30</v>
      </c>
      <c r="AO21" s="350">
        <f t="shared" si="18"/>
        <v>-15</v>
      </c>
      <c r="AP21" s="370">
        <f t="shared" si="19"/>
        <v>0.66666666666666663</v>
      </c>
      <c r="AQ21" s="318">
        <f>+収支計画!Q21/1000</f>
        <v>45</v>
      </c>
      <c r="AR21" s="462">
        <f>+PL推移!X20</f>
        <v>25</v>
      </c>
      <c r="AS21" s="350">
        <f t="shared" si="20"/>
        <v>-20</v>
      </c>
      <c r="AT21" s="370">
        <f t="shared" si="21"/>
        <v>0.55555555555555558</v>
      </c>
      <c r="AU21" s="318">
        <f>+収支計画!R21/1000</f>
        <v>45</v>
      </c>
      <c r="AV21" s="360">
        <f>+PL推移!Z20</f>
        <v>22</v>
      </c>
      <c r="AW21" s="350">
        <f t="shared" si="22"/>
        <v>-23</v>
      </c>
      <c r="AX21" s="370">
        <f t="shared" si="23"/>
        <v>0.48888888888888887</v>
      </c>
      <c r="AY21" s="421">
        <f t="shared" si="24"/>
        <v>540</v>
      </c>
      <c r="AZ21" s="439">
        <f t="shared" si="25"/>
        <v>454</v>
      </c>
      <c r="BA21" s="319">
        <f t="shared" si="26"/>
        <v>-86</v>
      </c>
      <c r="BB21" s="506">
        <f t="shared" si="27"/>
        <v>0.84074074074074079</v>
      </c>
    </row>
    <row r="22" spans="1:54">
      <c r="A22" s="188"/>
      <c r="B22" s="7" t="str">
        <f t="shared" si="52"/>
        <v>サウナ</v>
      </c>
      <c r="C22" s="422">
        <f>+収支計画!G22/1000</f>
        <v>100</v>
      </c>
      <c r="D22" s="440">
        <f>+PL推移!D21</f>
        <v>67</v>
      </c>
      <c r="E22" s="321">
        <f t="shared" si="28"/>
        <v>-33</v>
      </c>
      <c r="F22" s="340">
        <f t="shared" si="9"/>
        <v>0.67</v>
      </c>
      <c r="G22" s="431">
        <f>+収支計画!H22/1000</f>
        <v>100</v>
      </c>
      <c r="H22" s="440">
        <f>+PL推移!F21</f>
        <v>45</v>
      </c>
      <c r="I22" s="321">
        <f t="shared" si="29"/>
        <v>-55</v>
      </c>
      <c r="J22" s="371">
        <f t="shared" si="10"/>
        <v>0.45</v>
      </c>
      <c r="K22" s="320">
        <f>+収支計画!I22/1000</f>
        <v>100</v>
      </c>
      <c r="L22" s="463">
        <f>+PL推移!H21</f>
        <v>6</v>
      </c>
      <c r="M22" s="351">
        <f t="shared" si="30"/>
        <v>-94</v>
      </c>
      <c r="N22" s="340">
        <f t="shared" si="11"/>
        <v>0.06</v>
      </c>
      <c r="O22" s="320">
        <f>+収支計画!S22/1000</f>
        <v>100</v>
      </c>
      <c r="P22" s="463">
        <f>+PL推移!J21</f>
        <v>41</v>
      </c>
      <c r="Q22" s="351">
        <f t="shared" si="46"/>
        <v>-59</v>
      </c>
      <c r="R22" s="340">
        <f t="shared" si="12"/>
        <v>0.41</v>
      </c>
      <c r="S22" s="320">
        <f>+収支計画!K22/1000</f>
        <v>100</v>
      </c>
      <c r="T22" s="463">
        <f>+PL推移!L21</f>
        <v>6</v>
      </c>
      <c r="U22" s="351">
        <f t="shared" si="47"/>
        <v>-94</v>
      </c>
      <c r="V22" s="340">
        <f t="shared" si="13"/>
        <v>0.06</v>
      </c>
      <c r="W22" s="320">
        <f>+収支計画!L22/1000</f>
        <v>100</v>
      </c>
      <c r="X22" s="463">
        <f>+PL推移!N21</f>
        <v>28</v>
      </c>
      <c r="Y22" s="351">
        <f t="shared" si="48"/>
        <v>-72</v>
      </c>
      <c r="Z22" s="340">
        <f t="shared" si="14"/>
        <v>0.28000000000000003</v>
      </c>
      <c r="AA22" s="320">
        <f>+収支計画!M22/1000</f>
        <v>100</v>
      </c>
      <c r="AB22" s="463">
        <f>+PL推移!P21</f>
        <v>4</v>
      </c>
      <c r="AC22" s="351">
        <f t="shared" si="49"/>
        <v>-96</v>
      </c>
      <c r="AD22" s="340">
        <f t="shared" si="15"/>
        <v>0.04</v>
      </c>
      <c r="AE22" s="320">
        <f>+収支計画!N22/1000</f>
        <v>100</v>
      </c>
      <c r="AF22" s="463">
        <f>+PL推移!R21</f>
        <v>39</v>
      </c>
      <c r="AG22" s="351">
        <f t="shared" si="50"/>
        <v>-61</v>
      </c>
      <c r="AH22" s="340">
        <f t="shared" si="16"/>
        <v>0.39</v>
      </c>
      <c r="AI22" s="320">
        <f>+収支計画!O22/1000</f>
        <v>100</v>
      </c>
      <c r="AJ22" s="463">
        <f>+PL推移!T21</f>
        <v>35</v>
      </c>
      <c r="AK22" s="351">
        <f t="shared" si="51"/>
        <v>-65</v>
      </c>
      <c r="AL22" s="371">
        <f t="shared" si="17"/>
        <v>0.35</v>
      </c>
      <c r="AM22" s="320">
        <f>+収支計画!P22/1000</f>
        <v>100</v>
      </c>
      <c r="AN22" s="463">
        <f>+PL推移!V21</f>
        <v>23</v>
      </c>
      <c r="AO22" s="351">
        <f t="shared" si="18"/>
        <v>-77</v>
      </c>
      <c r="AP22" s="371">
        <f t="shared" si="19"/>
        <v>0.23</v>
      </c>
      <c r="AQ22" s="320">
        <f>+収支計画!Q22/1000</f>
        <v>100</v>
      </c>
      <c r="AR22" s="463">
        <f>+PL推移!X21</f>
        <v>21</v>
      </c>
      <c r="AS22" s="351">
        <f t="shared" si="20"/>
        <v>-79</v>
      </c>
      <c r="AT22" s="371">
        <f t="shared" si="21"/>
        <v>0.21</v>
      </c>
      <c r="AU22" s="320">
        <f>+収支計画!R22/1000</f>
        <v>100</v>
      </c>
      <c r="AV22" s="361">
        <f>+PL推移!Z21</f>
        <v>24</v>
      </c>
      <c r="AW22" s="351">
        <f t="shared" si="22"/>
        <v>-76</v>
      </c>
      <c r="AX22" s="371">
        <f t="shared" si="23"/>
        <v>0.24</v>
      </c>
      <c r="AY22" s="422">
        <f t="shared" si="24"/>
        <v>1200</v>
      </c>
      <c r="AZ22" s="440">
        <f t="shared" si="25"/>
        <v>339</v>
      </c>
      <c r="BA22" s="321">
        <f t="shared" si="26"/>
        <v>-861</v>
      </c>
      <c r="BB22" s="507">
        <f t="shared" si="27"/>
        <v>0.28249999999999997</v>
      </c>
    </row>
    <row r="23" spans="1:54" s="47" customFormat="1">
      <c r="A23" s="47" t="s">
        <v>142</v>
      </c>
      <c r="C23" s="419">
        <f>+C11-C17</f>
        <v>7400</v>
      </c>
      <c r="D23" s="437">
        <f>+D11-D17</f>
        <v>7139.6540000000005</v>
      </c>
      <c r="E23" s="329">
        <f>+E11-E17</f>
        <v>-259</v>
      </c>
      <c r="F23" s="337">
        <f t="shared" si="9"/>
        <v>0.9648181081081082</v>
      </c>
      <c r="G23" s="428">
        <f>+収支計画!H25/1000</f>
        <v>9020</v>
      </c>
      <c r="H23" s="437">
        <f>+PL推移!F22</f>
        <v>7846.5019999999995</v>
      </c>
      <c r="I23" s="329">
        <f>+I11-I17</f>
        <v>-1172</v>
      </c>
      <c r="J23" s="368">
        <f t="shared" si="10"/>
        <v>0.86990044345897999</v>
      </c>
      <c r="K23" s="328">
        <f>+K11-K17</f>
        <v>7400</v>
      </c>
      <c r="L23" s="460">
        <f>+PL推移!H22</f>
        <v>6261.4059999999999</v>
      </c>
      <c r="M23" s="348">
        <f>+M11-M17</f>
        <v>-1129</v>
      </c>
      <c r="N23" s="337">
        <f t="shared" si="11"/>
        <v>0.84613594594594599</v>
      </c>
      <c r="O23" s="328">
        <f>+O11-O17</f>
        <v>7400</v>
      </c>
      <c r="P23" s="460">
        <f>+PL推移!J22</f>
        <v>6603.31</v>
      </c>
      <c r="Q23" s="348">
        <f>+Q11-Q17</f>
        <v>-786</v>
      </c>
      <c r="R23" s="337">
        <f t="shared" si="12"/>
        <v>0.8923391891891892</v>
      </c>
      <c r="S23" s="328">
        <f>+S11-S17</f>
        <v>7400</v>
      </c>
      <c r="T23" s="460">
        <f>+T11-T17</f>
        <v>6400.0209999999997</v>
      </c>
      <c r="U23" s="348">
        <f>+U11-U17</f>
        <v>-999</v>
      </c>
      <c r="V23" s="337">
        <f t="shared" si="13"/>
        <v>0.86486770270270263</v>
      </c>
      <c r="W23" s="328">
        <f>+W11-W17</f>
        <v>9262.5</v>
      </c>
      <c r="X23" s="460">
        <f>+X11-X17</f>
        <v>8920.0020000000004</v>
      </c>
      <c r="Y23" s="348">
        <f>+Y11-Y17</f>
        <v>45.5</v>
      </c>
      <c r="Z23" s="337">
        <f t="shared" si="14"/>
        <v>0.96302315789473691</v>
      </c>
      <c r="AA23" s="328">
        <f>+AA11-AA17</f>
        <v>7400</v>
      </c>
      <c r="AB23" s="460">
        <f>+AB11-AB17</f>
        <v>6071.7129999999997</v>
      </c>
      <c r="AC23" s="348">
        <f>+AC11-AC17</f>
        <v>-1328</v>
      </c>
      <c r="AD23" s="337">
        <f t="shared" si="15"/>
        <v>0.82050175675675674</v>
      </c>
      <c r="AE23" s="328">
        <f>SUM(AE24:AE28)</f>
        <v>7050</v>
      </c>
      <c r="AF23" s="460">
        <f>+PL推移!R22</f>
        <v>6211.857</v>
      </c>
      <c r="AG23" s="348">
        <f>+AG11-AG17</f>
        <v>-1202</v>
      </c>
      <c r="AH23" s="337">
        <f t="shared" si="16"/>
        <v>0.88111446808510641</v>
      </c>
      <c r="AI23" s="328">
        <f>+AI11-AI17</f>
        <v>8517.5</v>
      </c>
      <c r="AJ23" s="460">
        <f>+AJ11-AJ17</f>
        <v>6718.665</v>
      </c>
      <c r="AK23" s="348">
        <f>+AK11-AK17</f>
        <v>-1789.5</v>
      </c>
      <c r="AL23" s="368">
        <f t="shared" si="17"/>
        <v>0.78880716172585852</v>
      </c>
      <c r="AM23" s="328">
        <f>+AM11-AM17</f>
        <v>7417.5</v>
      </c>
      <c r="AN23" s="460">
        <f>+AN11-AN17</f>
        <v>5225.2659999999996</v>
      </c>
      <c r="AO23" s="348">
        <f t="shared" si="18"/>
        <v>-2192.2340000000004</v>
      </c>
      <c r="AP23" s="368">
        <f t="shared" si="19"/>
        <v>0.70445109538254125</v>
      </c>
      <c r="AQ23" s="328">
        <f>+AQ11-AQ17</f>
        <v>7417.5</v>
      </c>
      <c r="AR23" s="460">
        <f>+AR11-AR17</f>
        <v>5613.3559999999998</v>
      </c>
      <c r="AS23" s="348">
        <f t="shared" si="20"/>
        <v>-1804.1440000000002</v>
      </c>
      <c r="AT23" s="368">
        <f t="shared" si="21"/>
        <v>0.75677195820694299</v>
      </c>
      <c r="AU23" s="328">
        <f>+AU11-AU17</f>
        <v>7417.5</v>
      </c>
      <c r="AV23" s="358">
        <f>+AV11-AV17</f>
        <v>5831.3050000000003</v>
      </c>
      <c r="AW23" s="348">
        <f t="shared" si="22"/>
        <v>-1586.1949999999997</v>
      </c>
      <c r="AX23" s="368">
        <f t="shared" si="23"/>
        <v>0.78615503875968995</v>
      </c>
      <c r="AY23" s="419">
        <f t="shared" si="24"/>
        <v>93102.5</v>
      </c>
      <c r="AZ23" s="437">
        <f t="shared" si="25"/>
        <v>78843.057000000001</v>
      </c>
      <c r="BA23" s="329">
        <f t="shared" si="26"/>
        <v>-14259.442999999999</v>
      </c>
      <c r="BB23" s="504">
        <f t="shared" si="27"/>
        <v>0.84684145968153379</v>
      </c>
    </row>
    <row r="24" spans="1:54">
      <c r="A24" s="177"/>
      <c r="B24" s="8" t="str">
        <f>+B18</f>
        <v>恵愛</v>
      </c>
      <c r="C24" s="420">
        <f>+C12-C18</f>
        <v>5215</v>
      </c>
      <c r="D24" s="438">
        <f>+PL推移!D23</f>
        <v>5158</v>
      </c>
      <c r="E24" s="317">
        <f t="shared" si="28"/>
        <v>-57</v>
      </c>
      <c r="F24" s="338">
        <f t="shared" si="9"/>
        <v>0.98906999041227228</v>
      </c>
      <c r="G24" s="429">
        <f>+G12-G18</f>
        <v>5215</v>
      </c>
      <c r="H24" s="438">
        <f>+PL推移!F23</f>
        <v>5081</v>
      </c>
      <c r="I24" s="317">
        <f t="shared" si="29"/>
        <v>-134</v>
      </c>
      <c r="J24" s="369">
        <f t="shared" si="10"/>
        <v>0.97430488974113139</v>
      </c>
      <c r="K24" s="316">
        <f>+K12-K18</f>
        <v>5215</v>
      </c>
      <c r="L24" s="461">
        <f>+PL推移!H23</f>
        <v>4438</v>
      </c>
      <c r="M24" s="349">
        <f t="shared" si="30"/>
        <v>-777</v>
      </c>
      <c r="N24" s="338">
        <f t="shared" si="11"/>
        <v>0.85100671140939599</v>
      </c>
      <c r="O24" s="316">
        <f>+O12-O18</f>
        <v>5215</v>
      </c>
      <c r="P24" s="461">
        <f>+PL推移!J23</f>
        <v>4371</v>
      </c>
      <c r="Q24" s="349">
        <f t="shared" ref="Q24:Q28" si="53">+P24-O24</f>
        <v>-844</v>
      </c>
      <c r="R24" s="338">
        <f t="shared" si="12"/>
        <v>0.83815915627996163</v>
      </c>
      <c r="S24" s="316">
        <f>+S12-S18</f>
        <v>5215</v>
      </c>
      <c r="T24" s="461">
        <f>+T12-T18</f>
        <v>4720</v>
      </c>
      <c r="U24" s="349">
        <f t="shared" ref="U24:U28" si="54">+T24-S24</f>
        <v>-495</v>
      </c>
      <c r="V24" s="338">
        <f t="shared" si="13"/>
        <v>0.90508149568552254</v>
      </c>
      <c r="W24" s="316">
        <f>+W12-W18</f>
        <v>7077.5</v>
      </c>
      <c r="X24" s="461">
        <f>+X12-X18</f>
        <v>7273</v>
      </c>
      <c r="Y24" s="390">
        <f t="shared" ref="Y24:Y28" si="55">+X24-W24</f>
        <v>195.5</v>
      </c>
      <c r="Z24" s="338">
        <f t="shared" si="14"/>
        <v>1.0276227481455316</v>
      </c>
      <c r="AA24" s="316">
        <f>+AA12-AA18</f>
        <v>5215</v>
      </c>
      <c r="AB24" s="461">
        <f>+AB12-AB18</f>
        <v>4244</v>
      </c>
      <c r="AC24" s="390">
        <f t="shared" ref="AC24:AC28" si="56">+AB24-AA24</f>
        <v>-971</v>
      </c>
      <c r="AD24" s="338">
        <f t="shared" si="15"/>
        <v>0.81380632790028762</v>
      </c>
      <c r="AE24" s="316">
        <f>+AE12-AE18</f>
        <v>5215</v>
      </c>
      <c r="AF24" s="461">
        <f>+PL推移!R23</f>
        <v>4569</v>
      </c>
      <c r="AG24" s="390">
        <f t="shared" ref="AG24:AG28" si="57">+AF24-AE24</f>
        <v>-646</v>
      </c>
      <c r="AH24" s="338">
        <f t="shared" si="16"/>
        <v>0.87612655800575268</v>
      </c>
      <c r="AI24" s="316">
        <f>+AI12-AI18</f>
        <v>6332.5</v>
      </c>
      <c r="AJ24" s="461">
        <f>+AJ12-AJ18</f>
        <v>4917</v>
      </c>
      <c r="AK24" s="390">
        <f t="shared" ref="AK24:AK28" si="58">+AJ24-AI24</f>
        <v>-1415.5</v>
      </c>
      <c r="AL24" s="369">
        <f t="shared" si="17"/>
        <v>0.77647058823529413</v>
      </c>
      <c r="AM24" s="316">
        <f>+AM12-AM18</f>
        <v>5215</v>
      </c>
      <c r="AN24" s="461">
        <f>+AN12-AN18</f>
        <v>3389</v>
      </c>
      <c r="AO24" s="390">
        <f t="shared" si="18"/>
        <v>-1826</v>
      </c>
      <c r="AP24" s="369">
        <f t="shared" si="19"/>
        <v>0.64985618408437196</v>
      </c>
      <c r="AQ24" s="316">
        <f>+AQ12-AQ18</f>
        <v>5215</v>
      </c>
      <c r="AR24" s="461">
        <f>+AR12-AR18</f>
        <v>3664</v>
      </c>
      <c r="AS24" s="390">
        <f t="shared" si="20"/>
        <v>-1551</v>
      </c>
      <c r="AT24" s="369">
        <f t="shared" si="21"/>
        <v>0.7025886864813039</v>
      </c>
      <c r="AU24" s="316">
        <f>+AU12-AU18</f>
        <v>5215</v>
      </c>
      <c r="AV24" s="359">
        <f>+AV12-AV18</f>
        <v>3811</v>
      </c>
      <c r="AW24" s="390">
        <f t="shared" si="22"/>
        <v>-1404</v>
      </c>
      <c r="AX24" s="369">
        <f t="shared" si="23"/>
        <v>0.7307766059443912</v>
      </c>
      <c r="AY24" s="420">
        <f t="shared" si="24"/>
        <v>65560</v>
      </c>
      <c r="AZ24" s="438">
        <f t="shared" si="25"/>
        <v>55635</v>
      </c>
      <c r="BA24" s="317">
        <f t="shared" si="26"/>
        <v>-9925</v>
      </c>
      <c r="BB24" s="505">
        <f t="shared" si="27"/>
        <v>0.84861195851128735</v>
      </c>
    </row>
    <row r="25" spans="1:54">
      <c r="A25" s="177"/>
      <c r="B25" s="5" t="str">
        <f>+B19</f>
        <v>村</v>
      </c>
      <c r="C25" s="421">
        <f t="shared" ref="C25:C28" si="59">+C13-C19</f>
        <v>637.5</v>
      </c>
      <c r="D25" s="439">
        <f>+PL推移!D24</f>
        <v>508</v>
      </c>
      <c r="E25" s="319">
        <f t="shared" ref="E25:E28" si="60">+D25-C25</f>
        <v>-129.5</v>
      </c>
      <c r="F25" s="339">
        <f t="shared" si="9"/>
        <v>0.79686274509803923</v>
      </c>
      <c r="G25" s="430">
        <f t="shared" ref="G25:G28" si="61">+G13-G19</f>
        <v>637.5</v>
      </c>
      <c r="H25" s="439">
        <f>+PL推移!F24</f>
        <v>519</v>
      </c>
      <c r="I25" s="319">
        <f t="shared" si="29"/>
        <v>-118.5</v>
      </c>
      <c r="J25" s="370">
        <f t="shared" si="10"/>
        <v>0.8141176470588235</v>
      </c>
      <c r="K25" s="318">
        <f t="shared" ref="K25:K28" si="62">+K13-K19</f>
        <v>637.5</v>
      </c>
      <c r="L25" s="462">
        <f>+PL推移!H24</f>
        <v>543</v>
      </c>
      <c r="M25" s="350">
        <f t="shared" si="30"/>
        <v>-94.5</v>
      </c>
      <c r="N25" s="339">
        <f t="shared" si="11"/>
        <v>0.85176470588235298</v>
      </c>
      <c r="O25" s="318">
        <f t="shared" ref="O25:O28" si="63">+O13-O19</f>
        <v>637.5</v>
      </c>
      <c r="P25" s="462">
        <f>+PL推移!J24</f>
        <v>435</v>
      </c>
      <c r="Q25" s="350">
        <f t="shared" si="53"/>
        <v>-202.5</v>
      </c>
      <c r="R25" s="339">
        <f t="shared" si="12"/>
        <v>0.68235294117647061</v>
      </c>
      <c r="S25" s="318">
        <f t="shared" ref="S25:T28" si="64">+S13-S19</f>
        <v>637.5</v>
      </c>
      <c r="T25" s="462">
        <f t="shared" si="64"/>
        <v>462</v>
      </c>
      <c r="U25" s="350">
        <f t="shared" si="54"/>
        <v>-175.5</v>
      </c>
      <c r="V25" s="339">
        <f t="shared" si="13"/>
        <v>0.7247058823529412</v>
      </c>
      <c r="W25" s="318">
        <f t="shared" ref="W25:X25" si="65">+W13-W19</f>
        <v>637.5</v>
      </c>
      <c r="X25" s="462">
        <f t="shared" si="65"/>
        <v>416</v>
      </c>
      <c r="Y25" s="381">
        <f t="shared" si="55"/>
        <v>-221.5</v>
      </c>
      <c r="Z25" s="339">
        <f t="shared" si="14"/>
        <v>0.65254901960784317</v>
      </c>
      <c r="AA25" s="318">
        <f t="shared" ref="AA25:AB25" si="66">+AA13-AA19</f>
        <v>637.5</v>
      </c>
      <c r="AB25" s="462">
        <f t="shared" si="66"/>
        <v>503</v>
      </c>
      <c r="AC25" s="381">
        <f t="shared" si="56"/>
        <v>-134.5</v>
      </c>
      <c r="AD25" s="339">
        <f t="shared" si="15"/>
        <v>0.78901960784313729</v>
      </c>
      <c r="AE25" s="318">
        <f t="shared" ref="AE25" si="67">+AE13-AE19</f>
        <v>637.5</v>
      </c>
      <c r="AF25" s="462">
        <f>+PL推移!R24</f>
        <v>496</v>
      </c>
      <c r="AG25" s="381">
        <f t="shared" si="57"/>
        <v>-141.5</v>
      </c>
      <c r="AH25" s="339">
        <f t="shared" si="16"/>
        <v>0.77803921568627454</v>
      </c>
      <c r="AI25" s="318">
        <f t="shared" ref="AI25:AI28" si="68">+AI13-AI19</f>
        <v>637.5</v>
      </c>
      <c r="AJ25" s="462">
        <f t="shared" ref="AJ25" si="69">+AJ13-AJ19</f>
        <v>496</v>
      </c>
      <c r="AK25" s="381">
        <f t="shared" si="58"/>
        <v>-141.5</v>
      </c>
      <c r="AL25" s="370">
        <f t="shared" si="17"/>
        <v>0.77803921568627454</v>
      </c>
      <c r="AM25" s="318">
        <f t="shared" ref="AM25:AN28" si="70">+AM13-AM19</f>
        <v>637.5</v>
      </c>
      <c r="AN25" s="462">
        <f t="shared" si="70"/>
        <v>406</v>
      </c>
      <c r="AO25" s="381">
        <f t="shared" si="18"/>
        <v>-231.5</v>
      </c>
      <c r="AP25" s="370">
        <f t="shared" si="19"/>
        <v>0.6368627450980392</v>
      </c>
      <c r="AQ25" s="318">
        <f t="shared" ref="AQ25:AR25" si="71">+AQ13-AQ19</f>
        <v>637.5</v>
      </c>
      <c r="AR25" s="462">
        <f t="shared" si="71"/>
        <v>509</v>
      </c>
      <c r="AS25" s="381">
        <f t="shared" si="20"/>
        <v>-128.5</v>
      </c>
      <c r="AT25" s="370">
        <f t="shared" si="21"/>
        <v>0.79843137254901964</v>
      </c>
      <c r="AU25" s="318">
        <f t="shared" ref="AU25:AV25" si="72">+AU13-AU19</f>
        <v>637.5</v>
      </c>
      <c r="AV25" s="360">
        <f t="shared" si="72"/>
        <v>534</v>
      </c>
      <c r="AW25" s="381">
        <f t="shared" si="22"/>
        <v>-103.5</v>
      </c>
      <c r="AX25" s="370">
        <f t="shared" si="23"/>
        <v>0.83764705882352941</v>
      </c>
      <c r="AY25" s="421">
        <f t="shared" si="24"/>
        <v>7650</v>
      </c>
      <c r="AZ25" s="439">
        <f t="shared" si="25"/>
        <v>5827</v>
      </c>
      <c r="BA25" s="319">
        <f t="shared" si="26"/>
        <v>-1823</v>
      </c>
      <c r="BB25" s="506">
        <f t="shared" si="27"/>
        <v>0.76169934640522874</v>
      </c>
    </row>
    <row r="26" spans="1:54">
      <c r="A26" s="177"/>
      <c r="B26" s="5" t="str">
        <f t="shared" ref="B26:B28" si="73">+B20</f>
        <v>弁当</v>
      </c>
      <c r="C26" s="421">
        <f t="shared" si="59"/>
        <v>192.5</v>
      </c>
      <c r="D26" s="439">
        <f>+PL推移!D25</f>
        <v>316</v>
      </c>
      <c r="E26" s="319">
        <f t="shared" si="60"/>
        <v>123.5</v>
      </c>
      <c r="F26" s="339">
        <f t="shared" si="9"/>
        <v>1.6415584415584417</v>
      </c>
      <c r="G26" s="430">
        <f t="shared" si="61"/>
        <v>192.5</v>
      </c>
      <c r="H26" s="439">
        <f>+PL推移!F25</f>
        <v>203</v>
      </c>
      <c r="I26" s="319">
        <f t="shared" si="29"/>
        <v>10.5</v>
      </c>
      <c r="J26" s="370">
        <f t="shared" si="10"/>
        <v>1.0545454545454545</v>
      </c>
      <c r="K26" s="318">
        <f t="shared" si="62"/>
        <v>192.5</v>
      </c>
      <c r="L26" s="462">
        <f>+PL推移!H25</f>
        <v>131</v>
      </c>
      <c r="M26" s="350">
        <f t="shared" si="30"/>
        <v>-61.5</v>
      </c>
      <c r="N26" s="339">
        <f t="shared" si="11"/>
        <v>0.68051948051948052</v>
      </c>
      <c r="O26" s="318">
        <f t="shared" si="63"/>
        <v>192.5</v>
      </c>
      <c r="P26" s="462">
        <f>+PL推移!J25</f>
        <v>109</v>
      </c>
      <c r="Q26" s="350">
        <f t="shared" si="53"/>
        <v>-83.5</v>
      </c>
      <c r="R26" s="339">
        <f t="shared" si="12"/>
        <v>0.5662337662337662</v>
      </c>
      <c r="S26" s="318">
        <f t="shared" si="64"/>
        <v>192.5</v>
      </c>
      <c r="T26" s="462">
        <f t="shared" si="64"/>
        <v>146</v>
      </c>
      <c r="U26" s="350">
        <f t="shared" si="54"/>
        <v>-46.5</v>
      </c>
      <c r="V26" s="339">
        <f t="shared" si="13"/>
        <v>0.75844155844155847</v>
      </c>
      <c r="W26" s="318">
        <f t="shared" ref="W26:X26" si="74">+W14-W20</f>
        <v>192.5</v>
      </c>
      <c r="X26" s="462">
        <f t="shared" si="74"/>
        <v>189</v>
      </c>
      <c r="Y26" s="381">
        <f t="shared" si="55"/>
        <v>-3.5</v>
      </c>
      <c r="Z26" s="339">
        <f t="shared" si="14"/>
        <v>0.98181818181818181</v>
      </c>
      <c r="AA26" s="318">
        <f t="shared" ref="AA26:AB26" si="75">+AA14-AA20</f>
        <v>192.5</v>
      </c>
      <c r="AB26" s="462">
        <f t="shared" si="75"/>
        <v>189</v>
      </c>
      <c r="AC26" s="381">
        <f t="shared" si="56"/>
        <v>-3.5</v>
      </c>
      <c r="AD26" s="339">
        <f t="shared" si="15"/>
        <v>0.98181818181818181</v>
      </c>
      <c r="AE26" s="318">
        <f t="shared" ref="AE26" si="76">+AE14-AE20</f>
        <v>192.5</v>
      </c>
      <c r="AF26" s="462">
        <f>+PL推移!R25</f>
        <v>113</v>
      </c>
      <c r="AG26" s="381">
        <f t="shared" si="57"/>
        <v>-79.5</v>
      </c>
      <c r="AH26" s="339">
        <f t="shared" si="16"/>
        <v>0.58701298701298699</v>
      </c>
      <c r="AI26" s="318">
        <f t="shared" si="68"/>
        <v>192.5</v>
      </c>
      <c r="AJ26" s="462">
        <f t="shared" ref="AJ26" si="77">+AJ14-AJ20</f>
        <v>223</v>
      </c>
      <c r="AK26" s="381">
        <f t="shared" si="58"/>
        <v>30.5</v>
      </c>
      <c r="AL26" s="370">
        <f t="shared" si="17"/>
        <v>1.1584415584415584</v>
      </c>
      <c r="AM26" s="318">
        <f t="shared" si="70"/>
        <v>210</v>
      </c>
      <c r="AN26" s="462">
        <f t="shared" si="70"/>
        <v>258</v>
      </c>
      <c r="AO26" s="381">
        <f t="shared" si="18"/>
        <v>48</v>
      </c>
      <c r="AP26" s="370">
        <f t="shared" si="19"/>
        <v>1.2285714285714286</v>
      </c>
      <c r="AQ26" s="318">
        <f t="shared" ref="AQ26:AR26" si="78">+AQ14-AQ20</f>
        <v>210</v>
      </c>
      <c r="AR26" s="462">
        <f t="shared" si="78"/>
        <v>329</v>
      </c>
      <c r="AS26" s="381">
        <f t="shared" si="20"/>
        <v>119</v>
      </c>
      <c r="AT26" s="370">
        <f t="shared" si="21"/>
        <v>1.5666666666666667</v>
      </c>
      <c r="AU26" s="318">
        <f t="shared" ref="AU26:AV26" si="79">+AU14-AU20</f>
        <v>210</v>
      </c>
      <c r="AV26" s="360">
        <f t="shared" si="79"/>
        <v>247</v>
      </c>
      <c r="AW26" s="381">
        <f t="shared" si="22"/>
        <v>37</v>
      </c>
      <c r="AX26" s="370">
        <f t="shared" si="23"/>
        <v>1.1761904761904762</v>
      </c>
      <c r="AY26" s="421">
        <f t="shared" si="24"/>
        <v>2362.5</v>
      </c>
      <c r="AZ26" s="439">
        <f t="shared" si="25"/>
        <v>2453</v>
      </c>
      <c r="BA26" s="319">
        <f t="shared" si="26"/>
        <v>90.5</v>
      </c>
      <c r="BB26" s="506">
        <f t="shared" si="27"/>
        <v>1.0383068783068783</v>
      </c>
    </row>
    <row r="27" spans="1:54">
      <c r="A27" s="177"/>
      <c r="B27" s="5" t="str">
        <f t="shared" si="73"/>
        <v>シェア</v>
      </c>
      <c r="C27" s="421">
        <f t="shared" si="59"/>
        <v>105</v>
      </c>
      <c r="D27" s="439">
        <f>+PL推移!D26</f>
        <v>90</v>
      </c>
      <c r="E27" s="319">
        <f t="shared" si="60"/>
        <v>-15</v>
      </c>
      <c r="F27" s="339">
        <f t="shared" si="9"/>
        <v>0.8571428571428571</v>
      </c>
      <c r="G27" s="430">
        <f t="shared" si="61"/>
        <v>105</v>
      </c>
      <c r="H27" s="439">
        <f>+PL推移!F26</f>
        <v>126</v>
      </c>
      <c r="I27" s="319">
        <f t="shared" si="29"/>
        <v>21</v>
      </c>
      <c r="J27" s="370">
        <f t="shared" si="10"/>
        <v>1.2</v>
      </c>
      <c r="K27" s="318">
        <f t="shared" si="62"/>
        <v>105</v>
      </c>
      <c r="L27" s="462">
        <f>+PL推移!H26</f>
        <v>50</v>
      </c>
      <c r="M27" s="350">
        <f t="shared" si="30"/>
        <v>-55</v>
      </c>
      <c r="N27" s="339">
        <f t="shared" si="11"/>
        <v>0.47619047619047616</v>
      </c>
      <c r="O27" s="318">
        <f t="shared" si="63"/>
        <v>105</v>
      </c>
      <c r="P27" s="462">
        <f>+PL推移!J26</f>
        <v>199</v>
      </c>
      <c r="Q27" s="350">
        <f t="shared" si="53"/>
        <v>94</v>
      </c>
      <c r="R27" s="339">
        <f t="shared" si="12"/>
        <v>1.8952380952380952</v>
      </c>
      <c r="S27" s="318">
        <f t="shared" si="64"/>
        <v>105</v>
      </c>
      <c r="T27" s="462">
        <f t="shared" si="64"/>
        <v>86</v>
      </c>
      <c r="U27" s="350">
        <f t="shared" si="54"/>
        <v>-19</v>
      </c>
      <c r="V27" s="339">
        <f t="shared" si="13"/>
        <v>0.81904761904761902</v>
      </c>
      <c r="W27" s="318">
        <f t="shared" ref="W27:X27" si="80">+W15-W21</f>
        <v>105</v>
      </c>
      <c r="X27" s="462">
        <f t="shared" si="80"/>
        <v>87</v>
      </c>
      <c r="Y27" s="350">
        <f t="shared" si="55"/>
        <v>-18</v>
      </c>
      <c r="Z27" s="339">
        <f t="shared" si="14"/>
        <v>0.82857142857142863</v>
      </c>
      <c r="AA27" s="318">
        <f t="shared" ref="AA27:AB27" si="81">+AA15-AA21</f>
        <v>105</v>
      </c>
      <c r="AB27" s="462">
        <f t="shared" si="81"/>
        <v>74</v>
      </c>
      <c r="AC27" s="350">
        <f t="shared" si="56"/>
        <v>-31</v>
      </c>
      <c r="AD27" s="339">
        <f t="shared" si="15"/>
        <v>0.70476190476190481</v>
      </c>
      <c r="AE27" s="318">
        <f t="shared" ref="AE27" si="82">+AE15-AE21</f>
        <v>105</v>
      </c>
      <c r="AF27" s="462">
        <f>+PL推移!R26</f>
        <v>63</v>
      </c>
      <c r="AG27" s="350">
        <f t="shared" si="57"/>
        <v>-42</v>
      </c>
      <c r="AH27" s="339">
        <f t="shared" si="16"/>
        <v>0.6</v>
      </c>
      <c r="AI27" s="318">
        <f t="shared" si="68"/>
        <v>105</v>
      </c>
      <c r="AJ27" s="462">
        <f t="shared" ref="AJ27" si="83">+AJ15-AJ21</f>
        <v>87</v>
      </c>
      <c r="AK27" s="350">
        <f t="shared" si="58"/>
        <v>-18</v>
      </c>
      <c r="AL27" s="370">
        <f t="shared" si="17"/>
        <v>0.82857142857142863</v>
      </c>
      <c r="AM27" s="318">
        <f t="shared" si="70"/>
        <v>105</v>
      </c>
      <c r="AN27" s="462">
        <f t="shared" si="70"/>
        <v>70</v>
      </c>
      <c r="AO27" s="350">
        <f t="shared" si="18"/>
        <v>-35</v>
      </c>
      <c r="AP27" s="370">
        <f t="shared" si="19"/>
        <v>0.66666666666666663</v>
      </c>
      <c r="AQ27" s="318">
        <f t="shared" ref="AQ27:AR27" si="84">+AQ15-AQ21</f>
        <v>105</v>
      </c>
      <c r="AR27" s="462">
        <f t="shared" si="84"/>
        <v>58</v>
      </c>
      <c r="AS27" s="350">
        <f t="shared" si="20"/>
        <v>-47</v>
      </c>
      <c r="AT27" s="370">
        <f t="shared" si="21"/>
        <v>0.55238095238095242</v>
      </c>
      <c r="AU27" s="318">
        <f t="shared" ref="AU27:AV27" si="85">+AU15-AU21</f>
        <v>105</v>
      </c>
      <c r="AV27" s="360">
        <f t="shared" si="85"/>
        <v>53</v>
      </c>
      <c r="AW27" s="350">
        <f t="shared" si="22"/>
        <v>-52</v>
      </c>
      <c r="AX27" s="370">
        <f t="shared" si="23"/>
        <v>0.50476190476190474</v>
      </c>
      <c r="AY27" s="421">
        <f t="shared" si="24"/>
        <v>1260</v>
      </c>
      <c r="AZ27" s="439">
        <f t="shared" si="25"/>
        <v>1043</v>
      </c>
      <c r="BA27" s="319">
        <f t="shared" si="26"/>
        <v>-217</v>
      </c>
      <c r="BB27" s="506">
        <f t="shared" si="27"/>
        <v>0.82777777777777772</v>
      </c>
    </row>
    <row r="28" spans="1:54">
      <c r="A28" s="188"/>
      <c r="B28" s="7" t="str">
        <f t="shared" si="73"/>
        <v>サウナ</v>
      </c>
      <c r="C28" s="422">
        <f t="shared" si="59"/>
        <v>900</v>
      </c>
      <c r="D28" s="440">
        <f>+PL推移!D27</f>
        <v>719</v>
      </c>
      <c r="E28" s="321">
        <f t="shared" si="60"/>
        <v>-181</v>
      </c>
      <c r="F28" s="340">
        <f t="shared" si="9"/>
        <v>0.79888888888888887</v>
      </c>
      <c r="G28" s="431">
        <f t="shared" si="61"/>
        <v>2520</v>
      </c>
      <c r="H28" s="440">
        <f>+PL推移!F27</f>
        <v>1569</v>
      </c>
      <c r="I28" s="321">
        <f t="shared" si="29"/>
        <v>-951</v>
      </c>
      <c r="J28" s="371">
        <f t="shared" si="10"/>
        <v>0.62261904761904763</v>
      </c>
      <c r="K28" s="320">
        <f t="shared" si="62"/>
        <v>900</v>
      </c>
      <c r="L28" s="463">
        <f>+PL推移!H27</f>
        <v>759</v>
      </c>
      <c r="M28" s="351">
        <f t="shared" si="30"/>
        <v>-141</v>
      </c>
      <c r="N28" s="340">
        <f t="shared" si="11"/>
        <v>0.84333333333333338</v>
      </c>
      <c r="O28" s="320">
        <f t="shared" si="63"/>
        <v>900</v>
      </c>
      <c r="P28" s="463">
        <f>+PL推移!J27</f>
        <v>1150</v>
      </c>
      <c r="Q28" s="351">
        <f t="shared" si="53"/>
        <v>250</v>
      </c>
      <c r="R28" s="340">
        <f t="shared" si="12"/>
        <v>1.2777777777777777</v>
      </c>
      <c r="S28" s="320">
        <f t="shared" si="64"/>
        <v>900</v>
      </c>
      <c r="T28" s="463">
        <f t="shared" si="64"/>
        <v>637</v>
      </c>
      <c r="U28" s="351">
        <f t="shared" si="54"/>
        <v>-263</v>
      </c>
      <c r="V28" s="340">
        <f t="shared" si="13"/>
        <v>0.70777777777777773</v>
      </c>
      <c r="W28" s="320">
        <f t="shared" ref="W28:X28" si="86">+W16-W22</f>
        <v>900</v>
      </c>
      <c r="X28" s="463">
        <f t="shared" si="86"/>
        <v>993</v>
      </c>
      <c r="Y28" s="351">
        <f t="shared" si="55"/>
        <v>93</v>
      </c>
      <c r="Z28" s="340">
        <f t="shared" si="14"/>
        <v>1.1033333333333333</v>
      </c>
      <c r="AA28" s="320">
        <f t="shared" ref="AA28:AB28" si="87">+AA16-AA22</f>
        <v>900</v>
      </c>
      <c r="AB28" s="463">
        <f t="shared" si="87"/>
        <v>712</v>
      </c>
      <c r="AC28" s="351">
        <f t="shared" si="56"/>
        <v>-188</v>
      </c>
      <c r="AD28" s="340">
        <f t="shared" si="15"/>
        <v>0.7911111111111111</v>
      </c>
      <c r="AE28" s="320">
        <f t="shared" ref="AE28" si="88">+AE16-AE22</f>
        <v>900</v>
      </c>
      <c r="AF28" s="463">
        <f>+PL推移!R27</f>
        <v>607</v>
      </c>
      <c r="AG28" s="351">
        <f t="shared" si="57"/>
        <v>-293</v>
      </c>
      <c r="AH28" s="340">
        <f t="shared" si="16"/>
        <v>0.6744444444444444</v>
      </c>
      <c r="AI28" s="320">
        <f t="shared" si="68"/>
        <v>900</v>
      </c>
      <c r="AJ28" s="463">
        <f t="shared" ref="AJ28" si="89">+AJ16-AJ22</f>
        <v>655</v>
      </c>
      <c r="AK28" s="351">
        <f t="shared" si="58"/>
        <v>-245</v>
      </c>
      <c r="AL28" s="371">
        <f t="shared" si="17"/>
        <v>0.72777777777777775</v>
      </c>
      <c r="AM28" s="320">
        <f t="shared" si="70"/>
        <v>900</v>
      </c>
      <c r="AN28" s="463">
        <f t="shared" si="70"/>
        <v>581</v>
      </c>
      <c r="AO28" s="351">
        <f t="shared" si="18"/>
        <v>-319</v>
      </c>
      <c r="AP28" s="371">
        <f t="shared" si="19"/>
        <v>0.64555555555555555</v>
      </c>
      <c r="AQ28" s="320">
        <f t="shared" ref="AQ28:AR28" si="90">+AQ16-AQ22</f>
        <v>900</v>
      </c>
      <c r="AR28" s="463">
        <f t="shared" si="90"/>
        <v>532</v>
      </c>
      <c r="AS28" s="351">
        <f t="shared" si="20"/>
        <v>-368</v>
      </c>
      <c r="AT28" s="371">
        <f t="shared" si="21"/>
        <v>0.59111111111111114</v>
      </c>
      <c r="AU28" s="320">
        <f t="shared" ref="AU28:AV28" si="91">+AU16-AU22</f>
        <v>900</v>
      </c>
      <c r="AV28" s="361">
        <f t="shared" si="91"/>
        <v>541</v>
      </c>
      <c r="AW28" s="351">
        <f t="shared" si="22"/>
        <v>-359</v>
      </c>
      <c r="AX28" s="371">
        <f t="shared" si="23"/>
        <v>0.60111111111111115</v>
      </c>
      <c r="AY28" s="422">
        <f t="shared" si="24"/>
        <v>12420</v>
      </c>
      <c r="AZ28" s="440">
        <f t="shared" si="25"/>
        <v>9455</v>
      </c>
      <c r="BA28" s="321">
        <f t="shared" si="26"/>
        <v>-2965</v>
      </c>
      <c r="BB28" s="507">
        <f t="shared" si="27"/>
        <v>0.76127214170692437</v>
      </c>
    </row>
    <row r="29" spans="1:54" s="47" customFormat="1">
      <c r="A29" s="47" t="s">
        <v>143</v>
      </c>
      <c r="C29" s="419">
        <f>SUM(C30:C50)</f>
        <v>7110.3990000000003</v>
      </c>
      <c r="D29" s="437">
        <f t="shared" ref="D29:E29" si="92">SUM(D30:D50)</f>
        <v>7029.3790000000008</v>
      </c>
      <c r="E29" s="329">
        <f t="shared" si="92"/>
        <v>-81.019999999999868</v>
      </c>
      <c r="F29" s="337">
        <f t="shared" si="9"/>
        <v>0.98860542143978147</v>
      </c>
      <c r="G29" s="428">
        <f>SUM(G30:G50)</f>
        <v>6970.3990000000003</v>
      </c>
      <c r="H29" s="437">
        <f>+PL推移!F28</f>
        <v>6877.2860000000001</v>
      </c>
      <c r="I29" s="329">
        <f t="shared" ref="I29" si="93">SUM(I30:I50)</f>
        <v>-93.112999999999559</v>
      </c>
      <c r="J29" s="368">
        <f t="shared" si="10"/>
        <v>0.98664165422954986</v>
      </c>
      <c r="K29" s="328">
        <f>SUM(K30:K50)</f>
        <v>7236.0340000000006</v>
      </c>
      <c r="L29" s="460">
        <f>+PL推移!H28</f>
        <v>6946.2610000000013</v>
      </c>
      <c r="M29" s="348">
        <f t="shared" ref="M29" si="94">SUM(M30:M50)</f>
        <v>-289.77300000000002</v>
      </c>
      <c r="N29" s="337">
        <f t="shared" si="11"/>
        <v>0.95995416826399671</v>
      </c>
      <c r="O29" s="328">
        <f>SUM(O30:O50)</f>
        <v>6896.0340000000006</v>
      </c>
      <c r="P29" s="460">
        <f>+PL推移!J28</f>
        <v>6577.4180000000006</v>
      </c>
      <c r="Q29" s="348">
        <f t="shared" ref="Q29" si="95">SUM(Q30:Q50)</f>
        <v>-318.6160000000001</v>
      </c>
      <c r="R29" s="337">
        <f t="shared" si="12"/>
        <v>0.95379721155667152</v>
      </c>
      <c r="S29" s="328">
        <f>SUM(S30:S50)</f>
        <v>6784.5140000000001</v>
      </c>
      <c r="T29" s="460">
        <f>+PL推移!L28</f>
        <v>6664.6369999999997</v>
      </c>
      <c r="U29" s="348">
        <f t="shared" ref="U29" si="96">SUM(U30:U50)</f>
        <v>-119.87699999999992</v>
      </c>
      <c r="V29" s="337">
        <f t="shared" si="13"/>
        <v>0.98233079038528026</v>
      </c>
      <c r="W29" s="328">
        <f>SUM(W30:W50)</f>
        <v>7667.0140000000001</v>
      </c>
      <c r="X29" s="460">
        <f>+PL推移!P28</f>
        <v>7154.9050000000007</v>
      </c>
      <c r="Y29" s="348">
        <f t="shared" ref="Y29" si="97">SUM(Y30:Y50)</f>
        <v>-234.44399999999979</v>
      </c>
      <c r="Z29" s="337">
        <f t="shared" si="14"/>
        <v>0.93320619996259302</v>
      </c>
      <c r="AA29" s="328">
        <f>+収支計画!M56/1000</f>
        <v>6789.5140000000001</v>
      </c>
      <c r="AB29" s="460">
        <f>+PL推移!P28</f>
        <v>7154.9050000000007</v>
      </c>
      <c r="AC29" s="348">
        <f t="shared" ref="AC29" si="98">SUM(AC30:AC50)</f>
        <v>365.3910000000003</v>
      </c>
      <c r="AD29" s="337">
        <f t="shared" si="15"/>
        <v>1.0538169595054963</v>
      </c>
      <c r="AE29" s="328">
        <f>+収支計画!N56/1000</f>
        <v>6789.5140000000001</v>
      </c>
      <c r="AF29" s="460">
        <f>+PL推移!R28</f>
        <v>9370.860999999999</v>
      </c>
      <c r="AG29" s="348">
        <f t="shared" ref="AG29" si="99">SUM(AG30:AG50)</f>
        <v>2581.3469999999998</v>
      </c>
      <c r="AH29" s="337">
        <f t="shared" si="16"/>
        <v>1.3801961377500656</v>
      </c>
      <c r="AI29" s="328">
        <f>+収支計画!O56/1000</f>
        <v>7270.0140000000001</v>
      </c>
      <c r="AJ29" s="460">
        <f>+PL推移!T28</f>
        <v>7545.119999999999</v>
      </c>
      <c r="AK29" s="348">
        <f t="shared" ref="AK29" si="100">SUM(AK30:AK50)</f>
        <v>275.10600000000011</v>
      </c>
      <c r="AL29" s="368">
        <f t="shared" si="17"/>
        <v>1.0378411926029303</v>
      </c>
      <c r="AM29" s="328">
        <f>+収支計画!P56/1000</f>
        <v>7019.0140000000001</v>
      </c>
      <c r="AN29" s="460">
        <f>+PL推移!V28</f>
        <v>6818.1269999999995</v>
      </c>
      <c r="AO29" s="348">
        <f t="shared" si="18"/>
        <v>-200.88700000000063</v>
      </c>
      <c r="AP29" s="368">
        <f t="shared" si="19"/>
        <v>0.97137959833104759</v>
      </c>
      <c r="AQ29" s="328">
        <f>SUM(AQ30:AQ50)</f>
        <v>6792.0140000000001</v>
      </c>
      <c r="AR29" s="460">
        <f>+PL推移!X28</f>
        <v>6533.5909999999985</v>
      </c>
      <c r="AS29" s="348">
        <f t="shared" si="20"/>
        <v>-258.42300000000159</v>
      </c>
      <c r="AT29" s="368">
        <f t="shared" si="21"/>
        <v>0.96195193355019559</v>
      </c>
      <c r="AU29" s="328">
        <f>+収支計画!R56/1000</f>
        <v>6842.0140000000001</v>
      </c>
      <c r="AV29" s="358">
        <f>+PL推移!Z28</f>
        <v>6706.4840000000004</v>
      </c>
      <c r="AW29" s="348">
        <f t="shared" si="22"/>
        <v>-135.52999999999975</v>
      </c>
      <c r="AX29" s="368">
        <f t="shared" si="23"/>
        <v>0.98019150501592078</v>
      </c>
      <c r="AY29" s="419">
        <f t="shared" si="24"/>
        <v>84166.478000000003</v>
      </c>
      <c r="AZ29" s="437">
        <f t="shared" si="25"/>
        <v>85378.973999999987</v>
      </c>
      <c r="BA29" s="329">
        <f t="shared" si="26"/>
        <v>1212.4959999999846</v>
      </c>
      <c r="BB29" s="504">
        <f t="shared" si="27"/>
        <v>1.0144059253614008</v>
      </c>
    </row>
    <row r="30" spans="1:54">
      <c r="B30" s="8" t="s">
        <v>144</v>
      </c>
      <c r="C30" s="420">
        <f>+収支計画!G34/1000</f>
        <v>2722.319</v>
      </c>
      <c r="D30" s="438">
        <f>+PL推移!D29</f>
        <v>2371.9459999999999</v>
      </c>
      <c r="E30" s="317">
        <f>+D30-C30</f>
        <v>-350.37300000000005</v>
      </c>
      <c r="F30" s="338">
        <f t="shared" si="9"/>
        <v>0.87129612657443889</v>
      </c>
      <c r="G30" s="429">
        <f>+収支計画!H34/1000</f>
        <v>2722.319</v>
      </c>
      <c r="H30" s="438">
        <f>+PL推移!F29</f>
        <v>2352.8580000000002</v>
      </c>
      <c r="I30" s="317">
        <f>+H30-G30</f>
        <v>-369.46099999999979</v>
      </c>
      <c r="J30" s="369">
        <f t="shared" si="10"/>
        <v>0.86428445747908311</v>
      </c>
      <c r="K30" s="316">
        <f>+収支計画!I34/1000</f>
        <v>2707.319</v>
      </c>
      <c r="L30" s="461">
        <f>+PL推移!H29</f>
        <v>2266.491</v>
      </c>
      <c r="M30" s="349">
        <f>+L30-K30</f>
        <v>-440.82799999999997</v>
      </c>
      <c r="N30" s="338">
        <f t="shared" si="11"/>
        <v>0.83717175552640821</v>
      </c>
      <c r="O30" s="316">
        <f>+収支計画!J34/1000</f>
        <v>2707.319</v>
      </c>
      <c r="P30" s="461">
        <f>+PL推移!J29</f>
        <v>2375.5659999999998</v>
      </c>
      <c r="Q30" s="349">
        <f>+P30-O30</f>
        <v>-331.75300000000016</v>
      </c>
      <c r="R30" s="338">
        <f t="shared" si="12"/>
        <v>0.87746069081626499</v>
      </c>
      <c r="S30" s="316">
        <f>+収支計画!K34/1000</f>
        <v>2594.319</v>
      </c>
      <c r="T30" s="461">
        <f>+PL推移!L29</f>
        <v>2397.808</v>
      </c>
      <c r="U30" s="349">
        <f>+T30-S30</f>
        <v>-196.51099999999997</v>
      </c>
      <c r="V30" s="338">
        <f t="shared" si="13"/>
        <v>0.92425333970109302</v>
      </c>
      <c r="W30" s="316">
        <f>+収支計画!L34/1000</f>
        <v>3019.319</v>
      </c>
      <c r="X30" s="461">
        <f>+PL推移!N29</f>
        <v>2816.6080000000002</v>
      </c>
      <c r="Y30" s="349">
        <f>+X30-W30</f>
        <v>-202.71099999999979</v>
      </c>
      <c r="Z30" s="338">
        <f t="shared" si="14"/>
        <v>0.93286201292410642</v>
      </c>
      <c r="AA30" s="316">
        <f>+収支計画!M34/1000</f>
        <v>2594.319</v>
      </c>
      <c r="AB30" s="461">
        <f>+PL推移!P29</f>
        <v>2804.1840000000002</v>
      </c>
      <c r="AC30" s="349">
        <f>+AB30-AA30</f>
        <v>209.86500000000024</v>
      </c>
      <c r="AD30" s="338">
        <f t="shared" si="15"/>
        <v>1.0808940612160649</v>
      </c>
      <c r="AE30" s="316">
        <f>+収支計画!N34/1000</f>
        <v>2594.319</v>
      </c>
      <c r="AF30" s="461">
        <f>+PL推移!R29</f>
        <v>2790.627</v>
      </c>
      <c r="AG30" s="390">
        <f>+AF30-AE30</f>
        <v>196.30799999999999</v>
      </c>
      <c r="AH30" s="338">
        <f t="shared" si="16"/>
        <v>1.07566841240418</v>
      </c>
      <c r="AI30" s="316">
        <f>+収支計画!O34/1000</f>
        <v>2849.319</v>
      </c>
      <c r="AJ30" s="461">
        <f>+PL推移!T29</f>
        <v>3189.7150000000001</v>
      </c>
      <c r="AK30" s="499">
        <f>+AJ30-AI30</f>
        <v>340.39600000000019</v>
      </c>
      <c r="AL30" s="369">
        <f t="shared" si="17"/>
        <v>1.1194657390064082</v>
      </c>
      <c r="AM30" s="316">
        <f>+収支計画!P34/1000</f>
        <v>2601.819</v>
      </c>
      <c r="AN30" s="461">
        <f>+PL推移!V29</f>
        <v>2649.797</v>
      </c>
      <c r="AO30" s="499">
        <f t="shared" si="18"/>
        <v>47.978000000000065</v>
      </c>
      <c r="AP30" s="369">
        <f t="shared" si="19"/>
        <v>1.0184401758923276</v>
      </c>
      <c r="AQ30" s="316">
        <f>+収支計画!Q34/1000</f>
        <v>2601.819</v>
      </c>
      <c r="AR30" s="461">
        <f>+PL推移!X29</f>
        <v>2670.3960000000002</v>
      </c>
      <c r="AS30" s="499">
        <f t="shared" si="20"/>
        <v>68.577000000000226</v>
      </c>
      <c r="AT30" s="369">
        <f t="shared" si="21"/>
        <v>1.0263573292377373</v>
      </c>
      <c r="AU30" s="316">
        <f>+収支計画!R34/1000</f>
        <v>2601.819</v>
      </c>
      <c r="AV30" s="359">
        <f>+PL推移!Z29</f>
        <v>2522.7800000000002</v>
      </c>
      <c r="AW30" s="390">
        <f t="shared" si="22"/>
        <v>-79.03899999999976</v>
      </c>
      <c r="AX30" s="369">
        <f t="shared" si="23"/>
        <v>0.96962163778494981</v>
      </c>
      <c r="AY30" s="420">
        <f t="shared" si="24"/>
        <v>32316.327999999998</v>
      </c>
      <c r="AZ30" s="438">
        <f t="shared" si="25"/>
        <v>31208.776000000002</v>
      </c>
      <c r="BA30" s="317">
        <f t="shared" si="26"/>
        <v>-1107.551999999996</v>
      </c>
      <c r="BB30" s="505">
        <f t="shared" si="27"/>
        <v>0.96572778937012904</v>
      </c>
    </row>
    <row r="31" spans="1:54">
      <c r="B31" s="5" t="s">
        <v>228</v>
      </c>
      <c r="C31" s="421">
        <f>+収支計画!G35/1000</f>
        <v>50</v>
      </c>
      <c r="D31" s="439">
        <f>+PL推移!D30</f>
        <v>42.401000000000003</v>
      </c>
      <c r="E31" s="319">
        <f t="shared" ref="E31:E49" si="101">+D31-C31</f>
        <v>-7.5989999999999966</v>
      </c>
      <c r="F31" s="339">
        <f t="shared" si="9"/>
        <v>0.84802000000000011</v>
      </c>
      <c r="G31" s="430">
        <f>+収支計画!H35/1000</f>
        <v>50</v>
      </c>
      <c r="H31" s="439">
        <f>+PL推移!F30</f>
        <v>43.146999999999998</v>
      </c>
      <c r="I31" s="319">
        <f t="shared" ref="I31:I49" si="102">+H31-G31</f>
        <v>-6.8530000000000015</v>
      </c>
      <c r="J31" s="370">
        <f t="shared" si="10"/>
        <v>0.86293999999999993</v>
      </c>
      <c r="K31" s="318">
        <f>+収支計画!I35/1000</f>
        <v>50</v>
      </c>
      <c r="L31" s="462">
        <f>+PL推移!H30</f>
        <v>27.646000000000001</v>
      </c>
      <c r="M31" s="350">
        <f t="shared" ref="M31:M49" si="103">+L31-K31</f>
        <v>-22.353999999999999</v>
      </c>
      <c r="N31" s="339">
        <f t="shared" si="11"/>
        <v>0.55291999999999997</v>
      </c>
      <c r="O31" s="318">
        <f>+収支計画!J35/1000</f>
        <v>50</v>
      </c>
      <c r="P31" s="462">
        <f>+PL推移!J30</f>
        <v>41.600999999999999</v>
      </c>
      <c r="Q31" s="350">
        <f t="shared" ref="Q31:Q49" si="104">+P31-O31</f>
        <v>-8.3990000000000009</v>
      </c>
      <c r="R31" s="339">
        <f t="shared" si="12"/>
        <v>0.83201999999999998</v>
      </c>
      <c r="S31" s="318">
        <f>+収支計画!K35/1000</f>
        <v>50</v>
      </c>
      <c r="T31" s="462">
        <f>+PL推移!L30</f>
        <v>47.715000000000003</v>
      </c>
      <c r="U31" s="350">
        <f t="shared" ref="U31:U49" si="105">+T31-S31</f>
        <v>-2.2849999999999966</v>
      </c>
      <c r="V31" s="339">
        <f t="shared" si="13"/>
        <v>0.95430000000000004</v>
      </c>
      <c r="W31" s="318">
        <f>+収支計画!L35/1000</f>
        <v>55</v>
      </c>
      <c r="X31" s="462">
        <f>+PL推移!N30</f>
        <v>40.511000000000003</v>
      </c>
      <c r="Y31" s="350">
        <f t="shared" ref="Y31:Y49" si="106">+X31-W31</f>
        <v>-14.488999999999997</v>
      </c>
      <c r="Z31" s="339">
        <f t="shared" si="14"/>
        <v>0.73656363636363642</v>
      </c>
      <c r="AA31" s="318">
        <f>+収支計画!M35/1000</f>
        <v>55</v>
      </c>
      <c r="AB31" s="462">
        <f>+PL推移!P30</f>
        <v>34.183</v>
      </c>
      <c r="AC31" s="350">
        <f t="shared" ref="AC31:AC49" si="107">+AB31-AA31</f>
        <v>-20.817</v>
      </c>
      <c r="AD31" s="339">
        <f t="shared" si="15"/>
        <v>0.6215090909090909</v>
      </c>
      <c r="AE31" s="318">
        <f>+収支計画!N35/1000</f>
        <v>55</v>
      </c>
      <c r="AF31" s="462">
        <f>+PL推移!R30</f>
        <v>42.182000000000002</v>
      </c>
      <c r="AG31" s="350">
        <f t="shared" ref="AG31:AG49" si="108">+AF31-AE31</f>
        <v>-12.817999999999998</v>
      </c>
      <c r="AH31" s="339">
        <f t="shared" si="16"/>
        <v>0.7669454545454546</v>
      </c>
      <c r="AI31" s="318">
        <f>+収支計画!O35/1000</f>
        <v>55</v>
      </c>
      <c r="AJ31" s="462">
        <f>+PL推移!T30</f>
        <v>54.459000000000003</v>
      </c>
      <c r="AK31" s="350">
        <f t="shared" ref="AK31:AK49" si="109">+AJ31-AI31</f>
        <v>-0.54099999999999682</v>
      </c>
      <c r="AL31" s="370">
        <f t="shared" si="17"/>
        <v>0.99016363636363647</v>
      </c>
      <c r="AM31" s="318">
        <f>+収支計画!P35/1000</f>
        <v>50</v>
      </c>
      <c r="AN31" s="462">
        <f>+PL推移!V30</f>
        <v>46.857999999999997</v>
      </c>
      <c r="AO31" s="350">
        <f t="shared" si="18"/>
        <v>-3.142000000000003</v>
      </c>
      <c r="AP31" s="370">
        <f t="shared" si="19"/>
        <v>0.93715999999999999</v>
      </c>
      <c r="AQ31" s="318">
        <f>+収支計画!Q35/1000</f>
        <v>50</v>
      </c>
      <c r="AR31" s="462">
        <f>+PL推移!X30</f>
        <v>52.253</v>
      </c>
      <c r="AS31" s="350">
        <f t="shared" si="20"/>
        <v>2.2530000000000001</v>
      </c>
      <c r="AT31" s="370">
        <f t="shared" si="21"/>
        <v>1.0450600000000001</v>
      </c>
      <c r="AU31" s="318">
        <f>+収支計画!R35/1000</f>
        <v>50</v>
      </c>
      <c r="AV31" s="360">
        <f>+PL推移!Z30</f>
        <v>42.731000000000002</v>
      </c>
      <c r="AW31" s="350">
        <f t="shared" si="22"/>
        <v>-7.2689999999999984</v>
      </c>
      <c r="AX31" s="370">
        <f t="shared" si="23"/>
        <v>0.85462000000000005</v>
      </c>
      <c r="AY31" s="421">
        <f t="shared" si="24"/>
        <v>620</v>
      </c>
      <c r="AZ31" s="439">
        <f t="shared" si="25"/>
        <v>515.68700000000001</v>
      </c>
      <c r="BA31" s="319">
        <f t="shared" si="26"/>
        <v>-104.31299999999999</v>
      </c>
      <c r="BB31" s="506">
        <f t="shared" si="27"/>
        <v>0.83175322580645161</v>
      </c>
    </row>
    <row r="32" spans="1:54">
      <c r="B32" s="5" t="s">
        <v>229</v>
      </c>
      <c r="C32" s="421">
        <f>+収支計画!G36/1000</f>
        <v>63.05</v>
      </c>
      <c r="D32" s="439">
        <f>+PL推移!D31</f>
        <v>45.779000000000003</v>
      </c>
      <c r="E32" s="319">
        <f t="shared" si="101"/>
        <v>-17.270999999999994</v>
      </c>
      <c r="F32" s="339">
        <f t="shared" si="9"/>
        <v>0.72607454401268845</v>
      </c>
      <c r="G32" s="430">
        <f>+収支計画!H36/1000</f>
        <v>63.05</v>
      </c>
      <c r="H32" s="439">
        <f>+PL推移!F31</f>
        <v>55.395000000000003</v>
      </c>
      <c r="I32" s="319">
        <f t="shared" si="102"/>
        <v>-7.654999999999994</v>
      </c>
      <c r="J32" s="370">
        <f t="shared" si="10"/>
        <v>0.87858842188739106</v>
      </c>
      <c r="K32" s="318">
        <f>+収支計画!I36/1000</f>
        <v>63.05</v>
      </c>
      <c r="L32" s="462">
        <f>+PL推移!H31</f>
        <v>45.57</v>
      </c>
      <c r="M32" s="350">
        <f t="shared" si="103"/>
        <v>-17.479999999999997</v>
      </c>
      <c r="N32" s="339">
        <f t="shared" si="11"/>
        <v>0.72275971451229182</v>
      </c>
      <c r="O32" s="318">
        <f>+収支計画!J36/1000</f>
        <v>63.05</v>
      </c>
      <c r="P32" s="462">
        <f>+PL推移!J31</f>
        <v>44.793999999999997</v>
      </c>
      <c r="Q32" s="350">
        <f t="shared" si="104"/>
        <v>-18.256</v>
      </c>
      <c r="R32" s="339">
        <f t="shared" si="12"/>
        <v>0.71045202220459946</v>
      </c>
      <c r="S32" s="318">
        <f>+収支計画!K36/1000</f>
        <v>64.53</v>
      </c>
      <c r="T32" s="462">
        <f>+PL推移!L31</f>
        <v>52.174999999999997</v>
      </c>
      <c r="U32" s="350">
        <f t="shared" si="105"/>
        <v>-12.355000000000004</v>
      </c>
      <c r="V32" s="339">
        <f t="shared" si="13"/>
        <v>0.80853866418719966</v>
      </c>
      <c r="W32" s="318">
        <f>+収支計画!L36/1000</f>
        <v>64.53</v>
      </c>
      <c r="X32" s="462">
        <f>+PL推移!N31</f>
        <v>40.363999999999997</v>
      </c>
      <c r="Y32" s="350">
        <f t="shared" si="106"/>
        <v>-24.166000000000004</v>
      </c>
      <c r="Z32" s="339">
        <f t="shared" si="14"/>
        <v>0.62550751588408482</v>
      </c>
      <c r="AA32" s="318">
        <f>+収支計画!M36/1000</f>
        <v>64.53</v>
      </c>
      <c r="AB32" s="462">
        <f>+PL推移!P31</f>
        <v>54.262</v>
      </c>
      <c r="AC32" s="350">
        <f t="shared" si="107"/>
        <v>-10.268000000000001</v>
      </c>
      <c r="AD32" s="339">
        <f t="shared" si="15"/>
        <v>0.84088021075468777</v>
      </c>
      <c r="AE32" s="318">
        <f>+収支計画!N36/1000</f>
        <v>64.53</v>
      </c>
      <c r="AF32" s="462">
        <f>+PL推移!R31</f>
        <v>70.983000000000004</v>
      </c>
      <c r="AG32" s="350">
        <f t="shared" si="108"/>
        <v>6.453000000000003</v>
      </c>
      <c r="AH32" s="339">
        <f t="shared" si="16"/>
        <v>1.1000000000000001</v>
      </c>
      <c r="AI32" s="318">
        <f>+収支計画!O36/1000</f>
        <v>64.53</v>
      </c>
      <c r="AJ32" s="462">
        <f>+PL推移!T31</f>
        <v>54.59</v>
      </c>
      <c r="AK32" s="350">
        <f t="shared" si="109"/>
        <v>-9.9399999999999977</v>
      </c>
      <c r="AL32" s="370">
        <f t="shared" si="17"/>
        <v>0.84596311792964518</v>
      </c>
      <c r="AM32" s="318">
        <f>+収支計画!P36/1000</f>
        <v>64.53</v>
      </c>
      <c r="AN32" s="462">
        <f>+PL推移!V31</f>
        <v>122.039</v>
      </c>
      <c r="AO32" s="350">
        <f t="shared" si="18"/>
        <v>57.509</v>
      </c>
      <c r="AP32" s="370">
        <f t="shared" si="19"/>
        <v>1.8911978924531225</v>
      </c>
      <c r="AQ32" s="318">
        <f>+収支計画!Q36/1000</f>
        <v>64.53</v>
      </c>
      <c r="AR32" s="462">
        <f>+PL推移!X31</f>
        <v>54.628999999999998</v>
      </c>
      <c r="AS32" s="350">
        <f t="shared" si="20"/>
        <v>-9.9010000000000034</v>
      </c>
      <c r="AT32" s="370">
        <f t="shared" si="21"/>
        <v>0.84656748799008208</v>
      </c>
      <c r="AU32" s="318">
        <f>+収支計画!R36/1000</f>
        <v>64.53</v>
      </c>
      <c r="AV32" s="360">
        <f>+PL推移!Z31</f>
        <v>51.281999999999996</v>
      </c>
      <c r="AW32" s="350">
        <f t="shared" si="22"/>
        <v>-13.248000000000005</v>
      </c>
      <c r="AX32" s="370">
        <f t="shared" si="23"/>
        <v>0.79470013947001383</v>
      </c>
      <c r="AY32" s="421">
        <f t="shared" si="24"/>
        <v>768.43999999999983</v>
      </c>
      <c r="AZ32" s="439">
        <f t="shared" si="25"/>
        <v>691.86200000000008</v>
      </c>
      <c r="BA32" s="319">
        <f t="shared" si="26"/>
        <v>-76.577999999999747</v>
      </c>
      <c r="BB32" s="506">
        <f t="shared" si="27"/>
        <v>0.90034615584821232</v>
      </c>
    </row>
    <row r="33" spans="2:55">
      <c r="B33" s="5" t="s">
        <v>230</v>
      </c>
      <c r="C33" s="421">
        <f>+収支計画!G37/1000</f>
        <v>0</v>
      </c>
      <c r="D33" s="439">
        <f>+PL推移!D32</f>
        <v>21.289000000000001</v>
      </c>
      <c r="E33" s="319">
        <f t="shared" si="101"/>
        <v>21.289000000000001</v>
      </c>
      <c r="F33" s="339" t="str">
        <f t="shared" si="9"/>
        <v>-</v>
      </c>
      <c r="G33" s="430">
        <f>+収支計画!H37/1000</f>
        <v>0</v>
      </c>
      <c r="H33" s="439">
        <f>+PL推移!F32</f>
        <v>97.177000000000007</v>
      </c>
      <c r="I33" s="319">
        <f t="shared" si="102"/>
        <v>97.177000000000007</v>
      </c>
      <c r="J33" s="370" t="str">
        <f t="shared" si="10"/>
        <v>-</v>
      </c>
      <c r="K33" s="318">
        <f>+収支計画!I37/1000</f>
        <v>0</v>
      </c>
      <c r="L33" s="462">
        <f>+PL推移!H32</f>
        <v>106.992</v>
      </c>
      <c r="M33" s="350">
        <f t="shared" si="103"/>
        <v>106.992</v>
      </c>
      <c r="N33" s="339" t="str">
        <f t="shared" si="11"/>
        <v>-</v>
      </c>
      <c r="O33" s="318">
        <f>+収支計画!J37/1000</f>
        <v>0</v>
      </c>
      <c r="P33" s="462">
        <f>+PL推移!J32</f>
        <v>148.07499999999999</v>
      </c>
      <c r="Q33" s="350">
        <f t="shared" si="104"/>
        <v>148.07499999999999</v>
      </c>
      <c r="R33" s="339" t="str">
        <f t="shared" si="12"/>
        <v>-</v>
      </c>
      <c r="S33" s="318">
        <f>+収支計画!K37/1000</f>
        <v>0</v>
      </c>
      <c r="T33" s="462">
        <f>+PL推移!L32</f>
        <v>79.685000000000002</v>
      </c>
      <c r="U33" s="350">
        <f t="shared" si="105"/>
        <v>79.685000000000002</v>
      </c>
      <c r="V33" s="339" t="str">
        <f t="shared" si="13"/>
        <v>-</v>
      </c>
      <c r="W33" s="318">
        <f>+収支計画!L37/1000</f>
        <v>0</v>
      </c>
      <c r="X33" s="462">
        <f>+PL推移!N32</f>
        <v>0</v>
      </c>
      <c r="Y33" s="350">
        <f t="shared" si="106"/>
        <v>0</v>
      </c>
      <c r="Z33" s="339" t="str">
        <f t="shared" si="14"/>
        <v>-</v>
      </c>
      <c r="AA33" s="318">
        <f>+収支計画!M37/1000</f>
        <v>0</v>
      </c>
      <c r="AB33" s="462">
        <f>+PL推移!P32</f>
        <v>0</v>
      </c>
      <c r="AC33" s="350">
        <f t="shared" si="107"/>
        <v>0</v>
      </c>
      <c r="AD33" s="339" t="str">
        <f t="shared" si="15"/>
        <v>-</v>
      </c>
      <c r="AE33" s="318">
        <f>+収支計画!N37/1000</f>
        <v>0</v>
      </c>
      <c r="AF33" s="462">
        <f>+PL推移!R32</f>
        <v>0</v>
      </c>
      <c r="AG33" s="350">
        <f t="shared" si="108"/>
        <v>0</v>
      </c>
      <c r="AH33" s="339" t="str">
        <f t="shared" si="16"/>
        <v>-</v>
      </c>
      <c r="AI33" s="318">
        <f>+収支計画!O37/1000</f>
        <v>0</v>
      </c>
      <c r="AJ33" s="462">
        <f>+PL推移!T32</f>
        <v>0</v>
      </c>
      <c r="AK33" s="350">
        <f t="shared" si="109"/>
        <v>0</v>
      </c>
      <c r="AL33" s="370" t="str">
        <f t="shared" si="17"/>
        <v>-</v>
      </c>
      <c r="AM33" s="318">
        <f>+収支計画!P37/1000</f>
        <v>0</v>
      </c>
      <c r="AN33" s="462">
        <f>+PL推移!V32</f>
        <v>0</v>
      </c>
      <c r="AO33" s="350">
        <f t="shared" si="18"/>
        <v>0</v>
      </c>
      <c r="AP33" s="370" t="str">
        <f t="shared" si="19"/>
        <v>-</v>
      </c>
      <c r="AQ33" s="318">
        <f>+収支計画!Q37/1000</f>
        <v>0</v>
      </c>
      <c r="AR33" s="462">
        <f>+PL推移!X32</f>
        <v>0</v>
      </c>
      <c r="AS33" s="350">
        <f t="shared" si="20"/>
        <v>0</v>
      </c>
      <c r="AT33" s="370" t="str">
        <f t="shared" si="21"/>
        <v>-</v>
      </c>
      <c r="AU33" s="318">
        <f>+収支計画!R37/1000</f>
        <v>0</v>
      </c>
      <c r="AV33" s="360">
        <f>+PL推移!Z32</f>
        <v>0</v>
      </c>
      <c r="AW33" s="350">
        <f t="shared" si="22"/>
        <v>0</v>
      </c>
      <c r="AX33" s="370" t="str">
        <f t="shared" si="23"/>
        <v>-</v>
      </c>
      <c r="AY33" s="421">
        <f t="shared" si="24"/>
        <v>0</v>
      </c>
      <c r="AZ33" s="439">
        <f t="shared" si="25"/>
        <v>453.21800000000002</v>
      </c>
      <c r="BA33" s="319">
        <f t="shared" si="26"/>
        <v>453.21800000000002</v>
      </c>
      <c r="BB33" s="506" t="str">
        <f t="shared" si="27"/>
        <v>-</v>
      </c>
    </row>
    <row r="34" spans="2:55">
      <c r="B34" s="5" t="s">
        <v>231</v>
      </c>
      <c r="C34" s="421">
        <f>+収支計画!G38/1000</f>
        <v>0</v>
      </c>
      <c r="D34" s="439">
        <f>+PL推移!D33</f>
        <v>0</v>
      </c>
      <c r="E34" s="319">
        <f t="shared" si="101"/>
        <v>0</v>
      </c>
      <c r="F34" s="339" t="str">
        <f t="shared" si="9"/>
        <v>-</v>
      </c>
      <c r="G34" s="430">
        <f>+収支計画!H38/1000</f>
        <v>0</v>
      </c>
      <c r="H34" s="439">
        <f>+PL推移!F33</f>
        <v>0</v>
      </c>
      <c r="I34" s="319">
        <f t="shared" si="102"/>
        <v>0</v>
      </c>
      <c r="J34" s="370" t="str">
        <f t="shared" si="10"/>
        <v>-</v>
      </c>
      <c r="K34" s="318">
        <f>+収支計画!I38/1000</f>
        <v>0</v>
      </c>
      <c r="L34" s="462">
        <f>+PL推移!H33</f>
        <v>0</v>
      </c>
      <c r="M34" s="350">
        <f t="shared" si="103"/>
        <v>0</v>
      </c>
      <c r="N34" s="339" t="str">
        <f t="shared" si="11"/>
        <v>-</v>
      </c>
      <c r="O34" s="318">
        <f>+収支計画!J38/1000</f>
        <v>0</v>
      </c>
      <c r="P34" s="462">
        <f>+PL推移!J33</f>
        <v>0</v>
      </c>
      <c r="Q34" s="350">
        <f t="shared" si="104"/>
        <v>0</v>
      </c>
      <c r="R34" s="339" t="str">
        <f t="shared" si="12"/>
        <v>-</v>
      </c>
      <c r="S34" s="318">
        <f>+収支計画!K38/1000</f>
        <v>0</v>
      </c>
      <c r="T34" s="462">
        <f>+PL推移!L33</f>
        <v>0</v>
      </c>
      <c r="U34" s="350">
        <f t="shared" si="105"/>
        <v>0</v>
      </c>
      <c r="V34" s="339" t="str">
        <f t="shared" si="13"/>
        <v>-</v>
      </c>
      <c r="W34" s="318">
        <f>+収支計画!L38/1000</f>
        <v>0</v>
      </c>
      <c r="X34" s="462">
        <f>+PL推移!N33</f>
        <v>0</v>
      </c>
      <c r="Y34" s="350">
        <f t="shared" si="106"/>
        <v>0</v>
      </c>
      <c r="Z34" s="339" t="str">
        <f t="shared" si="14"/>
        <v>-</v>
      </c>
      <c r="AA34" s="318">
        <f>+収支計画!M38/1000</f>
        <v>0</v>
      </c>
      <c r="AB34" s="462">
        <f>+PL推移!P33</f>
        <v>0</v>
      </c>
      <c r="AC34" s="350">
        <f t="shared" si="107"/>
        <v>0</v>
      </c>
      <c r="AD34" s="339" t="str">
        <f t="shared" si="15"/>
        <v>-</v>
      </c>
      <c r="AE34" s="318">
        <f>+収支計画!N38/1000</f>
        <v>0</v>
      </c>
      <c r="AF34" s="462">
        <f>+PL推移!R33</f>
        <v>0</v>
      </c>
      <c r="AG34" s="350">
        <f t="shared" si="108"/>
        <v>0</v>
      </c>
      <c r="AH34" s="339" t="str">
        <f t="shared" si="16"/>
        <v>-</v>
      </c>
      <c r="AI34" s="318">
        <f>+収支計画!O38/1000</f>
        <v>0</v>
      </c>
      <c r="AJ34" s="462">
        <f>+PL推移!T33</f>
        <v>0</v>
      </c>
      <c r="AK34" s="350">
        <f t="shared" si="109"/>
        <v>0</v>
      </c>
      <c r="AL34" s="370" t="str">
        <f t="shared" si="17"/>
        <v>-</v>
      </c>
      <c r="AM34" s="318">
        <f>+収支計画!P38/1000</f>
        <v>0</v>
      </c>
      <c r="AN34" s="462">
        <f>+PL推移!V33</f>
        <v>0</v>
      </c>
      <c r="AO34" s="350">
        <f t="shared" si="18"/>
        <v>0</v>
      </c>
      <c r="AP34" s="370" t="str">
        <f t="shared" si="19"/>
        <v>-</v>
      </c>
      <c r="AQ34" s="318">
        <f>+収支計画!Q38/1000</f>
        <v>0</v>
      </c>
      <c r="AR34" s="462">
        <f>+PL推移!X33</f>
        <v>0</v>
      </c>
      <c r="AS34" s="350">
        <f t="shared" si="20"/>
        <v>0</v>
      </c>
      <c r="AT34" s="370" t="str">
        <f t="shared" si="21"/>
        <v>-</v>
      </c>
      <c r="AU34" s="318">
        <f>+収支計画!R38/1000</f>
        <v>0</v>
      </c>
      <c r="AV34" s="360">
        <f>+PL推移!Z33</f>
        <v>0</v>
      </c>
      <c r="AW34" s="350">
        <f t="shared" si="22"/>
        <v>0</v>
      </c>
      <c r="AX34" s="370" t="str">
        <f t="shared" si="23"/>
        <v>-</v>
      </c>
      <c r="AY34" s="421">
        <f t="shared" si="24"/>
        <v>0</v>
      </c>
      <c r="AZ34" s="439">
        <f t="shared" si="25"/>
        <v>0</v>
      </c>
      <c r="BA34" s="319">
        <f t="shared" si="26"/>
        <v>0</v>
      </c>
      <c r="BB34" s="506" t="str">
        <f t="shared" si="27"/>
        <v>-</v>
      </c>
    </row>
    <row r="35" spans="2:55">
      <c r="B35" s="5" t="s">
        <v>232</v>
      </c>
      <c r="C35" s="421">
        <f>+収支計画!G39/1000</f>
        <v>10</v>
      </c>
      <c r="D35" s="439">
        <f>+PL推移!D34</f>
        <v>0</v>
      </c>
      <c r="E35" s="319">
        <f t="shared" si="101"/>
        <v>-10</v>
      </c>
      <c r="F35" s="339">
        <f t="shared" si="9"/>
        <v>0</v>
      </c>
      <c r="G35" s="430">
        <f>+収支計画!H39/1000</f>
        <v>0</v>
      </c>
      <c r="H35" s="439">
        <f>+PL推移!F34</f>
        <v>0</v>
      </c>
      <c r="I35" s="319">
        <f t="shared" si="102"/>
        <v>0</v>
      </c>
      <c r="J35" s="370" t="str">
        <f t="shared" si="10"/>
        <v>-</v>
      </c>
      <c r="K35" s="318">
        <f>+収支計画!I39/1000</f>
        <v>0</v>
      </c>
      <c r="L35" s="462">
        <f>+PL推移!H34</f>
        <v>0</v>
      </c>
      <c r="M35" s="350">
        <f t="shared" si="103"/>
        <v>0</v>
      </c>
      <c r="N35" s="339" t="str">
        <f t="shared" si="11"/>
        <v>-</v>
      </c>
      <c r="O35" s="318">
        <f>+収支計画!J39/1000</f>
        <v>0</v>
      </c>
      <c r="P35" s="462">
        <f>+PL推移!J34</f>
        <v>0</v>
      </c>
      <c r="Q35" s="350">
        <f t="shared" si="104"/>
        <v>0</v>
      </c>
      <c r="R35" s="339" t="str">
        <f t="shared" si="12"/>
        <v>-</v>
      </c>
      <c r="S35" s="318">
        <f>+収支計画!K39/1000</f>
        <v>0</v>
      </c>
      <c r="T35" s="462">
        <f>+PL推移!L34</f>
        <v>0</v>
      </c>
      <c r="U35" s="350">
        <f t="shared" si="105"/>
        <v>0</v>
      </c>
      <c r="V35" s="339" t="str">
        <f t="shared" si="13"/>
        <v>-</v>
      </c>
      <c r="W35" s="318">
        <f>+収支計画!L39/1000</f>
        <v>20</v>
      </c>
      <c r="X35" s="462">
        <f>+PL推移!N34</f>
        <v>0</v>
      </c>
      <c r="Y35" s="350">
        <f t="shared" si="106"/>
        <v>-20</v>
      </c>
      <c r="Z35" s="339">
        <f t="shared" si="14"/>
        <v>0</v>
      </c>
      <c r="AA35" s="318">
        <f>+収支計画!M39/1000</f>
        <v>0</v>
      </c>
      <c r="AB35" s="462">
        <f>+PL推移!P34</f>
        <v>0</v>
      </c>
      <c r="AC35" s="350">
        <f t="shared" si="107"/>
        <v>0</v>
      </c>
      <c r="AD35" s="339" t="str">
        <f t="shared" si="15"/>
        <v>-</v>
      </c>
      <c r="AE35" s="318">
        <f>+収支計画!N39/1000</f>
        <v>0</v>
      </c>
      <c r="AF35" s="462">
        <f>+PL推移!R34</f>
        <v>0</v>
      </c>
      <c r="AG35" s="350">
        <f t="shared" si="108"/>
        <v>0</v>
      </c>
      <c r="AH35" s="339" t="str">
        <f t="shared" si="16"/>
        <v>-</v>
      </c>
      <c r="AI35" s="318">
        <f>+収支計画!O39/1000</f>
        <v>20</v>
      </c>
      <c r="AJ35" s="462">
        <f>+PL推移!T34</f>
        <v>0</v>
      </c>
      <c r="AK35" s="350">
        <f t="shared" si="109"/>
        <v>-20</v>
      </c>
      <c r="AL35" s="370">
        <f t="shared" si="17"/>
        <v>0</v>
      </c>
      <c r="AM35" s="318">
        <f>+収支計画!P39/1000</f>
        <v>0</v>
      </c>
      <c r="AN35" s="462">
        <f>+PL推移!V34</f>
        <v>0</v>
      </c>
      <c r="AO35" s="350">
        <f t="shared" si="18"/>
        <v>0</v>
      </c>
      <c r="AP35" s="370" t="str">
        <f t="shared" si="19"/>
        <v>-</v>
      </c>
      <c r="AQ35" s="318">
        <f>+収支計画!Q39/1000</f>
        <v>0</v>
      </c>
      <c r="AR35" s="462">
        <f>+PL推移!X34</f>
        <v>0</v>
      </c>
      <c r="AS35" s="350">
        <f t="shared" si="20"/>
        <v>0</v>
      </c>
      <c r="AT35" s="370" t="str">
        <f t="shared" si="21"/>
        <v>-</v>
      </c>
      <c r="AU35" s="318">
        <f>+収支計画!R39/1000</f>
        <v>0</v>
      </c>
      <c r="AV35" s="360">
        <f>+PL推移!Z34</f>
        <v>0</v>
      </c>
      <c r="AW35" s="350">
        <f t="shared" si="22"/>
        <v>0</v>
      </c>
      <c r="AX35" s="370" t="str">
        <f t="shared" si="23"/>
        <v>-</v>
      </c>
      <c r="AY35" s="421">
        <f t="shared" si="24"/>
        <v>50</v>
      </c>
      <c r="AZ35" s="439">
        <f t="shared" si="25"/>
        <v>0</v>
      </c>
      <c r="BA35" s="319">
        <f t="shared" si="26"/>
        <v>-50</v>
      </c>
      <c r="BB35" s="506">
        <f t="shared" si="27"/>
        <v>0</v>
      </c>
    </row>
    <row r="36" spans="2:55">
      <c r="B36" s="5" t="s">
        <v>233</v>
      </c>
      <c r="C36" s="421">
        <f>+収支計画!G40/1000</f>
        <v>749.95399999999995</v>
      </c>
      <c r="D36" s="439">
        <f>+PL推移!D35</f>
        <v>690.58900000000006</v>
      </c>
      <c r="E36" s="319">
        <f t="shared" si="101"/>
        <v>-59.364999999999895</v>
      </c>
      <c r="F36" s="339">
        <f t="shared" si="9"/>
        <v>0.92084181163111356</v>
      </c>
      <c r="G36" s="430">
        <f>+収支計画!H40/1000</f>
        <v>749.95399999999995</v>
      </c>
      <c r="H36" s="439">
        <f>+PL推移!F35</f>
        <v>690.58900000000006</v>
      </c>
      <c r="I36" s="319">
        <f t="shared" si="102"/>
        <v>-59.364999999999895</v>
      </c>
      <c r="J36" s="370">
        <f t="shared" si="10"/>
        <v>0.92084181163111356</v>
      </c>
      <c r="K36" s="318">
        <f>+収支計画!I40/1000</f>
        <v>690.58900000000006</v>
      </c>
      <c r="L36" s="462">
        <f>+PL推移!H35</f>
        <v>690.58900000000006</v>
      </c>
      <c r="M36" s="350">
        <f t="shared" si="103"/>
        <v>0</v>
      </c>
      <c r="N36" s="339">
        <f t="shared" si="11"/>
        <v>1</v>
      </c>
      <c r="O36" s="318">
        <f>+収支計画!J40/1000</f>
        <v>690.58900000000006</v>
      </c>
      <c r="P36" s="462">
        <f>+PL推移!J35</f>
        <v>690.58900000000006</v>
      </c>
      <c r="Q36" s="350">
        <f t="shared" si="104"/>
        <v>0</v>
      </c>
      <c r="R36" s="339">
        <f t="shared" si="12"/>
        <v>1</v>
      </c>
      <c r="S36" s="318">
        <f>+収支計画!K40/1000</f>
        <v>690.58900000000006</v>
      </c>
      <c r="T36" s="462">
        <f>+PL推移!L35</f>
        <v>690.58900000000006</v>
      </c>
      <c r="U36" s="350">
        <f t="shared" si="105"/>
        <v>0</v>
      </c>
      <c r="V36" s="339">
        <f t="shared" si="13"/>
        <v>1</v>
      </c>
      <c r="W36" s="318">
        <f>+収支計画!L40/1000</f>
        <v>690.58900000000006</v>
      </c>
      <c r="X36" s="462">
        <f>+PL推移!N35</f>
        <v>690.58900000000006</v>
      </c>
      <c r="Y36" s="350">
        <f t="shared" si="106"/>
        <v>0</v>
      </c>
      <c r="Z36" s="339">
        <f t="shared" si="14"/>
        <v>1</v>
      </c>
      <c r="AA36" s="318">
        <f>+収支計画!M40/1000</f>
        <v>690.58900000000006</v>
      </c>
      <c r="AB36" s="462">
        <f>+PL推移!P35</f>
        <v>690.58900000000006</v>
      </c>
      <c r="AC36" s="350">
        <f t="shared" si="107"/>
        <v>0</v>
      </c>
      <c r="AD36" s="339">
        <f t="shared" si="15"/>
        <v>1</v>
      </c>
      <c r="AE36" s="318">
        <f>+収支計画!N40/1000</f>
        <v>690.58900000000006</v>
      </c>
      <c r="AF36" s="462">
        <f>+PL推移!R35</f>
        <v>690.58900000000006</v>
      </c>
      <c r="AG36" s="350">
        <f t="shared" si="108"/>
        <v>0</v>
      </c>
      <c r="AH36" s="339">
        <f t="shared" si="16"/>
        <v>1</v>
      </c>
      <c r="AI36" s="318">
        <f>+収支計画!O40/1000</f>
        <v>690.58900000000006</v>
      </c>
      <c r="AJ36" s="462">
        <f>+PL推移!T35</f>
        <v>690.58900000000006</v>
      </c>
      <c r="AK36" s="350">
        <f t="shared" si="109"/>
        <v>0</v>
      </c>
      <c r="AL36" s="370">
        <f t="shared" si="17"/>
        <v>1</v>
      </c>
      <c r="AM36" s="318">
        <f>+収支計画!P40/1000</f>
        <v>690.58900000000006</v>
      </c>
      <c r="AN36" s="462">
        <f>+PL推移!V35</f>
        <v>690.58900000000006</v>
      </c>
      <c r="AO36" s="350">
        <f t="shared" si="18"/>
        <v>0</v>
      </c>
      <c r="AP36" s="370">
        <f t="shared" si="19"/>
        <v>1</v>
      </c>
      <c r="AQ36" s="318">
        <f>+収支計画!Q40/1000</f>
        <v>690.58900000000006</v>
      </c>
      <c r="AR36" s="462">
        <f>+PL推移!X35</f>
        <v>690.58900000000006</v>
      </c>
      <c r="AS36" s="350">
        <f t="shared" si="20"/>
        <v>0</v>
      </c>
      <c r="AT36" s="370">
        <f t="shared" si="21"/>
        <v>1</v>
      </c>
      <c r="AU36" s="318">
        <f>+収支計画!R40/1000</f>
        <v>690.58900000000006</v>
      </c>
      <c r="AV36" s="360">
        <f>+PL推移!Z35</f>
        <v>690.58900000000006</v>
      </c>
      <c r="AW36" s="350">
        <f t="shared" si="22"/>
        <v>0</v>
      </c>
      <c r="AX36" s="370">
        <f t="shared" si="23"/>
        <v>1</v>
      </c>
      <c r="AY36" s="421">
        <f t="shared" si="24"/>
        <v>8405.7980000000007</v>
      </c>
      <c r="AZ36" s="439">
        <f t="shared" si="25"/>
        <v>8287.0680000000011</v>
      </c>
      <c r="BA36" s="319">
        <f t="shared" si="26"/>
        <v>-118.72999999999956</v>
      </c>
      <c r="BB36" s="506">
        <f t="shared" si="27"/>
        <v>0.98587522564782071</v>
      </c>
    </row>
    <row r="37" spans="2:55">
      <c r="B37" s="5" t="s">
        <v>234</v>
      </c>
      <c r="C37" s="421">
        <f>+収支計画!G41/1000</f>
        <v>30</v>
      </c>
      <c r="D37" s="439">
        <f>+PL推移!D36</f>
        <v>30</v>
      </c>
      <c r="E37" s="319">
        <f t="shared" si="101"/>
        <v>0</v>
      </c>
      <c r="F37" s="339">
        <f t="shared" si="9"/>
        <v>1</v>
      </c>
      <c r="G37" s="430">
        <f>+収支計画!H41/1000</f>
        <v>30</v>
      </c>
      <c r="H37" s="439">
        <f>+PL推移!F36</f>
        <v>30</v>
      </c>
      <c r="I37" s="319">
        <f t="shared" si="102"/>
        <v>0</v>
      </c>
      <c r="J37" s="370">
        <f t="shared" si="10"/>
        <v>1</v>
      </c>
      <c r="K37" s="318">
        <f>+収支計画!I41/1000</f>
        <v>30</v>
      </c>
      <c r="L37" s="462">
        <f>+PL推移!H36</f>
        <v>30</v>
      </c>
      <c r="M37" s="350">
        <f t="shared" si="103"/>
        <v>0</v>
      </c>
      <c r="N37" s="339">
        <f t="shared" si="11"/>
        <v>1</v>
      </c>
      <c r="O37" s="318">
        <f>+収支計画!J41/1000</f>
        <v>30</v>
      </c>
      <c r="P37" s="462">
        <f>+PL推移!J36</f>
        <v>30</v>
      </c>
      <c r="Q37" s="350">
        <f t="shared" si="104"/>
        <v>0</v>
      </c>
      <c r="R37" s="339">
        <f t="shared" si="12"/>
        <v>1</v>
      </c>
      <c r="S37" s="318">
        <f>+収支計画!K41/1000</f>
        <v>30</v>
      </c>
      <c r="T37" s="462">
        <f>+PL推移!L36</f>
        <v>30</v>
      </c>
      <c r="U37" s="350">
        <f t="shared" si="105"/>
        <v>0</v>
      </c>
      <c r="V37" s="339">
        <f t="shared" si="13"/>
        <v>1</v>
      </c>
      <c r="W37" s="318">
        <f>+収支計画!L41/1000</f>
        <v>30</v>
      </c>
      <c r="X37" s="462">
        <f>+PL推移!N36</f>
        <v>30</v>
      </c>
      <c r="Y37" s="350">
        <f t="shared" si="106"/>
        <v>0</v>
      </c>
      <c r="Z37" s="339">
        <f t="shared" si="14"/>
        <v>1</v>
      </c>
      <c r="AA37" s="318">
        <f>+収支計画!M41/1000</f>
        <v>30</v>
      </c>
      <c r="AB37" s="462">
        <f>+PL推移!P36</f>
        <v>30</v>
      </c>
      <c r="AC37" s="350">
        <f t="shared" si="107"/>
        <v>0</v>
      </c>
      <c r="AD37" s="339">
        <f t="shared" si="15"/>
        <v>1</v>
      </c>
      <c r="AE37" s="318">
        <f>+収支計画!N41/1000</f>
        <v>30</v>
      </c>
      <c r="AF37" s="462">
        <f>+PL推移!R36</f>
        <v>30</v>
      </c>
      <c r="AG37" s="350">
        <f t="shared" si="108"/>
        <v>0</v>
      </c>
      <c r="AH37" s="339">
        <f t="shared" si="16"/>
        <v>1</v>
      </c>
      <c r="AI37" s="318">
        <f>+収支計画!O41/1000</f>
        <v>30</v>
      </c>
      <c r="AJ37" s="462">
        <f>+PL推移!T36</f>
        <v>30</v>
      </c>
      <c r="AK37" s="350">
        <f t="shared" si="109"/>
        <v>0</v>
      </c>
      <c r="AL37" s="370">
        <f t="shared" si="17"/>
        <v>1</v>
      </c>
      <c r="AM37" s="318">
        <f>+収支計画!P41/1000</f>
        <v>30</v>
      </c>
      <c r="AN37" s="462">
        <f>+PL推移!V36</f>
        <v>30</v>
      </c>
      <c r="AO37" s="350">
        <f t="shared" si="18"/>
        <v>0</v>
      </c>
      <c r="AP37" s="370">
        <f t="shared" si="19"/>
        <v>1</v>
      </c>
      <c r="AQ37" s="318">
        <f>+収支計画!Q41/1000</f>
        <v>30</v>
      </c>
      <c r="AR37" s="462">
        <f>+PL推移!X36</f>
        <v>30</v>
      </c>
      <c r="AS37" s="350">
        <f t="shared" si="20"/>
        <v>0</v>
      </c>
      <c r="AT37" s="370">
        <f t="shared" si="21"/>
        <v>1</v>
      </c>
      <c r="AU37" s="318">
        <f>+収支計画!R41/1000</f>
        <v>30</v>
      </c>
      <c r="AV37" s="360">
        <f>+PL推移!Z36</f>
        <v>30</v>
      </c>
      <c r="AW37" s="350">
        <f t="shared" si="22"/>
        <v>0</v>
      </c>
      <c r="AX37" s="370">
        <f t="shared" si="23"/>
        <v>1</v>
      </c>
      <c r="AY37" s="421">
        <f t="shared" si="24"/>
        <v>360</v>
      </c>
      <c r="AZ37" s="439">
        <f t="shared" si="25"/>
        <v>360</v>
      </c>
      <c r="BA37" s="319">
        <f t="shared" si="26"/>
        <v>0</v>
      </c>
      <c r="BB37" s="506">
        <f t="shared" si="27"/>
        <v>1</v>
      </c>
    </row>
    <row r="38" spans="2:55">
      <c r="B38" s="5" t="s">
        <v>235</v>
      </c>
      <c r="C38" s="421">
        <f>+収支計画!G42/1000</f>
        <v>1645.6610000000001</v>
      </c>
      <c r="D38" s="439">
        <f>+PL推移!D37</f>
        <v>1645.6610000000001</v>
      </c>
      <c r="E38" s="319">
        <f t="shared" si="101"/>
        <v>0</v>
      </c>
      <c r="F38" s="339">
        <f t="shared" si="9"/>
        <v>1</v>
      </c>
      <c r="G38" s="430">
        <f>+収支計画!H42/1000</f>
        <v>1645.6610000000001</v>
      </c>
      <c r="H38" s="439">
        <f>+PL推移!F37</f>
        <v>1645.6610000000001</v>
      </c>
      <c r="I38" s="319">
        <f t="shared" si="102"/>
        <v>0</v>
      </c>
      <c r="J38" s="370">
        <f t="shared" si="10"/>
        <v>1</v>
      </c>
      <c r="K38" s="318">
        <f>+収支計画!I42/1000</f>
        <v>1645.6610000000001</v>
      </c>
      <c r="L38" s="462">
        <f>+PL推移!H37</f>
        <v>1645.6610000000001</v>
      </c>
      <c r="M38" s="350">
        <f t="shared" si="103"/>
        <v>0</v>
      </c>
      <c r="N38" s="339">
        <f t="shared" si="11"/>
        <v>1</v>
      </c>
      <c r="O38" s="318">
        <f>+収支計画!J42/1000</f>
        <v>1645.6610000000001</v>
      </c>
      <c r="P38" s="462">
        <f>+PL推移!J37</f>
        <v>1645.6610000000001</v>
      </c>
      <c r="Q38" s="350">
        <f t="shared" si="104"/>
        <v>0</v>
      </c>
      <c r="R38" s="339">
        <f t="shared" si="12"/>
        <v>1</v>
      </c>
      <c r="S38" s="318">
        <f>+収支計画!K42/1000</f>
        <v>1645.6610000000001</v>
      </c>
      <c r="T38" s="462">
        <f>+PL推移!L37</f>
        <v>1645.6610000000001</v>
      </c>
      <c r="U38" s="350">
        <f t="shared" si="105"/>
        <v>0</v>
      </c>
      <c r="V38" s="339">
        <f t="shared" si="13"/>
        <v>1</v>
      </c>
      <c r="W38" s="318">
        <f>+収支計画!L42/1000</f>
        <v>1645.6610000000001</v>
      </c>
      <c r="X38" s="462">
        <f>+PL推移!N37</f>
        <v>1645.6610000000001</v>
      </c>
      <c r="Y38" s="350">
        <f t="shared" si="106"/>
        <v>0</v>
      </c>
      <c r="Z38" s="339">
        <f t="shared" si="14"/>
        <v>1</v>
      </c>
      <c r="AA38" s="318">
        <f>+収支計画!M42/1000</f>
        <v>1645.6610000000001</v>
      </c>
      <c r="AB38" s="462">
        <f>+PL推移!P37</f>
        <v>1645.6610000000001</v>
      </c>
      <c r="AC38" s="350">
        <f t="shared" si="107"/>
        <v>0</v>
      </c>
      <c r="AD38" s="339">
        <f t="shared" si="15"/>
        <v>1</v>
      </c>
      <c r="AE38" s="318">
        <f>+収支計画!N42/1000</f>
        <v>1645.6610000000001</v>
      </c>
      <c r="AF38" s="462">
        <f>+PL推移!R37</f>
        <v>1645.6610000000001</v>
      </c>
      <c r="AG38" s="350">
        <f t="shared" si="108"/>
        <v>0</v>
      </c>
      <c r="AH38" s="339">
        <f t="shared" si="16"/>
        <v>1</v>
      </c>
      <c r="AI38" s="318">
        <f>+収支計画!O42/1000</f>
        <v>1645.6610000000001</v>
      </c>
      <c r="AJ38" s="462">
        <f>+PL推移!T37</f>
        <v>1645.6610000000001</v>
      </c>
      <c r="AK38" s="350">
        <f t="shared" si="109"/>
        <v>0</v>
      </c>
      <c r="AL38" s="370">
        <f t="shared" si="17"/>
        <v>1</v>
      </c>
      <c r="AM38" s="318">
        <f>+収支計画!P42/1000</f>
        <v>1645.6610000000001</v>
      </c>
      <c r="AN38" s="462">
        <f>+PL推移!V37</f>
        <v>1645.6610000000001</v>
      </c>
      <c r="AO38" s="350">
        <f t="shared" si="18"/>
        <v>0</v>
      </c>
      <c r="AP38" s="370">
        <f t="shared" si="19"/>
        <v>1</v>
      </c>
      <c r="AQ38" s="318">
        <f>+収支計画!Q42/1000</f>
        <v>1645.6610000000001</v>
      </c>
      <c r="AR38" s="462">
        <f>+PL推移!X37</f>
        <v>1645.6610000000001</v>
      </c>
      <c r="AS38" s="350">
        <f t="shared" si="20"/>
        <v>0</v>
      </c>
      <c r="AT38" s="370">
        <f t="shared" si="21"/>
        <v>1</v>
      </c>
      <c r="AU38" s="318">
        <f>+収支計画!R42/1000</f>
        <v>1645.6610000000001</v>
      </c>
      <c r="AV38" s="360">
        <f>+PL推移!Z37</f>
        <v>1645.6610000000001</v>
      </c>
      <c r="AW38" s="350">
        <f t="shared" si="22"/>
        <v>0</v>
      </c>
      <c r="AX38" s="370">
        <f t="shared" si="23"/>
        <v>1</v>
      </c>
      <c r="AY38" s="421">
        <f t="shared" si="24"/>
        <v>19747.932000000001</v>
      </c>
      <c r="AZ38" s="439">
        <f t="shared" si="25"/>
        <v>19747.932000000001</v>
      </c>
      <c r="BA38" s="319">
        <f t="shared" si="26"/>
        <v>0</v>
      </c>
      <c r="BB38" s="506">
        <f t="shared" si="27"/>
        <v>1</v>
      </c>
    </row>
    <row r="39" spans="2:55">
      <c r="B39" s="5" t="s">
        <v>236</v>
      </c>
      <c r="C39" s="421">
        <f>+収支計画!G43/1000</f>
        <v>49.7</v>
      </c>
      <c r="D39" s="439">
        <f>+PL推移!D38</f>
        <v>49.7</v>
      </c>
      <c r="E39" s="319">
        <f t="shared" si="101"/>
        <v>0</v>
      </c>
      <c r="F39" s="339">
        <f t="shared" si="9"/>
        <v>1</v>
      </c>
      <c r="G39" s="430">
        <f>+収支計画!H43/1000</f>
        <v>49.7</v>
      </c>
      <c r="H39" s="439">
        <f>+PL推移!F38</f>
        <v>49.7</v>
      </c>
      <c r="I39" s="319">
        <f t="shared" si="102"/>
        <v>0</v>
      </c>
      <c r="J39" s="370">
        <f t="shared" si="10"/>
        <v>1</v>
      </c>
      <c r="K39" s="318">
        <f>+収支計画!I43/1000</f>
        <v>49.7</v>
      </c>
      <c r="L39" s="462">
        <f>+PL推移!H38</f>
        <v>49.7</v>
      </c>
      <c r="M39" s="350">
        <f t="shared" si="103"/>
        <v>0</v>
      </c>
      <c r="N39" s="339">
        <f t="shared" si="11"/>
        <v>1</v>
      </c>
      <c r="O39" s="318">
        <f>+収支計画!J43/1000</f>
        <v>49.7</v>
      </c>
      <c r="P39" s="462">
        <f>+PL推移!J38</f>
        <v>49.7</v>
      </c>
      <c r="Q39" s="350">
        <f t="shared" si="104"/>
        <v>0</v>
      </c>
      <c r="R39" s="339">
        <f t="shared" si="12"/>
        <v>1</v>
      </c>
      <c r="S39" s="318">
        <f>+収支計画!K43/1000</f>
        <v>49.7</v>
      </c>
      <c r="T39" s="462">
        <f>+PL推移!L38</f>
        <v>49.7</v>
      </c>
      <c r="U39" s="350">
        <f t="shared" si="105"/>
        <v>0</v>
      </c>
      <c r="V39" s="339">
        <f t="shared" si="13"/>
        <v>1</v>
      </c>
      <c r="W39" s="318">
        <f>+収支計画!L43/1000</f>
        <v>49.7</v>
      </c>
      <c r="X39" s="462">
        <f>+PL推移!N38</f>
        <v>49.7</v>
      </c>
      <c r="Y39" s="350">
        <f t="shared" si="106"/>
        <v>0</v>
      </c>
      <c r="Z39" s="339">
        <f t="shared" si="14"/>
        <v>1</v>
      </c>
      <c r="AA39" s="318">
        <f>+収支計画!M43/1000</f>
        <v>49.7</v>
      </c>
      <c r="AB39" s="462">
        <f>+PL推移!P38</f>
        <v>49.7</v>
      </c>
      <c r="AC39" s="350">
        <f t="shared" si="107"/>
        <v>0</v>
      </c>
      <c r="AD39" s="339">
        <f t="shared" si="15"/>
        <v>1</v>
      </c>
      <c r="AE39" s="318">
        <f>+収支計画!N43/1000</f>
        <v>49.7</v>
      </c>
      <c r="AF39" s="462">
        <f>+PL推移!R38</f>
        <v>49.7</v>
      </c>
      <c r="AG39" s="350">
        <f t="shared" si="108"/>
        <v>0</v>
      </c>
      <c r="AH39" s="339">
        <f t="shared" si="16"/>
        <v>1</v>
      </c>
      <c r="AI39" s="318">
        <f>+収支計画!O43/1000</f>
        <v>49.7</v>
      </c>
      <c r="AJ39" s="462">
        <f>+PL推移!T38</f>
        <v>49.7</v>
      </c>
      <c r="AK39" s="350">
        <f t="shared" si="109"/>
        <v>0</v>
      </c>
      <c r="AL39" s="370">
        <f t="shared" si="17"/>
        <v>1</v>
      </c>
      <c r="AM39" s="318">
        <f>+収支計画!P43/1000</f>
        <v>49.7</v>
      </c>
      <c r="AN39" s="462">
        <f>+PL推移!V38</f>
        <v>49.7</v>
      </c>
      <c r="AO39" s="350">
        <f t="shared" si="18"/>
        <v>0</v>
      </c>
      <c r="AP39" s="370">
        <f t="shared" si="19"/>
        <v>1</v>
      </c>
      <c r="AQ39" s="318">
        <f>+収支計画!Q43/1000</f>
        <v>49.7</v>
      </c>
      <c r="AR39" s="462">
        <f>+PL推移!X38</f>
        <v>77.900000000000006</v>
      </c>
      <c r="AS39" s="350">
        <f t="shared" si="20"/>
        <v>28.200000000000003</v>
      </c>
      <c r="AT39" s="370">
        <f t="shared" si="21"/>
        <v>1.5674044265593561</v>
      </c>
      <c r="AU39" s="318">
        <f>+収支計画!R43/1000</f>
        <v>49.7</v>
      </c>
      <c r="AV39" s="360">
        <f>+PL推移!Z38</f>
        <v>49.7</v>
      </c>
      <c r="AW39" s="350">
        <f t="shared" si="22"/>
        <v>0</v>
      </c>
      <c r="AX39" s="370">
        <f t="shared" si="23"/>
        <v>1</v>
      </c>
      <c r="AY39" s="421">
        <f t="shared" si="24"/>
        <v>596.4</v>
      </c>
      <c r="AZ39" s="439">
        <f t="shared" si="25"/>
        <v>624.6</v>
      </c>
      <c r="BA39" s="319">
        <f t="shared" si="26"/>
        <v>28.200000000000045</v>
      </c>
      <c r="BB39" s="506">
        <f t="shared" si="27"/>
        <v>1.0472837022132797</v>
      </c>
    </row>
    <row r="40" spans="2:55">
      <c r="B40" s="5" t="s">
        <v>237</v>
      </c>
      <c r="C40" s="421">
        <f>+収支計画!G44/1000</f>
        <v>10</v>
      </c>
      <c r="D40" s="439">
        <f>+PL推移!D39</f>
        <v>13.5</v>
      </c>
      <c r="E40" s="319">
        <f t="shared" si="101"/>
        <v>3.5</v>
      </c>
      <c r="F40" s="339">
        <f t="shared" si="9"/>
        <v>1.35</v>
      </c>
      <c r="G40" s="430">
        <f>+収支計画!H44/1000</f>
        <v>10</v>
      </c>
      <c r="H40" s="439">
        <f>+PL推移!F39</f>
        <v>57.3</v>
      </c>
      <c r="I40" s="319">
        <f t="shared" si="102"/>
        <v>47.3</v>
      </c>
      <c r="J40" s="370">
        <f t="shared" si="10"/>
        <v>5.7299999999999995</v>
      </c>
      <c r="K40" s="318">
        <f>+収支計画!I44/1000</f>
        <v>10</v>
      </c>
      <c r="L40" s="462">
        <f>+PL推移!H39</f>
        <v>15</v>
      </c>
      <c r="M40" s="350">
        <f t="shared" si="103"/>
        <v>5</v>
      </c>
      <c r="N40" s="339">
        <f t="shared" si="11"/>
        <v>1.5</v>
      </c>
      <c r="O40" s="318">
        <f>+収支計画!J44/1000</f>
        <v>10</v>
      </c>
      <c r="P40" s="462">
        <f>+PL推移!J39</f>
        <v>0</v>
      </c>
      <c r="Q40" s="350">
        <f t="shared" si="104"/>
        <v>-10</v>
      </c>
      <c r="R40" s="339">
        <f t="shared" si="12"/>
        <v>0</v>
      </c>
      <c r="S40" s="318">
        <f>+収支計画!K44/1000</f>
        <v>10</v>
      </c>
      <c r="T40" s="462">
        <f>+PL推移!L39</f>
        <v>20</v>
      </c>
      <c r="U40" s="350">
        <f t="shared" si="105"/>
        <v>10</v>
      </c>
      <c r="V40" s="339">
        <f t="shared" si="13"/>
        <v>2</v>
      </c>
      <c r="W40" s="318">
        <f>+収支計画!L44/1000</f>
        <v>10</v>
      </c>
      <c r="X40" s="462">
        <f>+PL推移!N39</f>
        <v>19</v>
      </c>
      <c r="Y40" s="350">
        <f t="shared" si="106"/>
        <v>9</v>
      </c>
      <c r="Z40" s="339">
        <f t="shared" si="14"/>
        <v>1.9</v>
      </c>
      <c r="AA40" s="318">
        <f>+収支計画!M44/1000</f>
        <v>10</v>
      </c>
      <c r="AB40" s="462">
        <f>+PL推移!P39</f>
        <v>17</v>
      </c>
      <c r="AC40" s="350">
        <f t="shared" si="107"/>
        <v>7</v>
      </c>
      <c r="AD40" s="339">
        <f t="shared" si="15"/>
        <v>1.7</v>
      </c>
      <c r="AE40" s="318">
        <f>+収支計画!N44/1000</f>
        <v>10</v>
      </c>
      <c r="AF40" s="462">
        <f>+PL推移!R39</f>
        <v>90.91</v>
      </c>
      <c r="AG40" s="350">
        <f t="shared" si="108"/>
        <v>80.91</v>
      </c>
      <c r="AH40" s="339">
        <f t="shared" si="16"/>
        <v>9.0909999999999993</v>
      </c>
      <c r="AI40" s="318">
        <f>+収支計画!O44/1000</f>
        <v>10</v>
      </c>
      <c r="AJ40" s="462">
        <f>+PL推移!T39</f>
        <v>0</v>
      </c>
      <c r="AK40" s="350">
        <f t="shared" si="109"/>
        <v>-10</v>
      </c>
      <c r="AL40" s="370">
        <f t="shared" si="17"/>
        <v>0</v>
      </c>
      <c r="AM40" s="318">
        <f>+収支計画!P44/1000</f>
        <v>10</v>
      </c>
      <c r="AN40" s="462">
        <f>+PL推移!V39</f>
        <v>0</v>
      </c>
      <c r="AO40" s="350">
        <f t="shared" si="18"/>
        <v>-10</v>
      </c>
      <c r="AP40" s="370">
        <f t="shared" si="19"/>
        <v>0</v>
      </c>
      <c r="AQ40" s="318">
        <f>+収支計画!Q44/1000</f>
        <v>10</v>
      </c>
      <c r="AR40" s="462">
        <f>+PL推移!X39</f>
        <v>0</v>
      </c>
      <c r="AS40" s="350">
        <f t="shared" si="20"/>
        <v>-10</v>
      </c>
      <c r="AT40" s="370">
        <f t="shared" si="21"/>
        <v>0</v>
      </c>
      <c r="AU40" s="318">
        <f>+収支計画!R44/1000</f>
        <v>10</v>
      </c>
      <c r="AV40" s="360">
        <f>+PL推移!Z39</f>
        <v>15</v>
      </c>
      <c r="AW40" s="350">
        <f t="shared" si="22"/>
        <v>5</v>
      </c>
      <c r="AX40" s="370">
        <f t="shared" si="23"/>
        <v>1.5</v>
      </c>
      <c r="AY40" s="421">
        <f t="shared" si="24"/>
        <v>120</v>
      </c>
      <c r="AZ40" s="439">
        <f t="shared" si="25"/>
        <v>247.71</v>
      </c>
      <c r="BA40" s="319">
        <f t="shared" si="26"/>
        <v>127.71000000000001</v>
      </c>
      <c r="BB40" s="506">
        <f t="shared" si="27"/>
        <v>2.0642499999999999</v>
      </c>
    </row>
    <row r="41" spans="2:55">
      <c r="B41" s="5" t="s">
        <v>238</v>
      </c>
      <c r="C41" s="421">
        <f>+収支計画!G45/1000</f>
        <v>22.215</v>
      </c>
      <c r="D41" s="439">
        <f>+PL推移!D40</f>
        <v>22.215</v>
      </c>
      <c r="E41" s="319">
        <f t="shared" si="101"/>
        <v>0</v>
      </c>
      <c r="F41" s="339">
        <f t="shared" si="9"/>
        <v>1</v>
      </c>
      <c r="G41" s="430">
        <f>+収支計画!H45/1000</f>
        <v>22.215</v>
      </c>
      <c r="H41" s="439">
        <f>+PL推移!F40</f>
        <v>22.215</v>
      </c>
      <c r="I41" s="319">
        <f t="shared" si="102"/>
        <v>0</v>
      </c>
      <c r="J41" s="370">
        <f t="shared" si="10"/>
        <v>1</v>
      </c>
      <c r="K41" s="318">
        <f>+収支計画!I45/1000</f>
        <v>22.215</v>
      </c>
      <c r="L41" s="462">
        <f>+PL推移!H40</f>
        <v>22.215</v>
      </c>
      <c r="M41" s="350">
        <f t="shared" si="103"/>
        <v>0</v>
      </c>
      <c r="N41" s="339">
        <f t="shared" si="11"/>
        <v>1</v>
      </c>
      <c r="O41" s="318">
        <f>+収支計画!J45/1000</f>
        <v>22.215</v>
      </c>
      <c r="P41" s="462">
        <f>+PL推移!J40</f>
        <v>22.215</v>
      </c>
      <c r="Q41" s="350">
        <f t="shared" si="104"/>
        <v>0</v>
      </c>
      <c r="R41" s="339">
        <f t="shared" si="12"/>
        <v>1</v>
      </c>
      <c r="S41" s="318">
        <f>+収支計画!K45/1000</f>
        <v>22.215</v>
      </c>
      <c r="T41" s="462">
        <f>+PL推移!L40</f>
        <v>22.215</v>
      </c>
      <c r="U41" s="350">
        <f t="shared" si="105"/>
        <v>0</v>
      </c>
      <c r="V41" s="339">
        <f t="shared" si="13"/>
        <v>1</v>
      </c>
      <c r="W41" s="318">
        <f>+収支計画!L45/1000</f>
        <v>22.215</v>
      </c>
      <c r="X41" s="462">
        <f>+PL推移!N40</f>
        <v>28.375</v>
      </c>
      <c r="Y41" s="350">
        <f t="shared" si="106"/>
        <v>6.16</v>
      </c>
      <c r="Z41" s="339">
        <f t="shared" si="14"/>
        <v>1.2772901192887689</v>
      </c>
      <c r="AA41" s="318">
        <f>+収支計画!M45/1000</f>
        <v>22.215</v>
      </c>
      <c r="AB41" s="462">
        <f>+PL推移!P40</f>
        <v>28.375</v>
      </c>
      <c r="AC41" s="350">
        <f t="shared" si="107"/>
        <v>6.16</v>
      </c>
      <c r="AD41" s="339">
        <f t="shared" si="15"/>
        <v>1.2772901192887689</v>
      </c>
      <c r="AE41" s="318">
        <f>+収支計画!N45/1000</f>
        <v>22.215</v>
      </c>
      <c r="AF41" s="462">
        <f>+PL推移!R40</f>
        <v>28.375</v>
      </c>
      <c r="AG41" s="350">
        <f t="shared" si="108"/>
        <v>6.16</v>
      </c>
      <c r="AH41" s="339">
        <f t="shared" si="16"/>
        <v>1.2772901192887689</v>
      </c>
      <c r="AI41" s="318">
        <f>+収支計画!O45/1000</f>
        <v>22.215</v>
      </c>
      <c r="AJ41" s="462">
        <f>+PL推移!T40</f>
        <v>28.375</v>
      </c>
      <c r="AK41" s="350">
        <f t="shared" si="109"/>
        <v>6.16</v>
      </c>
      <c r="AL41" s="370">
        <f t="shared" si="17"/>
        <v>1.2772901192887689</v>
      </c>
      <c r="AM41" s="318">
        <f>+収支計画!P45/1000</f>
        <v>22.215</v>
      </c>
      <c r="AN41" s="462">
        <f>+PL推移!V40</f>
        <v>28.375</v>
      </c>
      <c r="AO41" s="350">
        <f t="shared" si="18"/>
        <v>6.16</v>
      </c>
      <c r="AP41" s="370">
        <f t="shared" si="19"/>
        <v>1.2772901192887689</v>
      </c>
      <c r="AQ41" s="318">
        <f>+収支計画!Q45/1000</f>
        <v>22.215</v>
      </c>
      <c r="AR41" s="462">
        <f>+PL推移!X40</f>
        <v>28.375</v>
      </c>
      <c r="AS41" s="350">
        <f t="shared" si="20"/>
        <v>6.16</v>
      </c>
      <c r="AT41" s="370">
        <f t="shared" si="21"/>
        <v>1.2772901192887689</v>
      </c>
      <c r="AU41" s="318">
        <f>+収支計画!R45/1000</f>
        <v>22.215</v>
      </c>
      <c r="AV41" s="360">
        <f>+PL推移!Z40</f>
        <v>28.375</v>
      </c>
      <c r="AW41" s="350">
        <f t="shared" si="22"/>
        <v>6.16</v>
      </c>
      <c r="AX41" s="370">
        <f t="shared" si="23"/>
        <v>1.2772901192887689</v>
      </c>
      <c r="AY41" s="421">
        <f t="shared" si="24"/>
        <v>266.58</v>
      </c>
      <c r="AZ41" s="439">
        <f t="shared" si="25"/>
        <v>309.7</v>
      </c>
      <c r="BA41" s="319">
        <f t="shared" si="26"/>
        <v>43.120000000000005</v>
      </c>
      <c r="BB41" s="506">
        <f t="shared" si="27"/>
        <v>1.1617525695851152</v>
      </c>
    </row>
    <row r="42" spans="2:55">
      <c r="B42" s="5" t="s">
        <v>239</v>
      </c>
      <c r="C42" s="421">
        <f>+収支計画!G46/1000</f>
        <v>860</v>
      </c>
      <c r="D42" s="439">
        <f>+PL推移!D41</f>
        <v>1055.0150000000001</v>
      </c>
      <c r="E42" s="319">
        <f t="shared" si="101"/>
        <v>195.0150000000001</v>
      </c>
      <c r="F42" s="339">
        <f t="shared" si="9"/>
        <v>1.2267616279069768</v>
      </c>
      <c r="G42" s="430">
        <f>+収支計画!H46/1000</f>
        <v>860</v>
      </c>
      <c r="H42" s="439">
        <f>+PL推移!F41</f>
        <v>1104.21</v>
      </c>
      <c r="I42" s="319">
        <f t="shared" si="102"/>
        <v>244.21000000000004</v>
      </c>
      <c r="J42" s="370">
        <f t="shared" si="10"/>
        <v>1.2839651162790697</v>
      </c>
      <c r="K42" s="318">
        <f>+収支計画!I46/1000</f>
        <v>860</v>
      </c>
      <c r="L42" s="462">
        <f>+PL推移!H41</f>
        <v>968.20899999999995</v>
      </c>
      <c r="M42" s="350">
        <f t="shared" si="103"/>
        <v>108.20899999999995</v>
      </c>
      <c r="N42" s="339">
        <f t="shared" si="11"/>
        <v>1.1258244186046511</v>
      </c>
      <c r="O42" s="318">
        <f>+収支計画!J46/1000</f>
        <v>860</v>
      </c>
      <c r="P42" s="462">
        <f>+PL推移!J41</f>
        <v>757.6</v>
      </c>
      <c r="Q42" s="350">
        <f t="shared" si="104"/>
        <v>-102.39999999999998</v>
      </c>
      <c r="R42" s="339">
        <f t="shared" si="12"/>
        <v>0.88093023255813951</v>
      </c>
      <c r="S42" s="318">
        <f>+収支計画!K46/1000</f>
        <v>860</v>
      </c>
      <c r="T42" s="462">
        <f>+PL推移!L41</f>
        <v>878.36400000000003</v>
      </c>
      <c r="U42" s="350">
        <f t="shared" si="105"/>
        <v>18.364000000000033</v>
      </c>
      <c r="V42" s="339">
        <f t="shared" si="13"/>
        <v>1.0213534883720932</v>
      </c>
      <c r="W42" s="318">
        <f>+収支計画!L46/1000</f>
        <v>1060</v>
      </c>
      <c r="X42" s="462">
        <f>+PL推移!N41</f>
        <v>1110.021</v>
      </c>
      <c r="Y42" s="350">
        <f t="shared" si="106"/>
        <v>50.020999999999958</v>
      </c>
      <c r="Z42" s="339">
        <f t="shared" si="14"/>
        <v>1.0471896226415094</v>
      </c>
      <c r="AA42" s="318">
        <f>+収支計画!M46/1000</f>
        <v>860</v>
      </c>
      <c r="AB42" s="462">
        <f>+PL推移!P41</f>
        <v>1144.6120000000001</v>
      </c>
      <c r="AC42" s="391">
        <f t="shared" si="107"/>
        <v>284.61200000000008</v>
      </c>
      <c r="AD42" s="339">
        <f t="shared" si="15"/>
        <v>1.3309441860465117</v>
      </c>
      <c r="AE42" s="318">
        <f>+収支計画!N46/1000</f>
        <v>860</v>
      </c>
      <c r="AF42" s="462">
        <f>+PL推移!R41</f>
        <v>1235.761</v>
      </c>
      <c r="AG42" s="391">
        <f t="shared" si="108"/>
        <v>375.76099999999997</v>
      </c>
      <c r="AH42" s="339">
        <f t="shared" si="16"/>
        <v>1.4369313953488372</v>
      </c>
      <c r="AI42" s="318">
        <f>+収支計画!O46/1000</f>
        <v>980</v>
      </c>
      <c r="AJ42" s="462">
        <f>+PL推移!T41</f>
        <v>1093.6469999999999</v>
      </c>
      <c r="AK42" s="391">
        <f t="shared" si="109"/>
        <v>113.64699999999993</v>
      </c>
      <c r="AL42" s="370">
        <f t="shared" si="17"/>
        <v>1.1159663265306121</v>
      </c>
      <c r="AM42" s="318">
        <f>+収支計画!P46/1000</f>
        <v>860</v>
      </c>
      <c r="AN42" s="462">
        <f>+PL推移!V41</f>
        <v>804.33100000000002</v>
      </c>
      <c r="AO42" s="391">
        <f t="shared" si="18"/>
        <v>-55.668999999999983</v>
      </c>
      <c r="AP42" s="370">
        <f t="shared" si="19"/>
        <v>0.93526860465116279</v>
      </c>
      <c r="AQ42" s="318">
        <f>+収支計画!Q46/1000</f>
        <v>860</v>
      </c>
      <c r="AR42" s="462">
        <f>+PL推移!X41</f>
        <v>719.82799999999997</v>
      </c>
      <c r="AS42" s="391">
        <f t="shared" si="20"/>
        <v>-140.17200000000003</v>
      </c>
      <c r="AT42" s="370">
        <f t="shared" si="21"/>
        <v>0.83700930232558135</v>
      </c>
      <c r="AU42" s="318">
        <f>+収支計画!R46/1000</f>
        <v>860</v>
      </c>
      <c r="AV42" s="360">
        <f>+PL推移!Z41</f>
        <v>852.49300000000005</v>
      </c>
      <c r="AW42" s="391">
        <f t="shared" si="22"/>
        <v>-7.5069999999999482</v>
      </c>
      <c r="AX42" s="370">
        <f t="shared" si="23"/>
        <v>0.99127093023255819</v>
      </c>
      <c r="AY42" s="421">
        <f t="shared" si="24"/>
        <v>10640</v>
      </c>
      <c r="AZ42" s="439">
        <f t="shared" si="25"/>
        <v>11724.090999999999</v>
      </c>
      <c r="BA42" s="590">
        <f t="shared" si="26"/>
        <v>1084.0909999999985</v>
      </c>
      <c r="BB42" s="506">
        <f t="shared" si="27"/>
        <v>1.1018882518796991</v>
      </c>
      <c r="BC42" s="1" t="s">
        <v>498</v>
      </c>
    </row>
    <row r="43" spans="2:55">
      <c r="B43" s="5" t="s">
        <v>240</v>
      </c>
      <c r="C43" s="421">
        <f>+収支計画!G47/1000</f>
        <v>200</v>
      </c>
      <c r="D43" s="439">
        <f>+PL推移!D42</f>
        <v>332.27199999999999</v>
      </c>
      <c r="E43" s="319">
        <f t="shared" si="101"/>
        <v>132.27199999999999</v>
      </c>
      <c r="F43" s="339">
        <f t="shared" si="9"/>
        <v>1.6613599999999999</v>
      </c>
      <c r="G43" s="430">
        <f>+収支計画!H47/1000</f>
        <v>200</v>
      </c>
      <c r="H43" s="439">
        <f>+PL推移!F42</f>
        <v>162.804</v>
      </c>
      <c r="I43" s="319">
        <f t="shared" si="102"/>
        <v>-37.195999999999998</v>
      </c>
      <c r="J43" s="370">
        <f t="shared" si="10"/>
        <v>0.81401999999999997</v>
      </c>
      <c r="K43" s="318">
        <f>+収支計画!I47/1000</f>
        <v>200</v>
      </c>
      <c r="L43" s="462">
        <f>+PL推移!H42</f>
        <v>154.47399999999999</v>
      </c>
      <c r="M43" s="350">
        <f t="shared" si="103"/>
        <v>-45.52600000000001</v>
      </c>
      <c r="N43" s="339">
        <f t="shared" si="11"/>
        <v>0.77237</v>
      </c>
      <c r="O43" s="318">
        <f>+収支計画!J47/1000</f>
        <v>200</v>
      </c>
      <c r="P43" s="462">
        <f>+PL推移!J42</f>
        <v>229.11199999999999</v>
      </c>
      <c r="Q43" s="350">
        <f t="shared" si="104"/>
        <v>29.111999999999995</v>
      </c>
      <c r="R43" s="339">
        <f t="shared" si="12"/>
        <v>1.1455599999999999</v>
      </c>
      <c r="S43" s="318">
        <f>+収支計画!K47/1000</f>
        <v>200</v>
      </c>
      <c r="T43" s="462">
        <f>+PL推移!L42</f>
        <v>153.4</v>
      </c>
      <c r="U43" s="377">
        <f t="shared" si="105"/>
        <v>-46.599999999999994</v>
      </c>
      <c r="V43" s="339">
        <f t="shared" si="13"/>
        <v>0.76700000000000002</v>
      </c>
      <c r="W43" s="318">
        <f>+収支計画!L47/1000</f>
        <v>250</v>
      </c>
      <c r="X43" s="462">
        <f>+PL推移!N42</f>
        <v>227.238</v>
      </c>
      <c r="Y43" s="381">
        <f t="shared" si="106"/>
        <v>-22.762</v>
      </c>
      <c r="Z43" s="339">
        <f t="shared" si="14"/>
        <v>0.90895199999999998</v>
      </c>
      <c r="AA43" s="318">
        <f>+収支計画!M47/1000</f>
        <v>200</v>
      </c>
      <c r="AB43" s="462">
        <f>+PL推移!P42</f>
        <v>157.25299999999999</v>
      </c>
      <c r="AC43" s="381">
        <f t="shared" si="107"/>
        <v>-42.747000000000014</v>
      </c>
      <c r="AD43" s="339">
        <f t="shared" si="15"/>
        <v>0.78626499999999988</v>
      </c>
      <c r="AE43" s="318">
        <f>+収支計画!N47/1000</f>
        <v>200</v>
      </c>
      <c r="AF43" s="462">
        <f>+PL推移!R42</f>
        <v>203.697</v>
      </c>
      <c r="AG43" s="381">
        <f t="shared" si="108"/>
        <v>3.6970000000000027</v>
      </c>
      <c r="AH43" s="339">
        <f t="shared" si="16"/>
        <v>1.0184850000000001</v>
      </c>
      <c r="AI43" s="318">
        <f>+収支計画!O47/1000</f>
        <v>230</v>
      </c>
      <c r="AJ43" s="462">
        <f>+PL推移!T42</f>
        <v>158.297</v>
      </c>
      <c r="AK43" s="381">
        <f t="shared" si="109"/>
        <v>-71.703000000000003</v>
      </c>
      <c r="AL43" s="370">
        <f t="shared" si="17"/>
        <v>0.68824782608695656</v>
      </c>
      <c r="AM43" s="318">
        <f>+収支計画!P47/1000</f>
        <v>200</v>
      </c>
      <c r="AN43" s="462">
        <f>+PL推移!V42</f>
        <v>160.095</v>
      </c>
      <c r="AO43" s="381">
        <f t="shared" si="18"/>
        <v>-39.905000000000001</v>
      </c>
      <c r="AP43" s="370">
        <f t="shared" si="19"/>
        <v>0.80047500000000005</v>
      </c>
      <c r="AQ43" s="318">
        <f>+収支計画!Q47/1000</f>
        <v>200</v>
      </c>
      <c r="AR43" s="462">
        <f>+PL推移!X42</f>
        <v>127.598</v>
      </c>
      <c r="AS43" s="381">
        <f t="shared" si="20"/>
        <v>-72.402000000000001</v>
      </c>
      <c r="AT43" s="370">
        <f t="shared" si="21"/>
        <v>0.63798999999999995</v>
      </c>
      <c r="AU43" s="318">
        <f>+収支計画!R47/1000</f>
        <v>200</v>
      </c>
      <c r="AV43" s="360">
        <f>+PL推移!Z42</f>
        <v>280.82</v>
      </c>
      <c r="AW43" s="381">
        <f t="shared" si="22"/>
        <v>80.819999999999993</v>
      </c>
      <c r="AX43" s="370">
        <f t="shared" si="23"/>
        <v>1.4040999999999999</v>
      </c>
      <c r="AY43" s="421">
        <f t="shared" si="24"/>
        <v>2480</v>
      </c>
      <c r="AZ43" s="439">
        <f t="shared" si="25"/>
        <v>2347.0600000000004</v>
      </c>
      <c r="BA43" s="319">
        <f t="shared" si="26"/>
        <v>-132.9399999999996</v>
      </c>
      <c r="BB43" s="506">
        <f t="shared" si="27"/>
        <v>0.94639516129032275</v>
      </c>
    </row>
    <row r="44" spans="2:55">
      <c r="B44" s="5" t="s">
        <v>241</v>
      </c>
      <c r="C44" s="421">
        <f>+収支計画!G48/1000</f>
        <v>131</v>
      </c>
      <c r="D44" s="439">
        <f>+PL推移!D43</f>
        <v>146</v>
      </c>
      <c r="E44" s="319">
        <f t="shared" si="101"/>
        <v>15</v>
      </c>
      <c r="F44" s="339">
        <f t="shared" si="9"/>
        <v>1.1145038167938932</v>
      </c>
      <c r="G44" s="430">
        <f>+収支計画!H48/1000</f>
        <v>1</v>
      </c>
      <c r="H44" s="439">
        <f>+PL推移!F43</f>
        <v>1</v>
      </c>
      <c r="I44" s="319">
        <f t="shared" si="102"/>
        <v>0</v>
      </c>
      <c r="J44" s="370">
        <f t="shared" si="10"/>
        <v>1</v>
      </c>
      <c r="K44" s="318">
        <f>+収支計画!I48/1000</f>
        <v>131</v>
      </c>
      <c r="L44" s="462">
        <f>+PL推移!H43</f>
        <v>147</v>
      </c>
      <c r="M44" s="350">
        <f t="shared" si="103"/>
        <v>16</v>
      </c>
      <c r="N44" s="339">
        <f t="shared" si="11"/>
        <v>1.1221374045801527</v>
      </c>
      <c r="O44" s="318">
        <f>+収支計画!J48/1000</f>
        <v>1</v>
      </c>
      <c r="P44" s="462">
        <f>+PL推移!J43</f>
        <v>0</v>
      </c>
      <c r="Q44" s="350">
        <f t="shared" si="104"/>
        <v>-1</v>
      </c>
      <c r="R44" s="339">
        <f t="shared" si="12"/>
        <v>0</v>
      </c>
      <c r="S44" s="318">
        <f>+収支計画!K48/1000</f>
        <v>1</v>
      </c>
      <c r="T44" s="462">
        <f>+PL推移!L43</f>
        <v>2.4500000000000002</v>
      </c>
      <c r="U44" s="350">
        <f t="shared" si="105"/>
        <v>1.4500000000000002</v>
      </c>
      <c r="V44" s="339">
        <f t="shared" si="13"/>
        <v>2.4500000000000002</v>
      </c>
      <c r="W44" s="318">
        <f>+収支計画!L48/1000</f>
        <v>131</v>
      </c>
      <c r="X44" s="462">
        <f>+PL推移!N43</f>
        <v>148</v>
      </c>
      <c r="Y44" s="381">
        <f t="shared" si="106"/>
        <v>17</v>
      </c>
      <c r="Z44" s="339">
        <f t="shared" si="14"/>
        <v>1.1297709923664123</v>
      </c>
      <c r="AA44" s="318">
        <f>+収支計画!M48/1000</f>
        <v>1</v>
      </c>
      <c r="AB44" s="462">
        <f>+PL推移!P43</f>
        <v>0</v>
      </c>
      <c r="AC44" s="377">
        <f t="shared" si="107"/>
        <v>-1</v>
      </c>
      <c r="AD44" s="339">
        <f t="shared" si="15"/>
        <v>0</v>
      </c>
      <c r="AE44" s="318">
        <f>+収支計画!N48/1000</f>
        <v>1</v>
      </c>
      <c r="AF44" s="462">
        <f>+PL推移!R43</f>
        <v>0</v>
      </c>
      <c r="AG44" s="381">
        <f t="shared" si="108"/>
        <v>-1</v>
      </c>
      <c r="AH44" s="339">
        <f t="shared" si="16"/>
        <v>0</v>
      </c>
      <c r="AI44" s="318">
        <f>+収支計画!O48/1000</f>
        <v>1</v>
      </c>
      <c r="AJ44" s="462">
        <f>+PL推移!T43</f>
        <v>1</v>
      </c>
      <c r="AK44" s="381">
        <f t="shared" si="109"/>
        <v>0</v>
      </c>
      <c r="AL44" s="370">
        <f t="shared" si="17"/>
        <v>1</v>
      </c>
      <c r="AM44" s="318">
        <f>+収支計画!P48/1000</f>
        <v>131</v>
      </c>
      <c r="AN44" s="462">
        <f>+PL推移!V43</f>
        <v>125.9</v>
      </c>
      <c r="AO44" s="381">
        <f t="shared" si="18"/>
        <v>-5.0999999999999943</v>
      </c>
      <c r="AP44" s="370">
        <f t="shared" si="19"/>
        <v>0.96106870229007635</v>
      </c>
      <c r="AQ44" s="318">
        <f>+収支計画!Q48/1000</f>
        <v>1</v>
      </c>
      <c r="AR44" s="462">
        <f>+PL推移!X43</f>
        <v>0</v>
      </c>
      <c r="AS44" s="381">
        <f t="shared" si="20"/>
        <v>-1</v>
      </c>
      <c r="AT44" s="370">
        <f t="shared" si="21"/>
        <v>0</v>
      </c>
      <c r="AU44" s="318">
        <f>+収支計画!R48/1000</f>
        <v>1</v>
      </c>
      <c r="AV44" s="360">
        <f>+PL推移!Z43</f>
        <v>1</v>
      </c>
      <c r="AW44" s="381">
        <f t="shared" si="22"/>
        <v>0</v>
      </c>
      <c r="AX44" s="370">
        <f t="shared" si="23"/>
        <v>1</v>
      </c>
      <c r="AY44" s="421">
        <f t="shared" si="24"/>
        <v>532</v>
      </c>
      <c r="AZ44" s="439">
        <f t="shared" si="25"/>
        <v>572.35</v>
      </c>
      <c r="BA44" s="319">
        <f t="shared" si="26"/>
        <v>40.350000000000023</v>
      </c>
      <c r="BB44" s="506">
        <f t="shared" si="27"/>
        <v>1.0758458646616542</v>
      </c>
    </row>
    <row r="45" spans="2:55">
      <c r="B45" s="5" t="s">
        <v>242</v>
      </c>
      <c r="C45" s="421">
        <f>+収支計画!G49/1000</f>
        <v>165</v>
      </c>
      <c r="D45" s="439">
        <f>+PL推移!D44</f>
        <v>186.90299999999999</v>
      </c>
      <c r="E45" s="319">
        <f t="shared" si="101"/>
        <v>21.902999999999992</v>
      </c>
      <c r="F45" s="339">
        <f t="shared" si="9"/>
        <v>1.1327454545454545</v>
      </c>
      <c r="G45" s="430">
        <f>+収支計画!H49/1000</f>
        <v>165</v>
      </c>
      <c r="H45" s="439">
        <f>+PL推移!F44</f>
        <v>179.4</v>
      </c>
      <c r="I45" s="319">
        <f t="shared" si="102"/>
        <v>14.400000000000006</v>
      </c>
      <c r="J45" s="370">
        <f t="shared" si="10"/>
        <v>1.0872727272727274</v>
      </c>
      <c r="K45" s="318">
        <f>+収支計画!I49/1000</f>
        <v>165</v>
      </c>
      <c r="L45" s="462">
        <f>+PL推移!H44</f>
        <v>177.56</v>
      </c>
      <c r="M45" s="350">
        <f t="shared" si="103"/>
        <v>12.560000000000002</v>
      </c>
      <c r="N45" s="339">
        <f t="shared" si="11"/>
        <v>1.076121212121212</v>
      </c>
      <c r="O45" s="318">
        <f>+収支計画!J49/1000</f>
        <v>165</v>
      </c>
      <c r="P45" s="462">
        <f>+PL推移!J44</f>
        <v>176.50299999999999</v>
      </c>
      <c r="Q45" s="350">
        <f t="shared" si="104"/>
        <v>11.502999999999986</v>
      </c>
      <c r="R45" s="339">
        <f t="shared" si="12"/>
        <v>1.0697151515151515</v>
      </c>
      <c r="S45" s="318">
        <f>+収支計画!K49/1000</f>
        <v>165</v>
      </c>
      <c r="T45" s="462">
        <f>+PL推移!L44</f>
        <v>215.303</v>
      </c>
      <c r="U45" s="350">
        <f t="shared" si="105"/>
        <v>50.302999999999997</v>
      </c>
      <c r="V45" s="339">
        <f t="shared" si="13"/>
        <v>1.3048666666666666</v>
      </c>
      <c r="W45" s="318">
        <f>+収支計画!L49/1000</f>
        <v>165</v>
      </c>
      <c r="X45" s="462">
        <f>+PL推移!N44</f>
        <v>210.15299999999999</v>
      </c>
      <c r="Y45" s="381">
        <f t="shared" si="106"/>
        <v>45.152999999999992</v>
      </c>
      <c r="Z45" s="339">
        <f t="shared" si="14"/>
        <v>1.2736545454545454</v>
      </c>
      <c r="AA45" s="318">
        <f>+収支計画!M49/1000</f>
        <v>165</v>
      </c>
      <c r="AB45" s="462">
        <f>+PL推移!P44</f>
        <v>112</v>
      </c>
      <c r="AC45" s="377">
        <f t="shared" si="107"/>
        <v>-53</v>
      </c>
      <c r="AD45" s="339">
        <f t="shared" si="15"/>
        <v>0.67878787878787883</v>
      </c>
      <c r="AE45" s="318">
        <f>+収支計画!N49/1000</f>
        <v>165</v>
      </c>
      <c r="AF45" s="462">
        <f>+PL推移!R44</f>
        <v>2162.4209999999998</v>
      </c>
      <c r="AG45" s="381">
        <f t="shared" si="108"/>
        <v>1997.4209999999998</v>
      </c>
      <c r="AH45" s="339">
        <f t="shared" si="16"/>
        <v>13.105581818181816</v>
      </c>
      <c r="AI45" s="318">
        <f>+収支計画!O49/1000</f>
        <v>165</v>
      </c>
      <c r="AJ45" s="462">
        <f>+PL推移!T44</f>
        <v>108</v>
      </c>
      <c r="AK45" s="381">
        <f t="shared" si="109"/>
        <v>-57</v>
      </c>
      <c r="AL45" s="370">
        <f t="shared" si="17"/>
        <v>0.65454545454545454</v>
      </c>
      <c r="AM45" s="318">
        <f>+収支計画!P49/1000</f>
        <v>165</v>
      </c>
      <c r="AN45" s="462">
        <f>+PL推移!V44</f>
        <v>100.654</v>
      </c>
      <c r="AO45" s="377">
        <f t="shared" si="18"/>
        <v>-64.346000000000004</v>
      </c>
      <c r="AP45" s="370">
        <f t="shared" si="19"/>
        <v>0.61002424242424236</v>
      </c>
      <c r="AQ45" s="318">
        <f>+収支計画!Q49/1000</f>
        <v>165</v>
      </c>
      <c r="AR45" s="462">
        <f>+PL推移!X44</f>
        <v>134.4</v>
      </c>
      <c r="AS45" s="377">
        <f t="shared" si="20"/>
        <v>-30.599999999999994</v>
      </c>
      <c r="AT45" s="370">
        <f t="shared" si="21"/>
        <v>0.81454545454545457</v>
      </c>
      <c r="AU45" s="318">
        <f>+収支計画!R49/1000</f>
        <v>165</v>
      </c>
      <c r="AV45" s="360">
        <f>+PL推移!Z44</f>
        <v>123.402</v>
      </c>
      <c r="AW45" s="377">
        <f t="shared" si="22"/>
        <v>-41.597999999999999</v>
      </c>
      <c r="AX45" s="370">
        <f t="shared" si="23"/>
        <v>0.74789090909090905</v>
      </c>
      <c r="AY45" s="421">
        <f t="shared" si="24"/>
        <v>1980</v>
      </c>
      <c r="AZ45" s="439">
        <f t="shared" si="25"/>
        <v>3886.6989999999996</v>
      </c>
      <c r="BA45" s="590">
        <f t="shared" si="26"/>
        <v>1906.6989999999996</v>
      </c>
      <c r="BB45" s="506">
        <f t="shared" si="27"/>
        <v>1.9629792929292926</v>
      </c>
      <c r="BC45" s="1" t="s">
        <v>499</v>
      </c>
    </row>
    <row r="46" spans="2:55">
      <c r="B46" s="5" t="s">
        <v>243</v>
      </c>
      <c r="C46" s="421">
        <f>+収支計画!G50/1000</f>
        <v>281.5</v>
      </c>
      <c r="D46" s="439">
        <f>+PL推移!D45</f>
        <v>238.917</v>
      </c>
      <c r="E46" s="319">
        <f t="shared" si="101"/>
        <v>-42.582999999999998</v>
      </c>
      <c r="F46" s="339">
        <f t="shared" si="9"/>
        <v>0.84872824156305504</v>
      </c>
      <c r="G46" s="430">
        <f>+収支計画!H50/1000</f>
        <v>281.5</v>
      </c>
      <c r="H46" s="439">
        <f>+PL推移!F45</f>
        <v>268.30900000000003</v>
      </c>
      <c r="I46" s="319">
        <f t="shared" si="102"/>
        <v>-13.190999999999974</v>
      </c>
      <c r="J46" s="370">
        <f t="shared" si="10"/>
        <v>0.95314031971580826</v>
      </c>
      <c r="K46" s="318">
        <f>+収支計画!I50/1000</f>
        <v>281.5</v>
      </c>
      <c r="L46" s="462">
        <f>+PL推移!H45</f>
        <v>276.55399999999997</v>
      </c>
      <c r="M46" s="350">
        <f t="shared" si="103"/>
        <v>-4.9460000000000264</v>
      </c>
      <c r="N46" s="339">
        <f t="shared" si="11"/>
        <v>0.98242984014209578</v>
      </c>
      <c r="O46" s="318">
        <f>+収支計画!J50/1000</f>
        <v>281.5</v>
      </c>
      <c r="P46" s="462">
        <f>+PL推移!J45</f>
        <v>224.363</v>
      </c>
      <c r="Q46" s="350">
        <f t="shared" si="104"/>
        <v>-57.137</v>
      </c>
      <c r="R46" s="339">
        <f t="shared" si="12"/>
        <v>0.79702664298401416</v>
      </c>
      <c r="S46" s="318">
        <f>+収支計画!K50/1000</f>
        <v>281.5</v>
      </c>
      <c r="T46" s="462">
        <f>+PL推移!L45</f>
        <v>226.852</v>
      </c>
      <c r="U46" s="377">
        <f t="shared" si="105"/>
        <v>-54.647999999999996</v>
      </c>
      <c r="V46" s="339">
        <f t="shared" si="13"/>
        <v>0.80586856127886319</v>
      </c>
      <c r="W46" s="318">
        <f>+収支計画!L50/1000</f>
        <v>334</v>
      </c>
      <c r="X46" s="462">
        <f>+PL推移!N45</f>
        <v>264.11</v>
      </c>
      <c r="Y46" s="381">
        <f t="shared" si="106"/>
        <v>-69.889999999999986</v>
      </c>
      <c r="Z46" s="339">
        <f t="shared" si="14"/>
        <v>0.790748502994012</v>
      </c>
      <c r="AA46" s="318">
        <f>+収支計画!M50/1000</f>
        <v>281.5</v>
      </c>
      <c r="AB46" s="462">
        <f>+PL推移!P45</f>
        <v>245.928</v>
      </c>
      <c r="AC46" s="381">
        <f t="shared" si="107"/>
        <v>-35.572000000000003</v>
      </c>
      <c r="AD46" s="339">
        <f t="shared" si="15"/>
        <v>0.87363410301953814</v>
      </c>
      <c r="AE46" s="318">
        <f>+収支計画!N50/1000</f>
        <v>281.5</v>
      </c>
      <c r="AF46" s="462">
        <f>+PL推移!R45</f>
        <v>218.07499999999999</v>
      </c>
      <c r="AG46" s="391">
        <f t="shared" si="108"/>
        <v>-63.425000000000011</v>
      </c>
      <c r="AH46" s="339">
        <f t="shared" si="16"/>
        <v>0.77468916518650088</v>
      </c>
      <c r="AI46" s="318">
        <f>+収支計画!O50/1000</f>
        <v>313</v>
      </c>
      <c r="AJ46" s="462">
        <f>+PL推移!T45</f>
        <v>308.80700000000002</v>
      </c>
      <c r="AK46" s="381">
        <f t="shared" si="109"/>
        <v>-4.1929999999999836</v>
      </c>
      <c r="AL46" s="370">
        <f t="shared" si="17"/>
        <v>0.98660383386581474</v>
      </c>
      <c r="AM46" s="318">
        <f>+収支計画!P50/1000</f>
        <v>341.5</v>
      </c>
      <c r="AN46" s="462">
        <f>+PL推移!V45</f>
        <v>185.84</v>
      </c>
      <c r="AO46" s="381">
        <f t="shared" si="18"/>
        <v>-155.66</v>
      </c>
      <c r="AP46" s="370">
        <f t="shared" si="19"/>
        <v>0.54418740849194736</v>
      </c>
      <c r="AQ46" s="318">
        <f>+収支計画!Q50/1000</f>
        <v>281.5</v>
      </c>
      <c r="AR46" s="462">
        <f>+PL推移!X45</f>
        <v>193.09200000000001</v>
      </c>
      <c r="AS46" s="381">
        <f t="shared" si="20"/>
        <v>-88.407999999999987</v>
      </c>
      <c r="AT46" s="370">
        <f t="shared" si="21"/>
        <v>0.68593960923623454</v>
      </c>
      <c r="AU46" s="318">
        <f>+収支計画!R50/1000</f>
        <v>331.5</v>
      </c>
      <c r="AV46" s="360">
        <f>+PL推移!Z45</f>
        <v>243.661</v>
      </c>
      <c r="AW46" s="381">
        <f t="shared" si="22"/>
        <v>-87.838999999999999</v>
      </c>
      <c r="AX46" s="370">
        <f t="shared" si="23"/>
        <v>0.73502564102564105</v>
      </c>
      <c r="AY46" s="421">
        <f t="shared" si="24"/>
        <v>3572</v>
      </c>
      <c r="AZ46" s="439">
        <f t="shared" si="25"/>
        <v>2894.5080000000003</v>
      </c>
      <c r="BA46" s="319">
        <f t="shared" si="26"/>
        <v>-677.49199999999973</v>
      </c>
      <c r="BB46" s="506">
        <f t="shared" si="27"/>
        <v>0.81033258678611431</v>
      </c>
    </row>
    <row r="47" spans="2:55">
      <c r="B47" s="5" t="s">
        <v>244</v>
      </c>
      <c r="C47" s="421">
        <f>+収支計画!G51/1000</f>
        <v>0</v>
      </c>
      <c r="D47" s="439">
        <f>+PL推移!D46</f>
        <v>2.593</v>
      </c>
      <c r="E47" s="319">
        <f t="shared" si="101"/>
        <v>2.593</v>
      </c>
      <c r="F47" s="339" t="str">
        <f t="shared" si="9"/>
        <v>-</v>
      </c>
      <c r="G47" s="430">
        <f>+収支計画!H51/1000</f>
        <v>0</v>
      </c>
      <c r="H47" s="439">
        <f>+PL推移!F46</f>
        <v>0</v>
      </c>
      <c r="I47" s="319">
        <f t="shared" si="102"/>
        <v>0</v>
      </c>
      <c r="J47" s="370" t="str">
        <f t="shared" si="10"/>
        <v>-</v>
      </c>
      <c r="K47" s="318">
        <f>+収支計画!I51/1000</f>
        <v>0</v>
      </c>
      <c r="L47" s="462">
        <f>+PL推移!H46</f>
        <v>0</v>
      </c>
      <c r="M47" s="350">
        <f t="shared" si="103"/>
        <v>0</v>
      </c>
      <c r="N47" s="339" t="str">
        <f t="shared" si="11"/>
        <v>-</v>
      </c>
      <c r="O47" s="318">
        <f>+収支計画!J51/1000</f>
        <v>0</v>
      </c>
      <c r="P47" s="462">
        <f>+PL推移!J46</f>
        <v>0</v>
      </c>
      <c r="Q47" s="350">
        <f t="shared" si="104"/>
        <v>0</v>
      </c>
      <c r="R47" s="339" t="str">
        <f t="shared" si="12"/>
        <v>-</v>
      </c>
      <c r="S47" s="318">
        <f>+収支計画!K51/1000</f>
        <v>0</v>
      </c>
      <c r="T47" s="462">
        <f>+PL推移!L46</f>
        <v>0</v>
      </c>
      <c r="U47" s="350">
        <f t="shared" si="105"/>
        <v>0</v>
      </c>
      <c r="V47" s="339" t="str">
        <f t="shared" si="13"/>
        <v>-</v>
      </c>
      <c r="W47" s="318">
        <f>+収支計画!L51/1000</f>
        <v>0</v>
      </c>
      <c r="X47" s="462">
        <f>+PL推移!N46</f>
        <v>0</v>
      </c>
      <c r="Y47" s="350">
        <f t="shared" si="106"/>
        <v>0</v>
      </c>
      <c r="Z47" s="339" t="str">
        <f t="shared" si="14"/>
        <v>-</v>
      </c>
      <c r="AA47" s="318">
        <f>+収支計画!M51/1000</f>
        <v>0</v>
      </c>
      <c r="AB47" s="462">
        <f>+PL推移!P46</f>
        <v>0</v>
      </c>
      <c r="AC47" s="350">
        <f t="shared" si="107"/>
        <v>0</v>
      </c>
      <c r="AD47" s="339" t="str">
        <f t="shared" si="15"/>
        <v>-</v>
      </c>
      <c r="AE47" s="318">
        <f>+収支計画!N51/1000</f>
        <v>0</v>
      </c>
      <c r="AF47" s="462">
        <f>+PL推移!R46</f>
        <v>0</v>
      </c>
      <c r="AG47" s="350">
        <f t="shared" si="108"/>
        <v>0</v>
      </c>
      <c r="AH47" s="339" t="str">
        <f t="shared" si="16"/>
        <v>-</v>
      </c>
      <c r="AI47" s="318">
        <f>+収支計画!O51/1000</f>
        <v>0</v>
      </c>
      <c r="AJ47" s="462">
        <f>+PL推移!T46</f>
        <v>0</v>
      </c>
      <c r="AK47" s="350">
        <f t="shared" si="109"/>
        <v>0</v>
      </c>
      <c r="AL47" s="370" t="str">
        <f t="shared" si="17"/>
        <v>-</v>
      </c>
      <c r="AM47" s="318">
        <f>+収支計画!P51/1000</f>
        <v>0</v>
      </c>
      <c r="AN47" s="462">
        <f>+PL推移!V46</f>
        <v>0</v>
      </c>
      <c r="AO47" s="350">
        <f t="shared" si="18"/>
        <v>0</v>
      </c>
      <c r="AP47" s="370" t="str">
        <f t="shared" si="19"/>
        <v>-</v>
      </c>
      <c r="AQ47" s="318">
        <f>+収支計画!Q51/1000</f>
        <v>0</v>
      </c>
      <c r="AR47" s="462">
        <f>+PL推移!X46</f>
        <v>0</v>
      </c>
      <c r="AS47" s="350">
        <f t="shared" si="20"/>
        <v>0</v>
      </c>
      <c r="AT47" s="370" t="str">
        <f t="shared" si="21"/>
        <v>-</v>
      </c>
      <c r="AU47" s="318">
        <f>+収支計画!R51/1000</f>
        <v>0</v>
      </c>
      <c r="AV47" s="360">
        <f>+PL推移!Z46</f>
        <v>0</v>
      </c>
      <c r="AW47" s="350">
        <f t="shared" si="22"/>
        <v>0</v>
      </c>
      <c r="AX47" s="370" t="str">
        <f t="shared" si="23"/>
        <v>-</v>
      </c>
      <c r="AY47" s="421">
        <f t="shared" si="24"/>
        <v>0</v>
      </c>
      <c r="AZ47" s="439">
        <f t="shared" si="25"/>
        <v>2.593</v>
      </c>
      <c r="BA47" s="319">
        <f t="shared" si="26"/>
        <v>2.593</v>
      </c>
      <c r="BB47" s="506" t="str">
        <f t="shared" si="27"/>
        <v>-</v>
      </c>
    </row>
    <row r="48" spans="2:55">
      <c r="B48" s="5" t="s">
        <v>245</v>
      </c>
      <c r="C48" s="421">
        <f>+収支計画!G52/1000</f>
        <v>70</v>
      </c>
      <c r="D48" s="439">
        <f>+PL推移!D47</f>
        <v>70</v>
      </c>
      <c r="E48" s="319">
        <f t="shared" si="101"/>
        <v>0</v>
      </c>
      <c r="F48" s="339">
        <f t="shared" si="9"/>
        <v>1</v>
      </c>
      <c r="G48" s="430">
        <f>+収支計画!H52/1000</f>
        <v>70</v>
      </c>
      <c r="H48" s="439">
        <f>+PL推移!F47</f>
        <v>70</v>
      </c>
      <c r="I48" s="319">
        <f t="shared" si="102"/>
        <v>0</v>
      </c>
      <c r="J48" s="370">
        <f t="shared" si="10"/>
        <v>1</v>
      </c>
      <c r="K48" s="318">
        <f>+収支計画!I52/1000</f>
        <v>280</v>
      </c>
      <c r="L48" s="462">
        <f>+PL推移!H47</f>
        <v>280</v>
      </c>
      <c r="M48" s="350">
        <f t="shared" si="103"/>
        <v>0</v>
      </c>
      <c r="N48" s="339">
        <f t="shared" si="11"/>
        <v>1</v>
      </c>
      <c r="O48" s="318">
        <f>+収支計画!J52/1000</f>
        <v>70</v>
      </c>
      <c r="P48" s="462">
        <f>+PL推移!J47</f>
        <v>70</v>
      </c>
      <c r="Q48" s="350">
        <f t="shared" si="104"/>
        <v>0</v>
      </c>
      <c r="R48" s="339">
        <f t="shared" si="12"/>
        <v>1</v>
      </c>
      <c r="S48" s="318">
        <f>+収支計画!K52/1000</f>
        <v>70</v>
      </c>
      <c r="T48" s="462">
        <f>+PL推移!L47</f>
        <v>110</v>
      </c>
      <c r="U48" s="350">
        <f t="shared" si="105"/>
        <v>40</v>
      </c>
      <c r="V48" s="339">
        <f t="shared" si="13"/>
        <v>1.5714285714285714</v>
      </c>
      <c r="W48" s="318">
        <f>+収支計画!L52/1000</f>
        <v>70</v>
      </c>
      <c r="X48" s="462">
        <f>+PL推移!N47</f>
        <v>70</v>
      </c>
      <c r="Y48" s="350">
        <f t="shared" si="106"/>
        <v>0</v>
      </c>
      <c r="Z48" s="339">
        <f t="shared" si="14"/>
        <v>1</v>
      </c>
      <c r="AA48" s="318">
        <f>+収支計画!M52/1000</f>
        <v>70</v>
      </c>
      <c r="AB48" s="462">
        <f>+PL推移!P47</f>
        <v>70</v>
      </c>
      <c r="AC48" s="350">
        <f t="shared" si="107"/>
        <v>0</v>
      </c>
      <c r="AD48" s="339">
        <f t="shared" si="15"/>
        <v>1</v>
      </c>
      <c r="AE48" s="318">
        <f>+収支計画!N52/1000</f>
        <v>70</v>
      </c>
      <c r="AF48" s="462">
        <f>+PL推移!R47</f>
        <v>70</v>
      </c>
      <c r="AG48" s="350">
        <f t="shared" si="108"/>
        <v>0</v>
      </c>
      <c r="AH48" s="339">
        <f t="shared" si="16"/>
        <v>1</v>
      </c>
      <c r="AI48" s="318">
        <f>+収支計画!O52/1000</f>
        <v>70</v>
      </c>
      <c r="AJ48" s="462">
        <f>+PL推移!T47</f>
        <v>70</v>
      </c>
      <c r="AK48" s="350">
        <f t="shared" si="109"/>
        <v>0</v>
      </c>
      <c r="AL48" s="370">
        <f t="shared" si="17"/>
        <v>1</v>
      </c>
      <c r="AM48" s="318">
        <f>+収支計画!P52/1000</f>
        <v>70</v>
      </c>
      <c r="AN48" s="462">
        <f>+PL推移!V47</f>
        <v>70</v>
      </c>
      <c r="AO48" s="350">
        <f t="shared" si="18"/>
        <v>0</v>
      </c>
      <c r="AP48" s="370">
        <f t="shared" si="19"/>
        <v>1</v>
      </c>
      <c r="AQ48" s="318">
        <f>+収支計画!Q52/1000</f>
        <v>70</v>
      </c>
      <c r="AR48" s="462">
        <f>+PL推移!X47</f>
        <v>70</v>
      </c>
      <c r="AS48" s="350">
        <f t="shared" si="20"/>
        <v>0</v>
      </c>
      <c r="AT48" s="370">
        <f t="shared" si="21"/>
        <v>1</v>
      </c>
      <c r="AU48" s="318">
        <f>+収支計画!R52/1000</f>
        <v>70</v>
      </c>
      <c r="AV48" s="360">
        <f>+PL推移!Z47</f>
        <v>70</v>
      </c>
      <c r="AW48" s="350">
        <f t="shared" si="22"/>
        <v>0</v>
      </c>
      <c r="AX48" s="370">
        <f t="shared" si="23"/>
        <v>1</v>
      </c>
      <c r="AY48" s="421">
        <f t="shared" si="24"/>
        <v>1050</v>
      </c>
      <c r="AZ48" s="439">
        <f t="shared" si="25"/>
        <v>1090</v>
      </c>
      <c r="BA48" s="319">
        <f t="shared" si="26"/>
        <v>40</v>
      </c>
      <c r="BB48" s="506">
        <f t="shared" si="27"/>
        <v>1.0380952380952382</v>
      </c>
    </row>
    <row r="49" spans="1:58">
      <c r="B49" s="5" t="s">
        <v>246</v>
      </c>
      <c r="C49" s="421">
        <f>+収支計画!G53/1000</f>
        <v>50</v>
      </c>
      <c r="D49" s="439">
        <f>+PL推移!D48</f>
        <v>64.599000000000004</v>
      </c>
      <c r="E49" s="319">
        <f t="shared" si="101"/>
        <v>14.599000000000004</v>
      </c>
      <c r="F49" s="339">
        <f t="shared" si="9"/>
        <v>1.2919800000000001</v>
      </c>
      <c r="G49" s="430">
        <f>+収支計画!H53/1000</f>
        <v>50</v>
      </c>
      <c r="H49" s="439">
        <f>+PL推移!F48</f>
        <v>47.521000000000001</v>
      </c>
      <c r="I49" s="319">
        <f t="shared" si="102"/>
        <v>-2.4789999999999992</v>
      </c>
      <c r="J49" s="370">
        <f t="shared" si="10"/>
        <v>0.95042000000000004</v>
      </c>
      <c r="K49" s="318">
        <f>+収支計画!I53/1000</f>
        <v>50</v>
      </c>
      <c r="L49" s="462">
        <f>+PL推移!H48</f>
        <v>42.6</v>
      </c>
      <c r="M49" s="350">
        <f t="shared" si="103"/>
        <v>-7.3999999999999986</v>
      </c>
      <c r="N49" s="339">
        <f t="shared" si="11"/>
        <v>0.85199999999999998</v>
      </c>
      <c r="O49" s="318">
        <f>+収支計画!J53/1000</f>
        <v>50</v>
      </c>
      <c r="P49" s="462">
        <f>+PL推移!J48</f>
        <v>71.638999999999996</v>
      </c>
      <c r="Q49" s="350">
        <f t="shared" si="104"/>
        <v>21.638999999999996</v>
      </c>
      <c r="R49" s="339">
        <f t="shared" si="12"/>
        <v>1.4327799999999999</v>
      </c>
      <c r="S49" s="318">
        <f>+収支計画!K53/1000</f>
        <v>50</v>
      </c>
      <c r="T49" s="462">
        <f>+PL推移!L48</f>
        <v>42.72</v>
      </c>
      <c r="U49" s="350">
        <f t="shared" si="105"/>
        <v>-7.2800000000000011</v>
      </c>
      <c r="V49" s="339">
        <f t="shared" si="13"/>
        <v>0.85439999999999994</v>
      </c>
      <c r="W49" s="318">
        <f>+収支計画!L53/1000</f>
        <v>50</v>
      </c>
      <c r="X49" s="462">
        <f>+PL推移!N48</f>
        <v>42.24</v>
      </c>
      <c r="Y49" s="350">
        <f t="shared" si="106"/>
        <v>-7.759999999999998</v>
      </c>
      <c r="Z49" s="339">
        <f t="shared" si="14"/>
        <v>0.8448</v>
      </c>
      <c r="AA49" s="318">
        <f>+収支計画!M53/1000</f>
        <v>50</v>
      </c>
      <c r="AB49" s="462">
        <f>+PL推移!P48</f>
        <v>71.158000000000001</v>
      </c>
      <c r="AC49" s="350">
        <f t="shared" si="107"/>
        <v>21.158000000000001</v>
      </c>
      <c r="AD49" s="339">
        <f t="shared" si="15"/>
        <v>1.42316</v>
      </c>
      <c r="AE49" s="318">
        <f>+収支計画!N53/1000</f>
        <v>50</v>
      </c>
      <c r="AF49" s="462">
        <f>+PL推移!R48</f>
        <v>41.88</v>
      </c>
      <c r="AG49" s="350">
        <f t="shared" si="108"/>
        <v>-8.1199999999999974</v>
      </c>
      <c r="AH49" s="339">
        <f t="shared" si="16"/>
        <v>0.83760000000000001</v>
      </c>
      <c r="AI49" s="318">
        <f>+収支計画!O53/1000</f>
        <v>74</v>
      </c>
      <c r="AJ49" s="462">
        <f>+PL推移!T48</f>
        <v>62.28</v>
      </c>
      <c r="AK49" s="350">
        <f t="shared" si="109"/>
        <v>-11.719999999999999</v>
      </c>
      <c r="AL49" s="370">
        <f t="shared" si="17"/>
        <v>0.84162162162162168</v>
      </c>
      <c r="AM49" s="318">
        <f>+収支計画!P53/1000</f>
        <v>87</v>
      </c>
      <c r="AN49" s="462">
        <f>+PL推移!V48</f>
        <v>108.288</v>
      </c>
      <c r="AO49" s="350">
        <f t="shared" si="18"/>
        <v>21.287999999999997</v>
      </c>
      <c r="AP49" s="370">
        <f t="shared" si="19"/>
        <v>1.2446896551724138</v>
      </c>
      <c r="AQ49" s="318">
        <f>+収支計画!Q53/1000</f>
        <v>50</v>
      </c>
      <c r="AR49" s="462">
        <f>+PL推移!X48</f>
        <v>38.869999999999997</v>
      </c>
      <c r="AS49" s="350">
        <f t="shared" si="20"/>
        <v>-11.130000000000003</v>
      </c>
      <c r="AT49" s="370">
        <f t="shared" si="21"/>
        <v>0.77739999999999998</v>
      </c>
      <c r="AU49" s="318">
        <f>+収支計画!R53/1000</f>
        <v>50</v>
      </c>
      <c r="AV49" s="360">
        <f>+PL推移!Z48</f>
        <v>58.99</v>
      </c>
      <c r="AW49" s="350">
        <f t="shared" si="22"/>
        <v>8.990000000000002</v>
      </c>
      <c r="AX49" s="370">
        <f t="shared" si="23"/>
        <v>1.1798</v>
      </c>
      <c r="AY49" s="421">
        <f t="shared" si="24"/>
        <v>661</v>
      </c>
      <c r="AZ49" s="439">
        <f t="shared" si="25"/>
        <v>692.78499999999997</v>
      </c>
      <c r="BA49" s="319">
        <f t="shared" si="26"/>
        <v>31.784999999999968</v>
      </c>
      <c r="BB49" s="506">
        <f t="shared" si="27"/>
        <v>1.0480862329803329</v>
      </c>
    </row>
    <row r="50" spans="1:58">
      <c r="B50" s="150"/>
      <c r="C50" s="424"/>
      <c r="D50" s="442"/>
      <c r="E50" s="325"/>
      <c r="F50" s="342" t="str">
        <f t="shared" si="9"/>
        <v>-</v>
      </c>
      <c r="G50" s="433"/>
      <c r="H50" s="442">
        <f>+PL推移!F49</f>
        <v>0</v>
      </c>
      <c r="I50" s="325"/>
      <c r="J50" s="373" t="str">
        <f t="shared" si="10"/>
        <v>-</v>
      </c>
      <c r="K50" s="324"/>
      <c r="L50" s="465">
        <f>+PL推移!H49</f>
        <v>0</v>
      </c>
      <c r="M50" s="353"/>
      <c r="N50" s="342" t="str">
        <f t="shared" si="11"/>
        <v>-</v>
      </c>
      <c r="O50" s="324"/>
      <c r="P50" s="465">
        <f>+PL推移!J49</f>
        <v>0</v>
      </c>
      <c r="Q50" s="353"/>
      <c r="R50" s="342" t="str">
        <f t="shared" si="12"/>
        <v>-</v>
      </c>
      <c r="S50" s="324"/>
      <c r="T50" s="465">
        <f>+PL推移!N49</f>
        <v>0</v>
      </c>
      <c r="U50" s="353"/>
      <c r="V50" s="342" t="str">
        <f t="shared" si="13"/>
        <v>-</v>
      </c>
      <c r="W50" s="324"/>
      <c r="X50" s="465">
        <f>+PL推移!R49</f>
        <v>0</v>
      </c>
      <c r="Y50" s="353"/>
      <c r="Z50" s="342" t="str">
        <f t="shared" si="14"/>
        <v>-</v>
      </c>
      <c r="AA50" s="324"/>
      <c r="AB50" s="465">
        <f>+PL推移!V49</f>
        <v>0</v>
      </c>
      <c r="AC50" s="353"/>
      <c r="AD50" s="342" t="str">
        <f t="shared" si="15"/>
        <v>-</v>
      </c>
      <c r="AE50" s="324"/>
      <c r="AF50" s="465">
        <f>+PL推移!Z49</f>
        <v>0</v>
      </c>
      <c r="AG50" s="353"/>
      <c r="AH50" s="342" t="str">
        <f t="shared" si="16"/>
        <v>-</v>
      </c>
      <c r="AI50" s="324"/>
      <c r="AJ50" s="465">
        <f>+PL推移!AD49</f>
        <v>0</v>
      </c>
      <c r="AK50" s="353"/>
      <c r="AL50" s="373" t="str">
        <f t="shared" si="17"/>
        <v>-</v>
      </c>
      <c r="AM50" s="324"/>
      <c r="AN50" s="465">
        <f>+PL推移!AH49</f>
        <v>0</v>
      </c>
      <c r="AO50" s="353">
        <f t="shared" si="18"/>
        <v>0</v>
      </c>
      <c r="AP50" s="373" t="str">
        <f t="shared" si="19"/>
        <v>-</v>
      </c>
      <c r="AQ50" s="324"/>
      <c r="AR50" s="465">
        <f>+PL推移!AL49</f>
        <v>0</v>
      </c>
      <c r="AS50" s="353">
        <f t="shared" si="20"/>
        <v>0</v>
      </c>
      <c r="AT50" s="373" t="str">
        <f t="shared" si="21"/>
        <v>-</v>
      </c>
      <c r="AU50" s="324">
        <f>+収支計画!R54/1000</f>
        <v>0</v>
      </c>
      <c r="AV50" s="363">
        <f>+PL推移!AP49</f>
        <v>0</v>
      </c>
      <c r="AW50" s="353">
        <f t="shared" si="22"/>
        <v>0</v>
      </c>
      <c r="AX50" s="373" t="str">
        <f t="shared" si="23"/>
        <v>-</v>
      </c>
      <c r="AY50" s="424">
        <f t="shared" si="24"/>
        <v>0</v>
      </c>
      <c r="AZ50" s="442">
        <f t="shared" si="25"/>
        <v>0</v>
      </c>
      <c r="BA50" s="325">
        <f t="shared" si="26"/>
        <v>0</v>
      </c>
      <c r="BB50" s="509" t="str">
        <f t="shared" si="27"/>
        <v>-</v>
      </c>
    </row>
    <row r="51" spans="1:58" s="52" customFormat="1" ht="16.899999999999999" thickBot="1">
      <c r="A51" s="52" t="s">
        <v>149</v>
      </c>
      <c r="C51" s="425">
        <f>+C23-C29</f>
        <v>289.60099999999966</v>
      </c>
      <c r="D51" s="443">
        <f t="shared" ref="D51:E51" si="110">+D23-D29</f>
        <v>110.27499999999964</v>
      </c>
      <c r="E51" s="331">
        <f t="shared" si="110"/>
        <v>-177.98000000000013</v>
      </c>
      <c r="F51" s="343">
        <f t="shared" si="9"/>
        <v>0.38078252492221976</v>
      </c>
      <c r="G51" s="434">
        <f>+G23-G29</f>
        <v>2049.6009999999997</v>
      </c>
      <c r="H51" s="443">
        <f>+PL推移!F50</f>
        <v>969.21599999999944</v>
      </c>
      <c r="I51" s="331">
        <f t="shared" ref="I51" si="111">+I23-I29</f>
        <v>-1078.8870000000004</v>
      </c>
      <c r="J51" s="374">
        <f t="shared" si="10"/>
        <v>0.47288033134253915</v>
      </c>
      <c r="K51" s="330">
        <f>+K23-K29</f>
        <v>163.96599999999944</v>
      </c>
      <c r="L51" s="466">
        <f>+PL推移!H50</f>
        <v>-684.85500000000138</v>
      </c>
      <c r="M51" s="354">
        <f t="shared" ref="M51" si="112">+M23-M29</f>
        <v>-839.22699999999998</v>
      </c>
      <c r="N51" s="343">
        <f t="shared" si="11"/>
        <v>-4.1768110461925261</v>
      </c>
      <c r="O51" s="330">
        <f>+O23-O29</f>
        <v>503.96599999999944</v>
      </c>
      <c r="P51" s="466">
        <f>+PL推移!J50</f>
        <v>25.891999999999825</v>
      </c>
      <c r="Q51" s="354">
        <f t="shared" ref="Q51" si="113">+Q23-Q29</f>
        <v>-467.3839999999999</v>
      </c>
      <c r="R51" s="343">
        <f t="shared" si="12"/>
        <v>5.1376481746784212E-2</v>
      </c>
      <c r="S51" s="330">
        <f>+S23-S29</f>
        <v>615.48599999999988</v>
      </c>
      <c r="T51" s="466">
        <f>+PL推移!L50</f>
        <v>-264.61599999999999</v>
      </c>
      <c r="U51" s="354">
        <f t="shared" ref="U51" si="114">+U23-U29</f>
        <v>-879.12300000000005</v>
      </c>
      <c r="V51" s="343">
        <f t="shared" si="13"/>
        <v>-0.42993016900465653</v>
      </c>
      <c r="W51" s="330">
        <f>+W23-W29</f>
        <v>1595.4859999999999</v>
      </c>
      <c r="X51" s="466">
        <f>+PL推移!N50</f>
        <v>1487.4320000000007</v>
      </c>
      <c r="Y51" s="354">
        <f t="shared" ref="Y51" si="115">+Y23-Y29</f>
        <v>279.94399999999979</v>
      </c>
      <c r="Z51" s="343">
        <f t="shared" si="14"/>
        <v>0.93227518135539944</v>
      </c>
      <c r="AA51" s="330">
        <f>+AA23-AA29</f>
        <v>610.48599999999988</v>
      </c>
      <c r="AB51" s="466">
        <f>+AB23-AB29</f>
        <v>-1083.1920000000009</v>
      </c>
      <c r="AC51" s="354">
        <f t="shared" ref="AC51" si="116">+AC23-AC29</f>
        <v>-1693.3910000000003</v>
      </c>
      <c r="AD51" s="343">
        <f t="shared" si="15"/>
        <v>-1.774310958809868</v>
      </c>
      <c r="AE51" s="330">
        <f>+AE23-AE29</f>
        <v>260.48599999999988</v>
      </c>
      <c r="AF51" s="466">
        <f>+AF23-AF29</f>
        <v>-3159.003999999999</v>
      </c>
      <c r="AG51" s="354">
        <f t="shared" ref="AG51" si="117">+AG23-AG29</f>
        <v>-3783.3469999999998</v>
      </c>
      <c r="AH51" s="343">
        <f t="shared" si="16"/>
        <v>-12.127346575247808</v>
      </c>
      <c r="AI51" s="330">
        <f>+AI23-AI29</f>
        <v>1247.4859999999999</v>
      </c>
      <c r="AJ51" s="466">
        <f>+AJ23-AJ29</f>
        <v>-826.45499999999902</v>
      </c>
      <c r="AK51" s="354">
        <f t="shared" ref="AK51" si="118">+AK23-AK29</f>
        <v>-2064.6060000000002</v>
      </c>
      <c r="AL51" s="374">
        <f t="shared" si="17"/>
        <v>-0.66249641278539328</v>
      </c>
      <c r="AM51" s="330">
        <f>+AM23-AM29</f>
        <v>398.48599999999988</v>
      </c>
      <c r="AN51" s="466">
        <f>+AN23-AN29</f>
        <v>-1592.8609999999999</v>
      </c>
      <c r="AO51" s="354">
        <f t="shared" si="18"/>
        <v>-1991.3469999999998</v>
      </c>
      <c r="AP51" s="374">
        <f t="shared" si="19"/>
        <v>-3.9972822131768755</v>
      </c>
      <c r="AQ51" s="330">
        <f>+AQ23-AQ29</f>
        <v>625.48599999999988</v>
      </c>
      <c r="AR51" s="466">
        <f>+AR23-AR29</f>
        <v>-920.23499999999876</v>
      </c>
      <c r="AS51" s="354">
        <f t="shared" si="20"/>
        <v>-1545.7209999999986</v>
      </c>
      <c r="AT51" s="374">
        <f t="shared" si="21"/>
        <v>-1.4712319700201106</v>
      </c>
      <c r="AU51" s="330">
        <f>+AU23-AU29</f>
        <v>575.48599999999988</v>
      </c>
      <c r="AV51" s="364">
        <f>+AV23-AV29</f>
        <v>-875.17900000000009</v>
      </c>
      <c r="AW51" s="354">
        <f t="shared" si="22"/>
        <v>-1450.665</v>
      </c>
      <c r="AX51" s="374">
        <f t="shared" si="23"/>
        <v>-1.5207650577077467</v>
      </c>
      <c r="AY51" s="425">
        <f t="shared" si="24"/>
        <v>8936.0219999999972</v>
      </c>
      <c r="AZ51" s="443">
        <f t="shared" si="25"/>
        <v>-6813.5819999999994</v>
      </c>
      <c r="BA51" s="331">
        <f t="shared" si="26"/>
        <v>-15749.603999999996</v>
      </c>
      <c r="BB51" s="510">
        <f t="shared" si="27"/>
        <v>-0.76248491778556515</v>
      </c>
    </row>
    <row r="52" spans="1:58" ht="16.899999999999999" thickTop="1">
      <c r="B52" s="1" t="s">
        <v>193</v>
      </c>
      <c r="C52" s="9">
        <f>+C51</f>
        <v>289.60099999999966</v>
      </c>
      <c r="D52" s="444">
        <f>+D51</f>
        <v>110.27499999999964</v>
      </c>
      <c r="E52" s="315">
        <f>+E51</f>
        <v>-177.98000000000013</v>
      </c>
      <c r="F52" s="344">
        <f t="shared" si="9"/>
        <v>0.38078252492221976</v>
      </c>
      <c r="G52" s="10">
        <f>+C52+G51</f>
        <v>2339.2019999999993</v>
      </c>
      <c r="H52" s="444">
        <f>+D52+H51</f>
        <v>1079.4909999999991</v>
      </c>
      <c r="I52" s="315">
        <f>+I51</f>
        <v>-1078.8870000000004</v>
      </c>
      <c r="J52" s="375">
        <f t="shared" si="10"/>
        <v>0.46147831610951057</v>
      </c>
      <c r="K52" s="314">
        <f>+G52+K51</f>
        <v>2503.1679999999988</v>
      </c>
      <c r="L52" s="467">
        <f>+H52+L51</f>
        <v>394.63599999999769</v>
      </c>
      <c r="M52" s="355">
        <f>+M51</f>
        <v>-839.22699999999998</v>
      </c>
      <c r="N52" s="344">
        <f t="shared" si="11"/>
        <v>0.15765462006545222</v>
      </c>
      <c r="O52" s="314">
        <f>+K52+O51</f>
        <v>3007.1339999999982</v>
      </c>
      <c r="P52" s="467">
        <f>+L52+P51</f>
        <v>420.52799999999752</v>
      </c>
      <c r="Q52" s="355">
        <f>+Q51</f>
        <v>-467.3839999999999</v>
      </c>
      <c r="R52" s="344">
        <f t="shared" si="12"/>
        <v>0.13984345227050002</v>
      </c>
      <c r="S52" s="314">
        <f>+O52+S51</f>
        <v>3622.6199999999981</v>
      </c>
      <c r="T52" s="467">
        <f>+P52+T51</f>
        <v>155.91199999999753</v>
      </c>
      <c r="U52" s="355">
        <f>+U51</f>
        <v>-879.12300000000005</v>
      </c>
      <c r="V52" s="344">
        <f t="shared" si="13"/>
        <v>4.3038463874211931E-2</v>
      </c>
      <c r="W52" s="314">
        <f>+S52+W51</f>
        <v>5218.1059999999979</v>
      </c>
      <c r="X52" s="467">
        <f>+T52+X51</f>
        <v>1643.3439999999982</v>
      </c>
      <c r="Y52" s="355">
        <f>+X52-W52</f>
        <v>-3574.7619999999997</v>
      </c>
      <c r="Z52" s="344">
        <f t="shared" si="14"/>
        <v>0.31493112635120846</v>
      </c>
      <c r="AA52" s="314">
        <f>+W52+AA51</f>
        <v>5828.5919999999978</v>
      </c>
      <c r="AB52" s="467">
        <f>+X52+AB51</f>
        <v>560.15199999999732</v>
      </c>
      <c r="AC52" s="355">
        <f>+AB52-AA52</f>
        <v>-5268.4400000000005</v>
      </c>
      <c r="AD52" s="344">
        <f t="shared" si="15"/>
        <v>9.6104170612730744E-2</v>
      </c>
      <c r="AE52" s="314">
        <f>+AA52+AE51</f>
        <v>6089.0779999999977</v>
      </c>
      <c r="AF52" s="467">
        <f>+AB52+AF51</f>
        <v>-2598.8520000000017</v>
      </c>
      <c r="AG52" s="355">
        <f>+AF52-AE52</f>
        <v>-8687.93</v>
      </c>
      <c r="AH52" s="344">
        <f t="shared" si="16"/>
        <v>-0.42680550323053879</v>
      </c>
      <c r="AI52" s="314">
        <f>+AE52+AI51</f>
        <v>7336.5639999999976</v>
      </c>
      <c r="AJ52" s="467">
        <f>+AF52+AJ51</f>
        <v>-3425.3070000000007</v>
      </c>
      <c r="AK52" s="355">
        <f>+AJ52-AI52</f>
        <v>-10761.870999999999</v>
      </c>
      <c r="AL52" s="375">
        <f t="shared" si="17"/>
        <v>-0.46688163559944434</v>
      </c>
      <c r="AM52" s="314">
        <f>+AI52+AM51</f>
        <v>7735.0499999999975</v>
      </c>
      <c r="AN52" s="467">
        <f>+AJ52+AN51</f>
        <v>-5018.1680000000006</v>
      </c>
      <c r="AO52" s="355">
        <f t="shared" si="18"/>
        <v>-12753.217999999997</v>
      </c>
      <c r="AP52" s="375">
        <f t="shared" si="19"/>
        <v>-0.6487570216094275</v>
      </c>
      <c r="AQ52" s="314">
        <f>+AM52+AQ51</f>
        <v>8360.5359999999964</v>
      </c>
      <c r="AR52" s="467">
        <f>+AN52+AR51</f>
        <v>-5938.4029999999993</v>
      </c>
      <c r="AS52" s="355">
        <f t="shared" si="20"/>
        <v>-14298.938999999995</v>
      </c>
      <c r="AT52" s="375">
        <f t="shared" si="21"/>
        <v>-0.71028974697316083</v>
      </c>
      <c r="AU52" s="314">
        <f>+AQ52+AU51</f>
        <v>8936.0219999999972</v>
      </c>
      <c r="AV52" s="365">
        <f>+AR52+AV51</f>
        <v>-6813.5819999999994</v>
      </c>
      <c r="AW52" s="355">
        <f t="shared" si="22"/>
        <v>-15749.603999999996</v>
      </c>
      <c r="AX52" s="375">
        <f t="shared" si="23"/>
        <v>-0.76248491778556515</v>
      </c>
      <c r="AY52" s="9"/>
      <c r="AZ52" s="444"/>
      <c r="BA52" s="315"/>
      <c r="BB52" s="511" t="str">
        <f t="shared" si="27"/>
        <v>-</v>
      </c>
    </row>
    <row r="53" spans="1:58" s="157" customFormat="1">
      <c r="A53" s="157" t="s">
        <v>146</v>
      </c>
      <c r="C53" s="426">
        <f>+収支計画!G58/1000</f>
        <v>200</v>
      </c>
      <c r="D53" s="445">
        <f>+PL推移!D52</f>
        <v>0</v>
      </c>
      <c r="E53" s="327">
        <f t="shared" ref="E53" si="119">+D53-C53</f>
        <v>-200</v>
      </c>
      <c r="F53" s="345">
        <f t="shared" si="9"/>
        <v>0</v>
      </c>
      <c r="G53" s="435">
        <f>+収支計画!H58/1000</f>
        <v>0</v>
      </c>
      <c r="H53" s="445">
        <f>+PL推移!F52</f>
        <v>33.39</v>
      </c>
      <c r="I53" s="327">
        <f t="shared" ref="I53:I54" si="120">+H53-G53</f>
        <v>33.39</v>
      </c>
      <c r="J53" s="376" t="str">
        <f t="shared" si="10"/>
        <v>-</v>
      </c>
      <c r="K53" s="326">
        <f>+収支計画!O65/1000</f>
        <v>0</v>
      </c>
      <c r="L53" s="468">
        <f>+PL推移!H52</f>
        <v>403.66899999999998</v>
      </c>
      <c r="M53" s="356">
        <f t="shared" ref="M53:M54" si="121">+L53-K53</f>
        <v>403.66899999999998</v>
      </c>
      <c r="N53" s="345" t="str">
        <f t="shared" si="11"/>
        <v>-</v>
      </c>
      <c r="O53" s="326">
        <f>+収支計画!J58/1000</f>
        <v>0</v>
      </c>
      <c r="P53" s="468">
        <f>+PL推移!J52</f>
        <v>0</v>
      </c>
      <c r="Q53" s="356">
        <f t="shared" ref="Q53:Q54" si="122">+P53-O53</f>
        <v>0</v>
      </c>
      <c r="R53" s="345" t="str">
        <f t="shared" si="12"/>
        <v>-</v>
      </c>
      <c r="S53" s="326">
        <f>+収支計画!W65/1000</f>
        <v>0</v>
      </c>
      <c r="T53" s="468">
        <f>+PL推移!L52</f>
        <v>0</v>
      </c>
      <c r="U53" s="356">
        <f t="shared" ref="U53:U54" si="123">+T53-S53</f>
        <v>0</v>
      </c>
      <c r="V53" s="345" t="str">
        <f t="shared" si="13"/>
        <v>-</v>
      </c>
      <c r="W53" s="326">
        <f>+収支計画!L58/1000</f>
        <v>200</v>
      </c>
      <c r="X53" s="468">
        <f>+PL推移!N52</f>
        <v>0</v>
      </c>
      <c r="Y53" s="356">
        <f t="shared" ref="Y53:Y54" si="124">+X53-W53</f>
        <v>-200</v>
      </c>
      <c r="Z53" s="345">
        <f t="shared" si="14"/>
        <v>0</v>
      </c>
      <c r="AA53" s="326">
        <f>+収支計画!AE65/1000</f>
        <v>0</v>
      </c>
      <c r="AB53" s="468">
        <f>+PL推移!P52</f>
        <v>0</v>
      </c>
      <c r="AC53" s="356">
        <f t="shared" ref="AC53:AC54" si="125">+AB53-AA53</f>
        <v>0</v>
      </c>
      <c r="AD53" s="345" t="str">
        <f t="shared" si="15"/>
        <v>-</v>
      </c>
      <c r="AE53" s="326">
        <f>+収支計画!AI65/1000</f>
        <v>0</v>
      </c>
      <c r="AF53" s="468">
        <f>+PL推移!R52</f>
        <v>33.136000000000003</v>
      </c>
      <c r="AG53" s="356">
        <f t="shared" ref="AG53:AG54" si="126">+AF53-AE53</f>
        <v>33.136000000000003</v>
      </c>
      <c r="AH53" s="345" t="str">
        <f t="shared" si="16"/>
        <v>-</v>
      </c>
      <c r="AI53" s="326">
        <f>+収支計画!AM65/1000</f>
        <v>0</v>
      </c>
      <c r="AJ53" s="468">
        <f>+PL推移!T52</f>
        <v>1000.001</v>
      </c>
      <c r="AK53" s="356">
        <f t="shared" ref="AK53:AK54" si="127">+AJ53-AI53</f>
        <v>1000.001</v>
      </c>
      <c r="AL53" s="376" t="str">
        <f t="shared" si="17"/>
        <v>-</v>
      </c>
      <c r="AM53" s="326">
        <f>+収支計画!AQ65/1000</f>
        <v>0</v>
      </c>
      <c r="AN53" s="468">
        <f>+PL推移!V52</f>
        <v>0</v>
      </c>
      <c r="AO53" s="356">
        <f t="shared" si="18"/>
        <v>0</v>
      </c>
      <c r="AP53" s="376" t="str">
        <f t="shared" si="19"/>
        <v>-</v>
      </c>
      <c r="AQ53" s="326">
        <f>+収支計画!AG65/1000</f>
        <v>0</v>
      </c>
      <c r="AR53" s="468">
        <f>+PL推移!X52</f>
        <v>400</v>
      </c>
      <c r="AS53" s="356">
        <f t="shared" si="20"/>
        <v>400</v>
      </c>
      <c r="AT53" s="376" t="str">
        <f t="shared" si="21"/>
        <v>-</v>
      </c>
      <c r="AU53" s="326">
        <f>+収支計画!AI65/1000</f>
        <v>0</v>
      </c>
      <c r="AV53" s="366">
        <f>+PL推移!Z52</f>
        <v>0.23899999999999999</v>
      </c>
      <c r="AW53" s="356">
        <f t="shared" si="22"/>
        <v>0.23899999999999999</v>
      </c>
      <c r="AX53" s="376" t="str">
        <f t="shared" si="23"/>
        <v>-</v>
      </c>
      <c r="AY53" s="426">
        <f t="shared" ref="AY53:AY55" si="128">+C53+G53+K53+O53+S53+W53+AA53+AE53+AI53+AM53+AQ53+AU53</f>
        <v>400</v>
      </c>
      <c r="AZ53" s="445">
        <f t="shared" ref="AZ53:AZ55" si="129">+D53+H53+L53+P53+T53+X53+AB53+AF53+AJ53+AN53+AR53+AV53</f>
        <v>1870.4349999999999</v>
      </c>
      <c r="BA53" s="327">
        <f t="shared" si="26"/>
        <v>1470.4349999999999</v>
      </c>
      <c r="BB53" s="512">
        <f t="shared" si="27"/>
        <v>4.6760874999999995</v>
      </c>
    </row>
    <row r="54" spans="1:58" s="157" customFormat="1">
      <c r="A54" s="157" t="s">
        <v>147</v>
      </c>
      <c r="C54" s="426">
        <f>+収支計画!G59/1000</f>
        <v>120</v>
      </c>
      <c r="D54" s="445">
        <f>+PL推移!D53</f>
        <v>147.96199999999999</v>
      </c>
      <c r="E54" s="327">
        <f t="shared" ref="E54" si="130">+D54-C54</f>
        <v>27.961999999999989</v>
      </c>
      <c r="F54" s="345">
        <f t="shared" si="9"/>
        <v>1.2330166666666666</v>
      </c>
      <c r="G54" s="435">
        <f>+収支計画!H59/1000</f>
        <v>120</v>
      </c>
      <c r="H54" s="445">
        <f>+PL推移!F53</f>
        <v>82.191000000000003</v>
      </c>
      <c r="I54" s="327">
        <f t="shared" si="120"/>
        <v>-37.808999999999997</v>
      </c>
      <c r="J54" s="376">
        <f t="shared" si="10"/>
        <v>0.68492500000000001</v>
      </c>
      <c r="K54" s="326">
        <f>+収支計画!I59/1000</f>
        <v>120</v>
      </c>
      <c r="L54" s="468">
        <f>+PL推移!H53</f>
        <v>206.05600000000001</v>
      </c>
      <c r="M54" s="356">
        <f t="shared" si="121"/>
        <v>86.056000000000012</v>
      </c>
      <c r="N54" s="345">
        <f t="shared" si="11"/>
        <v>1.7171333333333334</v>
      </c>
      <c r="O54" s="326">
        <f>+収支計画!J59/1000</f>
        <v>120</v>
      </c>
      <c r="P54" s="468">
        <f>+PL推移!J53</f>
        <v>152.44800000000001</v>
      </c>
      <c r="Q54" s="356">
        <f t="shared" si="122"/>
        <v>32.448000000000008</v>
      </c>
      <c r="R54" s="345">
        <f t="shared" si="12"/>
        <v>1.2704</v>
      </c>
      <c r="S54" s="326">
        <f>+収支計画!K59/1000</f>
        <v>120</v>
      </c>
      <c r="T54" s="468">
        <f>+PL推移!L53</f>
        <v>72.430000000000007</v>
      </c>
      <c r="U54" s="356">
        <f t="shared" si="123"/>
        <v>-47.569999999999993</v>
      </c>
      <c r="V54" s="345">
        <f t="shared" si="13"/>
        <v>0.60358333333333336</v>
      </c>
      <c r="W54" s="326">
        <f>+収支計画!L59/1000</f>
        <v>120</v>
      </c>
      <c r="X54" s="468">
        <f>+PL推移!N53</f>
        <v>74.483999999999995</v>
      </c>
      <c r="Y54" s="356">
        <f t="shared" si="124"/>
        <v>-45.516000000000005</v>
      </c>
      <c r="Z54" s="345">
        <f t="shared" si="14"/>
        <v>0.62069999999999992</v>
      </c>
      <c r="AA54" s="326">
        <f>+収支計画!M59/1000</f>
        <v>120</v>
      </c>
      <c r="AB54" s="468">
        <f>+PL推移!P53</f>
        <v>148.21700000000001</v>
      </c>
      <c r="AC54" s="356">
        <f t="shared" si="125"/>
        <v>28.217000000000013</v>
      </c>
      <c r="AD54" s="345">
        <f t="shared" si="15"/>
        <v>1.2351416666666668</v>
      </c>
      <c r="AE54" s="326">
        <f>+収支計画!AA66/1000</f>
        <v>0</v>
      </c>
      <c r="AF54" s="468">
        <f>+PL推移!R53</f>
        <v>130.72900000000001</v>
      </c>
      <c r="AG54" s="356">
        <f t="shared" si="126"/>
        <v>130.72900000000001</v>
      </c>
      <c r="AH54" s="345" t="str">
        <f t="shared" si="16"/>
        <v>-</v>
      </c>
      <c r="AI54" s="326">
        <f>+収支計画!AE66/1000</f>
        <v>0</v>
      </c>
      <c r="AJ54" s="468">
        <f>+PL推移!T53</f>
        <v>199.64500000000001</v>
      </c>
      <c r="AK54" s="356">
        <f t="shared" si="127"/>
        <v>199.64500000000001</v>
      </c>
      <c r="AL54" s="376" t="str">
        <f t="shared" si="17"/>
        <v>-</v>
      </c>
      <c r="AM54" s="326">
        <f>+収支計画!P59/1000</f>
        <v>120</v>
      </c>
      <c r="AN54" s="468">
        <f>+PL推移!V53</f>
        <v>143.44499999999999</v>
      </c>
      <c r="AO54" s="356">
        <f t="shared" si="18"/>
        <v>23.444999999999993</v>
      </c>
      <c r="AP54" s="376">
        <f t="shared" si="19"/>
        <v>1.1953749999999999</v>
      </c>
      <c r="AQ54" s="326">
        <f>+収支計画!AG66/1000</f>
        <v>0</v>
      </c>
      <c r="AR54" s="468">
        <f>+PL推移!X53</f>
        <v>81.533000000000001</v>
      </c>
      <c r="AS54" s="356">
        <f t="shared" si="20"/>
        <v>81.533000000000001</v>
      </c>
      <c r="AT54" s="376" t="str">
        <f t="shared" si="21"/>
        <v>-</v>
      </c>
      <c r="AU54" s="326">
        <f>+収支計画!AI66/1000</f>
        <v>0</v>
      </c>
      <c r="AV54" s="366">
        <f>+PL推移!Z53</f>
        <v>127.161</v>
      </c>
      <c r="AW54" s="356">
        <f t="shared" si="22"/>
        <v>127.161</v>
      </c>
      <c r="AX54" s="376" t="str">
        <f t="shared" si="23"/>
        <v>-</v>
      </c>
      <c r="AY54" s="426">
        <f t="shared" si="128"/>
        <v>960</v>
      </c>
      <c r="AZ54" s="445">
        <f t="shared" si="129"/>
        <v>1566.3009999999999</v>
      </c>
      <c r="BA54" s="327">
        <f t="shared" si="26"/>
        <v>606.30099999999993</v>
      </c>
      <c r="BB54" s="512">
        <f t="shared" si="27"/>
        <v>1.6315635416666665</v>
      </c>
    </row>
    <row r="55" spans="1:58" s="52" customFormat="1" ht="16.899999999999999" thickBot="1">
      <c r="A55" s="52" t="s">
        <v>148</v>
      </c>
      <c r="C55" s="425">
        <f>+C51+C53-C54</f>
        <v>369.60099999999966</v>
      </c>
      <c r="D55" s="443">
        <f t="shared" ref="D55:E55" si="131">+D51+D53-D54</f>
        <v>-37.687000000000353</v>
      </c>
      <c r="E55" s="331">
        <f t="shared" si="131"/>
        <v>-405.94200000000012</v>
      </c>
      <c r="F55" s="343">
        <f t="shared" si="9"/>
        <v>-0.10196671545802199</v>
      </c>
      <c r="G55" s="434">
        <f>+G51+G53-G54</f>
        <v>1929.6009999999997</v>
      </c>
      <c r="H55" s="443">
        <f>+PL推移!F54</f>
        <v>920.4149999999994</v>
      </c>
      <c r="I55" s="331">
        <f t="shared" ref="I55" si="132">+I51+I53-I54</f>
        <v>-1007.6880000000003</v>
      </c>
      <c r="J55" s="374">
        <f t="shared" si="10"/>
        <v>0.47699757618284794</v>
      </c>
      <c r="K55" s="330">
        <f>+K51+K53-K54</f>
        <v>43.96599999999944</v>
      </c>
      <c r="L55" s="466">
        <f>+PL推移!H54</f>
        <v>-487.24200000000144</v>
      </c>
      <c r="M55" s="354">
        <f t="shared" ref="M55" si="133">+M51+M53-M54</f>
        <v>-521.61400000000003</v>
      </c>
      <c r="N55" s="343">
        <f t="shared" si="11"/>
        <v>-11.082245371423546</v>
      </c>
      <c r="O55" s="330">
        <f>+O51+O53-O54</f>
        <v>383.96599999999944</v>
      </c>
      <c r="P55" s="466">
        <f>+PL推移!J54</f>
        <v>-126.55600000000018</v>
      </c>
      <c r="Q55" s="354">
        <f t="shared" ref="Q55" si="134">+Q51+Q53-Q54</f>
        <v>-499.83199999999988</v>
      </c>
      <c r="R55" s="343">
        <f t="shared" si="12"/>
        <v>-0.32960210018595493</v>
      </c>
      <c r="S55" s="330">
        <f>+S51+S53-S54</f>
        <v>495.48599999999988</v>
      </c>
      <c r="T55" s="466">
        <f>+PL推移!L54</f>
        <v>-337.04599999999999</v>
      </c>
      <c r="U55" s="354">
        <f t="shared" ref="U55" si="135">+U51+U53-U54</f>
        <v>-831.55300000000011</v>
      </c>
      <c r="V55" s="343">
        <f t="shared" si="13"/>
        <v>-0.68023314483153929</v>
      </c>
      <c r="W55" s="330">
        <f>+W51+W53-W54</f>
        <v>1675.4859999999999</v>
      </c>
      <c r="X55" s="466">
        <f>+PL推移!N54</f>
        <v>1412.9480000000008</v>
      </c>
      <c r="Y55" s="354">
        <f t="shared" ref="Y55" si="136">+Y51+Y53-Y54</f>
        <v>125.45999999999979</v>
      </c>
      <c r="Z55" s="343">
        <f t="shared" si="14"/>
        <v>0.8433063600650802</v>
      </c>
      <c r="AA55" s="330">
        <f>+AA51+AA53-AA54</f>
        <v>490.48599999999988</v>
      </c>
      <c r="AB55" s="466">
        <f>+AB51+AB53-AB54</f>
        <v>-1231.409000000001</v>
      </c>
      <c r="AC55" s="354">
        <f t="shared" ref="AC55" si="137">+AC51+AC53-AC54</f>
        <v>-1721.6080000000004</v>
      </c>
      <c r="AD55" s="343">
        <f t="shared" si="15"/>
        <v>-2.5105894969479277</v>
      </c>
      <c r="AE55" s="330">
        <f>+AE51+AE53-AE54</f>
        <v>260.48599999999988</v>
      </c>
      <c r="AF55" s="466">
        <f>+AF51+AF53-AF54</f>
        <v>-3256.5969999999988</v>
      </c>
      <c r="AG55" s="354">
        <f t="shared" ref="AG55" si="138">+AG51+AG53-AG54</f>
        <v>-3880.9399999999996</v>
      </c>
      <c r="AH55" s="343">
        <f t="shared" si="16"/>
        <v>-12.502003946469294</v>
      </c>
      <c r="AI55" s="330">
        <f>+AI51+AI53-AI54</f>
        <v>1247.4859999999999</v>
      </c>
      <c r="AJ55" s="466">
        <f>+AJ51+AJ53-AJ54</f>
        <v>-26.098999999999052</v>
      </c>
      <c r="AK55" s="354">
        <f t="shared" ref="AK55" si="139">+AK51+AK53-AK54</f>
        <v>-1264.2500000000002</v>
      </c>
      <c r="AL55" s="374">
        <f t="shared" si="17"/>
        <v>-2.09212768720443E-2</v>
      </c>
      <c r="AM55" s="330">
        <f>+AM51+AM53-AM54</f>
        <v>278.48599999999988</v>
      </c>
      <c r="AN55" s="466">
        <f>+AN51+AN53-AN54</f>
        <v>-1736.3059999999998</v>
      </c>
      <c r="AO55" s="354">
        <f t="shared" si="18"/>
        <v>-2014.7919999999997</v>
      </c>
      <c r="AP55" s="374">
        <f t="shared" si="19"/>
        <v>-6.2348053403043622</v>
      </c>
      <c r="AQ55" s="330">
        <f>+AQ51+AQ53-AQ54</f>
        <v>625.48599999999988</v>
      </c>
      <c r="AR55" s="466">
        <f>+AR51+AR53-AR54</f>
        <v>-601.76799999999878</v>
      </c>
      <c r="AS55" s="354">
        <f t="shared" si="20"/>
        <v>-1227.2539999999985</v>
      </c>
      <c r="AT55" s="374">
        <f t="shared" si="21"/>
        <v>-0.96208068605851915</v>
      </c>
      <c r="AU55" s="330">
        <f>+AU51+AU53-AU54</f>
        <v>575.48599999999988</v>
      </c>
      <c r="AV55" s="364">
        <f>+AV51+AV53-AV54</f>
        <v>-1002.1010000000001</v>
      </c>
      <c r="AW55" s="354">
        <f t="shared" si="22"/>
        <v>-1577.587</v>
      </c>
      <c r="AX55" s="374">
        <f t="shared" si="23"/>
        <v>-1.741312560166538</v>
      </c>
      <c r="AY55" s="425">
        <f t="shared" si="128"/>
        <v>8376.0219999999972</v>
      </c>
      <c r="AZ55" s="443">
        <f t="shared" si="129"/>
        <v>-6509.4480000000003</v>
      </c>
      <c r="BA55" s="331">
        <f t="shared" si="26"/>
        <v>-14885.469999999998</v>
      </c>
      <c r="BB55" s="510">
        <f t="shared" si="27"/>
        <v>-0.77715268656171177</v>
      </c>
    </row>
    <row r="56" spans="1:58" ht="16.899999999999999" thickTop="1">
      <c r="B56" s="1" t="s">
        <v>193</v>
      </c>
      <c r="C56" s="9">
        <f>+C55</f>
        <v>369.60099999999966</v>
      </c>
      <c r="D56" s="444">
        <f t="shared" ref="D56:E56" si="140">+D55</f>
        <v>-37.687000000000353</v>
      </c>
      <c r="E56" s="315">
        <f t="shared" si="140"/>
        <v>-405.94200000000012</v>
      </c>
      <c r="F56" s="344">
        <f t="shared" si="9"/>
        <v>-0.10196671545802199</v>
      </c>
      <c r="G56" s="10">
        <f>+C56+G55</f>
        <v>2299.2019999999993</v>
      </c>
      <c r="H56" s="444">
        <f>+D56+H55</f>
        <v>882.72799999999904</v>
      </c>
      <c r="I56" s="315">
        <f t="shared" ref="I56" si="141">+I55</f>
        <v>-1007.6880000000003</v>
      </c>
      <c r="J56" s="375">
        <f t="shared" si="10"/>
        <v>0.38392798892833224</v>
      </c>
      <c r="K56" s="314">
        <f>+G56+K55</f>
        <v>2343.1679999999988</v>
      </c>
      <c r="L56" s="467">
        <f>+H56+L55</f>
        <v>395.4859999999976</v>
      </c>
      <c r="M56" s="355">
        <f t="shared" ref="M56" si="142">+M55</f>
        <v>-521.61400000000003</v>
      </c>
      <c r="N56" s="344">
        <f t="shared" si="11"/>
        <v>0.16878260542991275</v>
      </c>
      <c r="O56" s="314">
        <f>+K56+O55</f>
        <v>2727.1339999999982</v>
      </c>
      <c r="P56" s="467">
        <f>+PL推移!J55</f>
        <v>268.92999999999745</v>
      </c>
      <c r="Q56" s="355">
        <f>+P56-O56</f>
        <v>-2458.2040000000006</v>
      </c>
      <c r="R56" s="344">
        <f t="shared" si="12"/>
        <v>9.861268276512912E-2</v>
      </c>
      <c r="S56" s="314">
        <f>+O56+S55</f>
        <v>3222.6199999999981</v>
      </c>
      <c r="T56" s="467">
        <f>+P56+T55</f>
        <v>-68.116000000002543</v>
      </c>
      <c r="U56" s="355">
        <f>+T56-S56</f>
        <v>-3290.7360000000008</v>
      </c>
      <c r="V56" s="344">
        <f t="shared" si="13"/>
        <v>-2.1136838969534909E-2</v>
      </c>
      <c r="W56" s="314">
        <f>+S56+W55</f>
        <v>4898.1059999999979</v>
      </c>
      <c r="X56" s="467">
        <f>+T56+X55</f>
        <v>1344.8319999999983</v>
      </c>
      <c r="Y56" s="355">
        <f>+X56-W56</f>
        <v>-3553.2739999999994</v>
      </c>
      <c r="Z56" s="344">
        <f t="shared" si="14"/>
        <v>0.27456163668160688</v>
      </c>
      <c r="AA56" s="314">
        <f>+W56+AA55</f>
        <v>5388.5919999999978</v>
      </c>
      <c r="AB56" s="467">
        <f>+X56+AB55</f>
        <v>113.42299999999727</v>
      </c>
      <c r="AC56" s="355">
        <f>+AB56-AA56</f>
        <v>-5275.1690000000008</v>
      </c>
      <c r="AD56" s="344">
        <f t="shared" si="15"/>
        <v>2.1048726643248798E-2</v>
      </c>
      <c r="AE56" s="314">
        <f>+AA56+AE55</f>
        <v>5649.0779999999977</v>
      </c>
      <c r="AF56" s="467">
        <f>+AB56+AF55</f>
        <v>-3143.1740000000018</v>
      </c>
      <c r="AG56" s="355">
        <f>+AF56-AE56</f>
        <v>-8792.2520000000004</v>
      </c>
      <c r="AH56" s="344">
        <f t="shared" si="16"/>
        <v>-0.55640477968263191</v>
      </c>
      <c r="AI56" s="314">
        <f>+AE56+AI55</f>
        <v>6896.5639999999976</v>
      </c>
      <c r="AJ56" s="467">
        <f>+AF56+AJ55</f>
        <v>-3169.273000000001</v>
      </c>
      <c r="AK56" s="355">
        <f>+AJ56-AI56</f>
        <v>-10065.837</v>
      </c>
      <c r="AL56" s="375">
        <f t="shared" si="17"/>
        <v>-0.45954376701209504</v>
      </c>
      <c r="AM56" s="314">
        <f>+AI56+AM55</f>
        <v>7175.0499999999975</v>
      </c>
      <c r="AN56" s="467">
        <f>+AJ56+AN55</f>
        <v>-4905.5790000000006</v>
      </c>
      <c r="AO56" s="355">
        <f>+AN56-AM56</f>
        <v>-12080.628999999997</v>
      </c>
      <c r="AP56" s="375">
        <f t="shared" si="19"/>
        <v>-0.68369962578658017</v>
      </c>
      <c r="AQ56" s="314">
        <f>+AM56+AQ55</f>
        <v>7800.5359999999973</v>
      </c>
      <c r="AR56" s="467">
        <f>+AN56+AR55</f>
        <v>-5507.3469999999998</v>
      </c>
      <c r="AS56" s="355">
        <f>+AR56-AQ56</f>
        <v>-13307.882999999998</v>
      </c>
      <c r="AT56" s="375">
        <f t="shared" si="21"/>
        <v>-0.70602161184821166</v>
      </c>
      <c r="AU56" s="314">
        <f>+AQ56+AU55</f>
        <v>8376.0219999999972</v>
      </c>
      <c r="AV56" s="365">
        <f>+AR56+AV55</f>
        <v>-6509.4480000000003</v>
      </c>
      <c r="AW56" s="355">
        <f>+AV56-AU56</f>
        <v>-14885.469999999998</v>
      </c>
      <c r="AX56" s="375">
        <f t="shared" si="23"/>
        <v>-0.77715268656171177</v>
      </c>
      <c r="AY56" s="9"/>
      <c r="AZ56" s="444"/>
      <c r="BA56" s="315"/>
      <c r="BB56" s="511" t="str">
        <f t="shared" si="27"/>
        <v>-</v>
      </c>
    </row>
    <row r="58" spans="1:58">
      <c r="C58" s="382" t="s">
        <v>380</v>
      </c>
      <c r="D58" s="383" t="s">
        <v>382</v>
      </c>
      <c r="E58" s="383"/>
      <c r="F58" s="378">
        <f>+E12</f>
        <v>-27</v>
      </c>
      <c r="G58" s="382" t="s">
        <v>380</v>
      </c>
      <c r="H58" s="383" t="s">
        <v>382</v>
      </c>
      <c r="I58" s="383"/>
      <c r="J58" s="378">
        <f>+I12</f>
        <v>-136</v>
      </c>
      <c r="K58" s="382" t="s">
        <v>380</v>
      </c>
      <c r="L58" s="383" t="s">
        <v>382</v>
      </c>
      <c r="M58" s="383"/>
      <c r="N58" s="378">
        <f>+M12</f>
        <v>-1188</v>
      </c>
      <c r="O58" s="382" t="s">
        <v>380</v>
      </c>
      <c r="P58" s="383" t="s">
        <v>382</v>
      </c>
      <c r="Q58" s="383"/>
      <c r="R58" s="378">
        <f>+Q12</f>
        <v>-1300</v>
      </c>
      <c r="S58" s="382" t="s">
        <v>380</v>
      </c>
      <c r="T58" s="383" t="s">
        <v>382</v>
      </c>
      <c r="U58" s="383"/>
      <c r="V58" s="378">
        <f>+U12</f>
        <v>-745</v>
      </c>
      <c r="W58" s="382" t="s">
        <v>3</v>
      </c>
      <c r="X58" s="383" t="s">
        <v>4</v>
      </c>
      <c r="Y58" s="383"/>
      <c r="Z58" s="378">
        <f>+Y12</f>
        <v>74</v>
      </c>
      <c r="AA58" s="382" t="s">
        <v>380</v>
      </c>
      <c r="AB58" s="383" t="s">
        <v>382</v>
      </c>
      <c r="AC58" s="383"/>
      <c r="AD58" s="378">
        <f>+AC12</f>
        <v>-1297</v>
      </c>
      <c r="AE58" s="382" t="s">
        <v>380</v>
      </c>
      <c r="AF58" s="383" t="s">
        <v>382</v>
      </c>
      <c r="AG58" s="383"/>
      <c r="AH58" s="378">
        <f>+AG12</f>
        <v>-858</v>
      </c>
      <c r="AI58" s="382" t="s">
        <v>380</v>
      </c>
      <c r="AJ58" s="383" t="s">
        <v>480</v>
      </c>
      <c r="AK58" s="383"/>
      <c r="AL58" s="393">
        <f>+AK11</f>
        <v>-2343</v>
      </c>
      <c r="AM58" s="382" t="s">
        <v>380</v>
      </c>
      <c r="AN58" s="383" t="s">
        <v>488</v>
      </c>
      <c r="AO58" s="383"/>
      <c r="AP58" s="393">
        <f>+AO11</f>
        <v>-2396.0060000000003</v>
      </c>
      <c r="AQ58" s="382" t="s">
        <v>380</v>
      </c>
      <c r="AR58" s="383" t="s">
        <v>382</v>
      </c>
      <c r="AS58" s="383"/>
      <c r="AT58" s="393">
        <f>+AS12</f>
        <v>-1599</v>
      </c>
      <c r="AU58" s="382" t="s">
        <v>380</v>
      </c>
      <c r="AV58" s="383" t="s">
        <v>382</v>
      </c>
      <c r="AW58" s="383"/>
      <c r="AX58" s="393">
        <f>+AW12</f>
        <v>-1633</v>
      </c>
      <c r="AY58" s="87"/>
      <c r="AZ58" s="127"/>
      <c r="BA58" s="127"/>
      <c r="BB58" s="491"/>
      <c r="BC58" s="2"/>
      <c r="BD58" s="2"/>
      <c r="BE58" s="2"/>
      <c r="BF58" s="13"/>
    </row>
    <row r="59" spans="1:58">
      <c r="A59" s="13"/>
      <c r="B59" s="13"/>
      <c r="C59" s="384"/>
      <c r="D59" s="385" t="s">
        <v>432</v>
      </c>
      <c r="E59" s="385"/>
      <c r="F59" s="379">
        <f>+E14</f>
        <v>114</v>
      </c>
      <c r="G59" s="384"/>
      <c r="H59" s="385" t="s">
        <v>401</v>
      </c>
      <c r="I59" s="385"/>
      <c r="J59" s="379">
        <f>+I16</f>
        <v>-1006</v>
      </c>
      <c r="K59" s="384"/>
      <c r="L59" s="385" t="s">
        <v>401</v>
      </c>
      <c r="M59" s="385"/>
      <c r="N59" s="379">
        <f>+M16</f>
        <v>-235</v>
      </c>
      <c r="O59" s="384"/>
      <c r="P59" s="385" t="s">
        <v>401</v>
      </c>
      <c r="Q59" s="385"/>
      <c r="R59" s="379">
        <f>+Q16</f>
        <v>191</v>
      </c>
      <c r="S59" s="384"/>
      <c r="T59" s="385" t="s">
        <v>401</v>
      </c>
      <c r="U59" s="385"/>
      <c r="V59" s="379">
        <f>+U16</f>
        <v>-357</v>
      </c>
      <c r="W59" s="384"/>
      <c r="X59" s="385" t="s">
        <v>463</v>
      </c>
      <c r="Y59" s="385"/>
      <c r="Z59" s="379">
        <f>+Y14</f>
        <v>-32</v>
      </c>
      <c r="AA59" s="384"/>
      <c r="AB59" s="385" t="s">
        <v>381</v>
      </c>
      <c r="AC59" s="385"/>
      <c r="AD59" s="379">
        <f>+AC14</f>
        <v>-13</v>
      </c>
      <c r="AE59" s="384"/>
      <c r="AF59" s="385" t="s">
        <v>381</v>
      </c>
      <c r="AG59" s="385"/>
      <c r="AH59" s="379">
        <f>+AG14</f>
        <v>-107</v>
      </c>
      <c r="AI59" s="384"/>
      <c r="AJ59" s="385" t="s">
        <v>382</v>
      </c>
      <c r="AK59" s="385"/>
      <c r="AL59" s="394">
        <f>+AK12</f>
        <v>-1885</v>
      </c>
      <c r="AM59" s="384"/>
      <c r="AN59" s="385" t="s">
        <v>4</v>
      </c>
      <c r="AO59" s="385"/>
      <c r="AP59" s="394">
        <f>+AO12</f>
        <v>-2002</v>
      </c>
      <c r="AQ59" s="384"/>
      <c r="AR59" s="385" t="s">
        <v>401</v>
      </c>
      <c r="AS59" s="385"/>
      <c r="AT59" s="394">
        <f>+AS16</f>
        <v>-447</v>
      </c>
      <c r="AU59" s="384"/>
      <c r="AV59" s="385" t="s">
        <v>401</v>
      </c>
      <c r="AW59" s="385"/>
      <c r="AX59" s="394">
        <f>+AW16</f>
        <v>-435</v>
      </c>
      <c r="AY59" s="87"/>
      <c r="AZ59" s="127"/>
      <c r="BA59" s="127"/>
      <c r="BB59" s="491"/>
      <c r="BC59" s="2"/>
      <c r="BD59" s="2"/>
      <c r="BE59" s="2"/>
      <c r="BF59" s="13"/>
    </row>
    <row r="60" spans="1:58">
      <c r="C60" s="384" t="s">
        <v>383</v>
      </c>
      <c r="D60" s="385" t="s">
        <v>384</v>
      </c>
      <c r="E60" s="385" t="s">
        <v>385</v>
      </c>
      <c r="F60" s="388" t="s">
        <v>433</v>
      </c>
      <c r="G60" s="384" t="s">
        <v>383</v>
      </c>
      <c r="H60" s="385" t="s">
        <v>384</v>
      </c>
      <c r="I60" s="385" t="s">
        <v>385</v>
      </c>
      <c r="J60" s="388" t="s">
        <v>436</v>
      </c>
      <c r="K60" s="384" t="s">
        <v>383</v>
      </c>
      <c r="L60" s="385" t="s">
        <v>384</v>
      </c>
      <c r="M60" s="385" t="s">
        <v>385</v>
      </c>
      <c r="N60" s="388" t="s">
        <v>446</v>
      </c>
      <c r="O60" s="384" t="s">
        <v>383</v>
      </c>
      <c r="P60" s="385" t="s">
        <v>384</v>
      </c>
      <c r="Q60" s="385" t="s">
        <v>385</v>
      </c>
      <c r="R60" s="388"/>
      <c r="S60" s="384" t="s">
        <v>383</v>
      </c>
      <c r="T60" s="385" t="s">
        <v>384</v>
      </c>
      <c r="U60" s="385" t="s">
        <v>385</v>
      </c>
      <c r="V60" s="388" t="s">
        <v>453</v>
      </c>
      <c r="W60" s="384" t="s">
        <v>464</v>
      </c>
      <c r="X60" s="385" t="s">
        <v>465</v>
      </c>
      <c r="Y60" s="385" t="s">
        <v>466</v>
      </c>
      <c r="Z60" s="388" t="s">
        <v>467</v>
      </c>
      <c r="AA60" s="384" t="s">
        <v>383</v>
      </c>
      <c r="AB60" s="385" t="s">
        <v>384</v>
      </c>
      <c r="AC60" s="385" t="s">
        <v>385</v>
      </c>
      <c r="AD60" s="388" t="s">
        <v>473</v>
      </c>
      <c r="AE60" s="384" t="s">
        <v>383</v>
      </c>
      <c r="AF60" s="385" t="s">
        <v>475</v>
      </c>
      <c r="AG60" s="385" t="s">
        <v>384</v>
      </c>
      <c r="AH60" s="388" t="s">
        <v>474</v>
      </c>
      <c r="AI60" s="384" t="s">
        <v>383</v>
      </c>
      <c r="AJ60" s="385" t="s">
        <v>481</v>
      </c>
      <c r="AK60" s="385" t="s">
        <v>384</v>
      </c>
      <c r="AL60" s="395" t="s">
        <v>482</v>
      </c>
      <c r="AM60" s="384" t="s">
        <v>383</v>
      </c>
      <c r="AN60" s="385" t="s">
        <v>384</v>
      </c>
      <c r="AO60" s="385" t="s">
        <v>385</v>
      </c>
      <c r="AP60" s="502" t="s">
        <v>489</v>
      </c>
      <c r="AQ60" s="384" t="s">
        <v>383</v>
      </c>
      <c r="AR60" s="385" t="s">
        <v>475</v>
      </c>
      <c r="AS60" s="385"/>
      <c r="AT60" s="395">
        <f>+PL推移!Y17</f>
        <v>0.32160710979448248</v>
      </c>
      <c r="AU60" s="384" t="s">
        <v>383</v>
      </c>
      <c r="AV60" s="385" t="s">
        <v>384</v>
      </c>
      <c r="AW60" s="385" t="s">
        <v>385</v>
      </c>
      <c r="AX60" s="395" t="s">
        <v>492</v>
      </c>
      <c r="AY60" s="87"/>
      <c r="AZ60" s="127"/>
      <c r="BA60" s="127"/>
      <c r="BB60" s="492"/>
      <c r="BC60" s="458"/>
      <c r="BD60" s="458"/>
      <c r="BE60" s="458"/>
      <c r="BF60" s="13"/>
    </row>
    <row r="61" spans="1:58">
      <c r="C61" s="384"/>
      <c r="D61" s="385"/>
      <c r="E61" s="385" t="s">
        <v>386</v>
      </c>
      <c r="F61" s="388" t="s">
        <v>434</v>
      </c>
      <c r="G61" s="384"/>
      <c r="H61" s="385" t="s">
        <v>437</v>
      </c>
      <c r="I61" s="385" t="s">
        <v>438</v>
      </c>
      <c r="J61" s="388" t="s">
        <v>440</v>
      </c>
      <c r="K61" s="384"/>
      <c r="L61" s="385" t="s">
        <v>437</v>
      </c>
      <c r="M61" s="385" t="s">
        <v>438</v>
      </c>
      <c r="N61" s="388" t="s">
        <v>447</v>
      </c>
      <c r="O61" s="384"/>
      <c r="P61" s="385" t="s">
        <v>437</v>
      </c>
      <c r="Q61" s="385" t="s">
        <v>438</v>
      </c>
      <c r="R61" s="388" t="s">
        <v>450</v>
      </c>
      <c r="S61" s="384"/>
      <c r="T61" s="385" t="s">
        <v>437</v>
      </c>
      <c r="U61" s="385" t="s">
        <v>438</v>
      </c>
      <c r="V61" s="388" t="s">
        <v>454</v>
      </c>
      <c r="W61" s="384"/>
      <c r="X61" s="385"/>
      <c r="Y61" s="385" t="s">
        <v>468</v>
      </c>
      <c r="Z61" s="388" t="s">
        <v>469</v>
      </c>
      <c r="AA61" s="384"/>
      <c r="AB61" s="385" t="s">
        <v>387</v>
      </c>
      <c r="AC61" s="385"/>
      <c r="AD61" s="388">
        <f>+PL推移!Q19</f>
        <v>0.43916913946587538</v>
      </c>
      <c r="AE61" s="384"/>
      <c r="AF61" s="385" t="s">
        <v>387</v>
      </c>
      <c r="AG61" s="385" t="s">
        <v>476</v>
      </c>
      <c r="AH61" s="388" t="s">
        <v>477</v>
      </c>
      <c r="AI61" s="384"/>
      <c r="AJ61" s="385" t="s">
        <v>387</v>
      </c>
      <c r="AK61" s="385" t="s">
        <v>484</v>
      </c>
      <c r="AL61" s="395">
        <v>0.432</v>
      </c>
      <c r="AM61" s="384"/>
      <c r="AN61" s="385" t="s">
        <v>470</v>
      </c>
      <c r="AO61" s="385" t="s">
        <v>398</v>
      </c>
      <c r="AP61" s="395" t="s">
        <v>490</v>
      </c>
      <c r="AQ61" s="384"/>
      <c r="AR61" s="385" t="s">
        <v>387</v>
      </c>
      <c r="AS61" s="385"/>
      <c r="AT61" s="395">
        <f>+PL推移!Y19</f>
        <v>0.2847826086956522</v>
      </c>
      <c r="AU61" s="384"/>
      <c r="AV61" s="385" t="s">
        <v>387</v>
      </c>
      <c r="AW61" s="385" t="s">
        <v>398</v>
      </c>
      <c r="AX61" s="395" t="s">
        <v>493</v>
      </c>
      <c r="AY61" s="87"/>
      <c r="AZ61" s="127"/>
      <c r="BA61" s="127"/>
      <c r="BB61" s="495"/>
      <c r="BC61" s="458"/>
      <c r="BD61" s="458"/>
      <c r="BE61" s="458"/>
      <c r="BF61" s="13"/>
    </row>
    <row r="62" spans="1:58">
      <c r="C62" s="384"/>
      <c r="D62" s="385" t="s">
        <v>387</v>
      </c>
      <c r="E62" s="385"/>
      <c r="F62" s="389" t="s">
        <v>435</v>
      </c>
      <c r="G62" s="384" t="s">
        <v>442</v>
      </c>
      <c r="H62" s="385" t="s">
        <v>443</v>
      </c>
      <c r="I62" s="385"/>
      <c r="J62" s="389" t="s">
        <v>444</v>
      </c>
      <c r="K62" s="384" t="s">
        <v>442</v>
      </c>
      <c r="L62" s="385" t="s">
        <v>443</v>
      </c>
      <c r="M62" s="385"/>
      <c r="N62" s="389" t="s">
        <v>448</v>
      </c>
      <c r="O62" s="384" t="s">
        <v>442</v>
      </c>
      <c r="P62" s="385" t="s">
        <v>443</v>
      </c>
      <c r="Q62" s="385"/>
      <c r="R62" s="388" t="s">
        <v>451</v>
      </c>
      <c r="S62" s="384" t="s">
        <v>442</v>
      </c>
      <c r="T62" s="385" t="s">
        <v>443</v>
      </c>
      <c r="U62" s="385"/>
      <c r="V62" s="388" t="s">
        <v>455</v>
      </c>
      <c r="W62" s="384"/>
      <c r="X62" s="385" t="s">
        <v>470</v>
      </c>
      <c r="Y62" s="385" t="s">
        <v>471</v>
      </c>
      <c r="Z62" s="388">
        <v>0.376</v>
      </c>
      <c r="AA62" s="384" t="s">
        <v>394</v>
      </c>
      <c r="AB62" s="385" t="s">
        <v>378</v>
      </c>
      <c r="AC62" s="385"/>
      <c r="AD62" s="379">
        <f>+AC42</f>
        <v>284.61200000000008</v>
      </c>
      <c r="AE62" s="384" t="s">
        <v>394</v>
      </c>
      <c r="AF62" s="385" t="s">
        <v>395</v>
      </c>
      <c r="AG62" s="385"/>
      <c r="AH62" s="392">
        <f>+AG42</f>
        <v>375.76099999999997</v>
      </c>
      <c r="AI62" s="384" t="s">
        <v>483</v>
      </c>
      <c r="AJ62" s="385" t="s">
        <v>485</v>
      </c>
      <c r="AK62" s="385"/>
      <c r="AL62" s="394">
        <f>+AK30</f>
        <v>340.39600000000019</v>
      </c>
      <c r="AM62" s="384" t="s">
        <v>478</v>
      </c>
      <c r="AN62" s="385" t="s">
        <v>485</v>
      </c>
      <c r="AO62" s="385"/>
      <c r="AP62" s="400">
        <f>+AO46</f>
        <v>-155.66</v>
      </c>
      <c r="AQ62" s="384" t="s">
        <v>483</v>
      </c>
      <c r="AR62" s="385" t="s">
        <v>491</v>
      </c>
      <c r="AS62" s="385"/>
      <c r="AT62" s="400">
        <f>+AS30</f>
        <v>68.577000000000226</v>
      </c>
      <c r="AU62" s="384" t="s">
        <v>397</v>
      </c>
      <c r="AV62" s="385"/>
      <c r="AW62" s="385"/>
      <c r="AX62" s="400">
        <f>+AW30</f>
        <v>-79.03899999999976</v>
      </c>
      <c r="AY62" s="87"/>
      <c r="AZ62" s="127"/>
      <c r="BA62" s="127"/>
      <c r="BB62" s="492"/>
      <c r="BC62" s="458"/>
      <c r="BD62" s="458"/>
      <c r="BE62" s="458"/>
      <c r="BF62" s="13"/>
    </row>
    <row r="63" spans="1:58">
      <c r="C63" s="384" t="s">
        <v>388</v>
      </c>
      <c r="D63" s="385" t="s">
        <v>389</v>
      </c>
      <c r="E63" s="385"/>
      <c r="F63" s="379">
        <v>146</v>
      </c>
      <c r="G63" s="384" t="s">
        <v>397</v>
      </c>
      <c r="H63" s="385"/>
      <c r="I63" s="385" t="s">
        <v>371</v>
      </c>
      <c r="J63" s="379">
        <f>+E30+I30</f>
        <v>-719.83399999999983</v>
      </c>
      <c r="K63" s="384" t="s">
        <v>397</v>
      </c>
      <c r="L63" s="385"/>
      <c r="M63" s="385" t="s">
        <v>371</v>
      </c>
      <c r="N63" s="379">
        <v>-1314</v>
      </c>
      <c r="O63" s="384" t="s">
        <v>397</v>
      </c>
      <c r="P63" s="385"/>
      <c r="Q63" s="385" t="s">
        <v>371</v>
      </c>
      <c r="R63" s="379">
        <v>-1384</v>
      </c>
      <c r="S63" s="384" t="s">
        <v>397</v>
      </c>
      <c r="T63" s="385"/>
      <c r="U63" s="385" t="s">
        <v>371</v>
      </c>
      <c r="V63" s="379">
        <f>+BA30</f>
        <v>-1107.551999999996</v>
      </c>
      <c r="W63" s="384" t="s">
        <v>30</v>
      </c>
      <c r="X63" s="385" t="s">
        <v>472</v>
      </c>
      <c r="Y63" s="385"/>
      <c r="Z63" s="379">
        <v>91</v>
      </c>
      <c r="AA63" s="384"/>
      <c r="AB63" s="385"/>
      <c r="AC63" s="385"/>
      <c r="AD63" s="379"/>
      <c r="AE63" s="384" t="s">
        <v>478</v>
      </c>
      <c r="AF63" s="385" t="s">
        <v>479</v>
      </c>
      <c r="AG63" s="385"/>
      <c r="AH63" s="379">
        <v>2006</v>
      </c>
      <c r="AI63" s="384" t="s">
        <v>394</v>
      </c>
      <c r="AJ63" s="385" t="s">
        <v>485</v>
      </c>
      <c r="AK63" s="385"/>
      <c r="AL63" s="394">
        <f>+AK42</f>
        <v>113.64699999999993</v>
      </c>
      <c r="AM63" s="384"/>
      <c r="AN63" s="503"/>
      <c r="AO63" s="385"/>
      <c r="AP63" s="400"/>
      <c r="AQ63" s="384" t="s">
        <v>442</v>
      </c>
      <c r="AR63" s="513" t="s">
        <v>443</v>
      </c>
      <c r="AS63" s="385"/>
      <c r="AT63" s="514">
        <f>+PL推移!Y58</f>
        <v>0.69206679336847521</v>
      </c>
      <c r="AU63" s="384"/>
      <c r="AV63" s="513"/>
      <c r="AW63" s="385" t="s">
        <v>442</v>
      </c>
      <c r="AX63" s="514">
        <f>+PL推移!AA58</f>
        <v>0.64355081349930998</v>
      </c>
      <c r="AY63" s="87" t="s">
        <v>494</v>
      </c>
      <c r="AZ63" s="493"/>
      <c r="BA63" s="127"/>
      <c r="BB63" s="494"/>
      <c r="BC63" s="2"/>
      <c r="BD63" s="2"/>
      <c r="BE63" s="2"/>
      <c r="BF63" s="13"/>
    </row>
    <row r="64" spans="1:58">
      <c r="C64" s="386" t="s">
        <v>390</v>
      </c>
      <c r="D64" s="387" t="s">
        <v>391</v>
      </c>
      <c r="E64" s="387" t="s">
        <v>392</v>
      </c>
      <c r="F64" s="380">
        <v>120</v>
      </c>
      <c r="G64" s="386" t="s">
        <v>394</v>
      </c>
      <c r="H64" s="387"/>
      <c r="I64" s="387" t="s">
        <v>371</v>
      </c>
      <c r="J64" s="380">
        <f>+E42+I42</f>
        <v>439.22500000000014</v>
      </c>
      <c r="K64" s="386" t="s">
        <v>394</v>
      </c>
      <c r="L64" s="387"/>
      <c r="M64" s="387" t="s">
        <v>371</v>
      </c>
      <c r="N64" s="380">
        <v>547</v>
      </c>
      <c r="O64" s="386" t="s">
        <v>394</v>
      </c>
      <c r="P64" s="387"/>
      <c r="Q64" s="387" t="s">
        <v>371</v>
      </c>
      <c r="R64" s="380">
        <v>445</v>
      </c>
      <c r="S64" s="386" t="s">
        <v>394</v>
      </c>
      <c r="T64" s="387"/>
      <c r="U64" s="387" t="s">
        <v>371</v>
      </c>
      <c r="V64" s="380">
        <f>+BA42</f>
        <v>1084.0909999999985</v>
      </c>
      <c r="W64" s="386" t="s">
        <v>19</v>
      </c>
      <c r="X64" s="387" t="s">
        <v>393</v>
      </c>
      <c r="Y64" s="387" t="s">
        <v>396</v>
      </c>
      <c r="Z64" s="380">
        <v>120</v>
      </c>
      <c r="AA64" s="386"/>
      <c r="AB64" s="387"/>
      <c r="AC64" s="387"/>
      <c r="AD64" s="380"/>
      <c r="AE64" s="386"/>
      <c r="AF64" s="387"/>
      <c r="AG64" s="387"/>
      <c r="AH64" s="380"/>
      <c r="AI64" s="386" t="s">
        <v>486</v>
      </c>
      <c r="AJ64" s="387" t="s">
        <v>402</v>
      </c>
      <c r="AK64" s="387"/>
      <c r="AL64" s="500">
        <v>1000</v>
      </c>
      <c r="AM64" s="386"/>
      <c r="AN64" s="387"/>
      <c r="AO64" s="387"/>
      <c r="AP64" s="500"/>
      <c r="AQ64" s="386"/>
      <c r="AR64" s="387"/>
      <c r="AS64" s="387"/>
      <c r="AT64" s="500"/>
      <c r="AU64" s="386" t="s">
        <v>394</v>
      </c>
      <c r="AV64" s="387" t="s">
        <v>495</v>
      </c>
      <c r="AW64" s="387" t="s">
        <v>496</v>
      </c>
      <c r="AX64" s="500">
        <v>475</v>
      </c>
      <c r="AY64" s="87" t="s">
        <v>497</v>
      </c>
      <c r="AZ64" s="127"/>
      <c r="BA64" s="127"/>
      <c r="BB64" s="491"/>
      <c r="BC64" s="2"/>
      <c r="BD64" s="2"/>
      <c r="BE64" s="2"/>
      <c r="BF64" s="13"/>
    </row>
    <row r="65" spans="23:52">
      <c r="W65" s="11"/>
      <c r="X65" s="11"/>
      <c r="Y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</row>
    <row r="66" spans="23:52">
      <c r="W66" s="11"/>
      <c r="X66" s="11"/>
      <c r="Y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</row>
    <row r="67" spans="23:52">
      <c r="AQ67" s="11"/>
      <c r="AR67" s="11"/>
      <c r="AS67" s="11"/>
      <c r="AT67" s="11"/>
    </row>
    <row r="68" spans="23:52">
      <c r="AQ68" s="11"/>
      <c r="AR68" s="11"/>
      <c r="AS68" s="11"/>
      <c r="AT68" s="11"/>
    </row>
    <row r="69" spans="23:52">
      <c r="AQ69" s="11"/>
      <c r="AR69" s="11"/>
      <c r="AS69" s="11"/>
      <c r="AT69" s="11"/>
      <c r="AX69" s="407"/>
    </row>
    <row r="70" spans="23:52">
      <c r="AQ70" s="11"/>
      <c r="AR70" s="11"/>
      <c r="AS70" s="11"/>
      <c r="AT70" s="11"/>
      <c r="AX70" s="407"/>
    </row>
    <row r="71" spans="23:52">
      <c r="AQ71" s="11"/>
      <c r="AR71" s="11"/>
      <c r="AS71" s="11"/>
      <c r="AT71" s="11"/>
    </row>
    <row r="72" spans="23:52">
      <c r="AQ72" s="11"/>
      <c r="AR72" s="11"/>
      <c r="AS72" s="11"/>
      <c r="AT72" s="11"/>
    </row>
    <row r="73" spans="23:52">
      <c r="AQ73" s="11"/>
      <c r="AR73" s="11"/>
      <c r="AS73" s="11"/>
      <c r="AT73" s="11"/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Q47"/>
  <sheetViews>
    <sheetView topLeftCell="B1" workbookViewId="0">
      <pane xSplit="3" ySplit="4" topLeftCell="H5" activePane="bottomRight" state="frozen"/>
      <selection activeCell="B1" sqref="B1"/>
      <selection pane="topRight" activeCell="E1" sqref="E1"/>
      <selection pane="bottomLeft" activeCell="B5" sqref="B5"/>
      <selection pane="bottomRight" activeCell="R25" sqref="R25"/>
    </sheetView>
  </sheetViews>
  <sheetFormatPr defaultColWidth="9" defaultRowHeight="16.5" outlineLevelCol="2"/>
  <cols>
    <col min="1" max="1" width="9" style="1"/>
    <col min="2" max="2" width="5.625" style="1" customWidth="1"/>
    <col min="3" max="3" width="16.625" style="1" customWidth="1"/>
    <col min="4" max="4" width="10.625" style="1" customWidth="1"/>
    <col min="5" max="14" width="14.625" style="34" customWidth="1"/>
    <col min="15" max="16" width="14.625" style="34" customWidth="1" outlineLevel="2"/>
    <col min="17" max="16384" width="9" style="1"/>
  </cols>
  <sheetData>
    <row r="1" spans="2:17">
      <c r="E1" s="41" t="s">
        <v>185</v>
      </c>
      <c r="F1" s="42" t="s">
        <v>186</v>
      </c>
      <c r="G1" s="43" t="s">
        <v>187</v>
      </c>
      <c r="H1" s="44"/>
      <c r="I1" s="44"/>
      <c r="J1" s="44"/>
      <c r="K1" s="44"/>
      <c r="L1" s="44"/>
      <c r="M1" s="44"/>
      <c r="N1" s="44"/>
      <c r="O1" s="44"/>
      <c r="P1" s="44"/>
    </row>
    <row r="2" spans="2:17" s="47" customFormat="1" ht="17.649999999999999">
      <c r="B2" s="48" t="s">
        <v>159</v>
      </c>
      <c r="E2" s="33" t="str">
        <f>+PL推移!D7</f>
        <v>㈱ｅｓエンターテイメント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4" spans="2:17" ht="16.899999999999999" thickBot="1">
      <c r="B4" s="50">
        <f>+PL推移!B8</f>
        <v>2025</v>
      </c>
      <c r="C4" s="50" t="s">
        <v>150</v>
      </c>
      <c r="D4" s="24" t="s">
        <v>152</v>
      </c>
      <c r="E4" s="35" t="str">
        <f>+BS千円!D1</f>
        <v>7月</v>
      </c>
      <c r="F4" s="36" t="str">
        <f>+BS千円!E1</f>
        <v>8月</v>
      </c>
      <c r="G4" s="36" t="str">
        <f>+BS千円!F1</f>
        <v>9月</v>
      </c>
      <c r="H4" s="36" t="str">
        <f>+BS千円!G1</f>
        <v>10月</v>
      </c>
      <c r="I4" s="36" t="str">
        <f>+BS千円!H1</f>
        <v>11月</v>
      </c>
      <c r="J4" s="36" t="str">
        <f>+BS千円!I1</f>
        <v>12月</v>
      </c>
      <c r="K4" s="36" t="str">
        <f>+BS千円!J1</f>
        <v>1月</v>
      </c>
      <c r="L4" s="36" t="str">
        <f>+BS千円!K1</f>
        <v>2月</v>
      </c>
      <c r="M4" s="36">
        <f>+BS千円!L1</f>
        <v>3</v>
      </c>
      <c r="N4" s="36">
        <f>+BS千円!M1</f>
        <v>4</v>
      </c>
      <c r="O4" s="36" t="str">
        <f>+BS千円!N1</f>
        <v>5月</v>
      </c>
      <c r="P4" s="36" t="str">
        <f>+BS千円!O1</f>
        <v>6月</v>
      </c>
    </row>
    <row r="5" spans="2:17" s="47" customFormat="1" ht="16.899999999999999" thickTop="1">
      <c r="B5" s="47" t="s">
        <v>160</v>
      </c>
      <c r="E5" s="89">
        <f t="shared" ref="E5" si="0">+E6-E7+E8-E9-E10-E11+E12+E13</f>
        <v>-243.30599999999936</v>
      </c>
      <c r="F5" s="65">
        <f t="shared" ref="F5:P5" si="1">+F6-F7+F8-F9-F10-F11+F12+F13</f>
        <v>-1846.8169999999989</v>
      </c>
      <c r="G5" s="65">
        <f t="shared" si="1"/>
        <v>-147.4320000000007</v>
      </c>
      <c r="H5" s="65">
        <f t="shared" si="1"/>
        <v>31.533000000000357</v>
      </c>
      <c r="I5" s="65">
        <f t="shared" si="1"/>
        <v>893.75399999999991</v>
      </c>
      <c r="J5" s="65">
        <f t="shared" si="1"/>
        <v>1522.5659999999993</v>
      </c>
      <c r="K5" s="65">
        <f t="shared" si="1"/>
        <v>-1213.3719999999989</v>
      </c>
      <c r="L5" s="65">
        <f t="shared" si="1"/>
        <v>-4528.1459999999979</v>
      </c>
      <c r="M5" s="65">
        <f t="shared" si="1"/>
        <v>-93.385000000002492</v>
      </c>
      <c r="N5" s="65">
        <f t="shared" si="1"/>
        <v>-1490.0549999999994</v>
      </c>
      <c r="O5" s="65">
        <f t="shared" si="1"/>
        <v>-64.055000000000518</v>
      </c>
      <c r="P5" s="65">
        <f t="shared" si="1"/>
        <v>5521.396999999999</v>
      </c>
    </row>
    <row r="6" spans="2:17">
      <c r="C6" s="8" t="s">
        <v>161</v>
      </c>
      <c r="D6" s="25" t="s">
        <v>168</v>
      </c>
      <c r="E6" s="90">
        <f>+月次PL!C62/1000</f>
        <v>-37.686999999999998</v>
      </c>
      <c r="F6" s="66">
        <f>+月次PL!D62/1000</f>
        <v>920.41499999999996</v>
      </c>
      <c r="G6" s="66">
        <f>+月次PL!E62/1000</f>
        <v>-487.24200000000002</v>
      </c>
      <c r="H6" s="66">
        <f>+月次PL!F62/1000</f>
        <v>-126.556</v>
      </c>
      <c r="I6" s="66">
        <f>+月次PL!G62/1000</f>
        <v>-337.04599999999999</v>
      </c>
      <c r="J6" s="66">
        <f>+月次PL!H62/1000</f>
        <v>1412.9480000000001</v>
      </c>
      <c r="K6" s="66">
        <f>+月次PL!I62/1000</f>
        <v>-1231.4090000000001</v>
      </c>
      <c r="L6" s="66">
        <f>+月次PL!J62/1000</f>
        <v>-3256.5970000000002</v>
      </c>
      <c r="M6" s="66">
        <f>+月次PL!K62/1000</f>
        <v>-27.805</v>
      </c>
      <c r="N6" s="66">
        <f>+月次PL!L62/1000</f>
        <v>-1736.306</v>
      </c>
      <c r="O6" s="66">
        <f>+月次PL!M62/1000</f>
        <v>-601.76800000000003</v>
      </c>
      <c r="P6" s="66">
        <f>+月次PL!N62/1000</f>
        <v>-1002.101</v>
      </c>
    </row>
    <row r="7" spans="2:17">
      <c r="C7" s="5" t="s">
        <v>162</v>
      </c>
      <c r="D7" s="26" t="s">
        <v>170</v>
      </c>
      <c r="E7" s="45">
        <f>+月次PL!C63/1000+BS千円!C61-BS千円!D61+BS千円!C60-BS千円!D60</f>
        <v>0</v>
      </c>
      <c r="F7" s="46">
        <f>+月次PL!D63/1000+BS千円!D61-BS千円!E61+BS千円!D60-BS千円!E60</f>
        <v>3455.5</v>
      </c>
      <c r="G7" s="46">
        <f>+月次PL!E63/1000+BS千円!E61-BS千円!F61+BS千円!E60-BS千円!F60</f>
        <v>0</v>
      </c>
      <c r="H7" s="46">
        <f>+月次PL!F63/1000+BS千円!F61-BS千円!G61+BS千円!F60-BS千円!G60</f>
        <v>0</v>
      </c>
      <c r="I7" s="46">
        <f>+月次PL!G63/1000+BS千円!G61-BS千円!H61+BS千円!G60-BS千円!H60</f>
        <v>0</v>
      </c>
      <c r="J7" s="46">
        <f>+月次PL!H63/1000+BS千円!H61-BS千円!I61+BS千円!H60-BS千円!I60</f>
        <v>0</v>
      </c>
      <c r="K7" s="46">
        <f>+月次PL!I63/1000+BS千円!I61-BS千円!J61+BS千円!I60-BS千円!J60</f>
        <v>0</v>
      </c>
      <c r="L7" s="46">
        <f>+月次PL!J63/1000+BS千円!J61-BS千円!K61+BS千円!J60-BS千円!K60</f>
        <v>1943.5</v>
      </c>
      <c r="M7" s="46">
        <f>+月次PL!K63/1000+BS千円!K61-BS千円!L61+BS千円!K60-BS千円!L60</f>
        <v>0</v>
      </c>
      <c r="N7" s="46">
        <f>+月次PL!L63/1000+BS千円!L61-BS千円!M61+BS千円!L60-BS千円!M60</f>
        <v>0</v>
      </c>
      <c r="O7" s="46">
        <f>+月次PL!M63/1000+BS千円!M61-BS千円!N61+BS千円!M60-BS千円!N60</f>
        <v>0</v>
      </c>
      <c r="P7" s="46">
        <f>+月次PL!N63/1000+BS千円!N61-BS千円!O61+BS千円!N60-BS千円!O60</f>
        <v>0</v>
      </c>
    </row>
    <row r="8" spans="2:17">
      <c r="C8" s="5" t="s">
        <v>145</v>
      </c>
      <c r="D8" s="26" t="s">
        <v>168</v>
      </c>
      <c r="E8" s="45">
        <f>+月次PL!C40/1000</f>
        <v>690.58900000000006</v>
      </c>
      <c r="F8" s="46">
        <f>+月次PL!D40/1000</f>
        <v>690.58900000000006</v>
      </c>
      <c r="G8" s="46">
        <f>+月次PL!E40/1000</f>
        <v>690.58900000000006</v>
      </c>
      <c r="H8" s="46">
        <f>+月次PL!F40/1000</f>
        <v>690.58900000000006</v>
      </c>
      <c r="I8" s="46">
        <f>+月次PL!G40/1000</f>
        <v>690.58900000000006</v>
      </c>
      <c r="J8" s="46">
        <f>+月次PL!H40/1000</f>
        <v>690.58900000000006</v>
      </c>
      <c r="K8" s="46">
        <f>+月次PL!I40/1000</f>
        <v>690.58900000000006</v>
      </c>
      <c r="L8" s="46">
        <f>+月次PL!J40/1000</f>
        <v>690.58900000000006</v>
      </c>
      <c r="M8" s="46">
        <f>+月次PL!K40/1000</f>
        <v>690.58900000000006</v>
      </c>
      <c r="N8" s="46">
        <f>+月次PL!L40/1000</f>
        <v>690.58900000000006</v>
      </c>
      <c r="O8" s="46">
        <f>+月次PL!M40/1000</f>
        <v>690.58900000000006</v>
      </c>
      <c r="P8" s="46">
        <f>+月次PL!N40/1000</f>
        <v>690.58900000000006</v>
      </c>
    </row>
    <row r="9" spans="2:17">
      <c r="C9" s="5" t="s">
        <v>163</v>
      </c>
      <c r="D9" s="26" t="s">
        <v>170</v>
      </c>
      <c r="E9" s="45">
        <f>+BS千円!D11-BS千円!C11</f>
        <v>953.65699999999924</v>
      </c>
      <c r="F9" s="46">
        <f>+BS千円!E11-BS千円!D11</f>
        <v>845.72699999999895</v>
      </c>
      <c r="G9" s="46">
        <f>+BS千円!F11-BS千円!E11</f>
        <v>-318.05099999999948</v>
      </c>
      <c r="H9" s="46">
        <f>+BS千円!G11-BS千円!F11</f>
        <v>1075.7029999999995</v>
      </c>
      <c r="I9" s="46">
        <f>+BS千円!H11-BS千円!G11</f>
        <v>299.3760000000002</v>
      </c>
      <c r="J9" s="46">
        <f>+BS千円!I11-BS千円!H11</f>
        <v>1779.4560000000001</v>
      </c>
      <c r="K9" s="46">
        <f>+BS千円!J11-BS千円!I11</f>
        <v>-554.03399999999965</v>
      </c>
      <c r="L9" s="46">
        <f>+BS千円!K11-BS千円!J11</f>
        <v>656.0059999999994</v>
      </c>
      <c r="M9" s="46">
        <f>+BS千円!L11-BS千円!K11</f>
        <v>1061.0900000000001</v>
      </c>
      <c r="N9" s="46">
        <f>+BS千円!M11-BS千円!L11</f>
        <v>521.11700000000019</v>
      </c>
      <c r="O9" s="46">
        <f>+BS千円!N11-BS千円!M11</f>
        <v>1160.3050000000003</v>
      </c>
      <c r="P9" s="46">
        <f>+BS千円!O11-BS千円!N11</f>
        <v>-6716.9699999999993</v>
      </c>
    </row>
    <row r="10" spans="2:17">
      <c r="C10" s="5" t="s">
        <v>164</v>
      </c>
      <c r="D10" s="26" t="s">
        <v>170</v>
      </c>
      <c r="E10" s="45">
        <f>+BS千円!D17-BS千円!C17</f>
        <v>136.01099999999997</v>
      </c>
      <c r="F10" s="46">
        <f>+BS千円!E17-BS千円!D17</f>
        <v>-171.62599999999998</v>
      </c>
      <c r="G10" s="46">
        <f>+BS千円!F17-BS千円!E17</f>
        <v>29.230999999999995</v>
      </c>
      <c r="H10" s="46">
        <f>+BS千円!G17-BS千円!F17</f>
        <v>-37.093000000000075</v>
      </c>
      <c r="I10" s="46">
        <f>+BS千円!H17-BS千円!G17</f>
        <v>159.04700000000003</v>
      </c>
      <c r="J10" s="46">
        <f>+BS千円!I17-BS千円!H17</f>
        <v>237.17200000000003</v>
      </c>
      <c r="K10" s="46">
        <f>+BS千円!J17-BS千円!I17</f>
        <v>-171.14400000000001</v>
      </c>
      <c r="L10" s="46">
        <f>+BS千円!K17-BS千円!J17</f>
        <v>78.654999999999973</v>
      </c>
      <c r="M10" s="46">
        <f>+BS千円!L17-BS千円!K17</f>
        <v>68.920000000000073</v>
      </c>
      <c r="N10" s="46">
        <f>+BS千円!M17-BS千円!L17</f>
        <v>11.395999999999958</v>
      </c>
      <c r="O10" s="46">
        <f>+BS千円!N17-BS千円!M17</f>
        <v>-231.86699999999996</v>
      </c>
      <c r="P10" s="46">
        <f>+BS千円!O17-BS千円!N17</f>
        <v>-251.93299999999999</v>
      </c>
    </row>
    <row r="11" spans="2:17">
      <c r="C11" s="5" t="s">
        <v>165</v>
      </c>
      <c r="D11" s="26" t="s">
        <v>170</v>
      </c>
      <c r="E11" s="45">
        <f>+BS千円!D24-BS千円!C24</f>
        <v>749.76200000000017</v>
      </c>
      <c r="F11" s="46">
        <f>+BS千円!E24-BS千円!D24</f>
        <v>358.51299999999992</v>
      </c>
      <c r="G11" s="46">
        <f>+BS千円!F24-BS千円!E24</f>
        <v>712.8739999999998</v>
      </c>
      <c r="H11" s="46">
        <f>+BS千円!G24-BS千円!F24</f>
        <v>496.28000000000065</v>
      </c>
      <c r="I11" s="46">
        <f>+BS千円!H24-BS千円!G24</f>
        <v>694.26299999999992</v>
      </c>
      <c r="J11" s="46">
        <f>+BS千円!I24-BS千円!H24</f>
        <v>674.11599999999999</v>
      </c>
      <c r="K11" s="46">
        <f>+BS千円!J24-BS千円!I24</f>
        <v>223.12599999999929</v>
      </c>
      <c r="L11" s="46">
        <f>+BS千円!K24-BS千円!J24</f>
        <v>708.44700000000012</v>
      </c>
      <c r="M11" s="46">
        <f>+BS千円!L24-BS千円!K24</f>
        <v>400.29600000000028</v>
      </c>
      <c r="N11" s="46">
        <f>+BS千円!M24-BS千円!L24</f>
        <v>651.3100000000004</v>
      </c>
      <c r="O11" s="46">
        <f>+BS千円!N24-BS千円!M24</f>
        <v>650.19700000000012</v>
      </c>
      <c r="P11" s="46">
        <f>+BS千円!O24-BS千円!N24</f>
        <v>713.63600000000042</v>
      </c>
      <c r="Q11" s="32"/>
    </row>
    <row r="12" spans="2:17">
      <c r="C12" s="5" t="s">
        <v>166</v>
      </c>
      <c r="D12" s="26" t="s">
        <v>168</v>
      </c>
      <c r="E12" s="45">
        <f>+BS千円!D95-BS千円!C95</f>
        <v>391.57099999999991</v>
      </c>
      <c r="F12" s="46">
        <f>+BS千円!E95-BS千円!D95</f>
        <v>-285.02700000000004</v>
      </c>
      <c r="G12" s="46">
        <f>+BS千円!F95-BS千円!E95</f>
        <v>-850.07700000000023</v>
      </c>
      <c r="H12" s="46">
        <f>+BS千円!G95-BS千円!F95</f>
        <v>-211.43099999999959</v>
      </c>
      <c r="I12" s="46">
        <f>+BS千円!H95-BS千円!G95</f>
        <v>1085.2689999999993</v>
      </c>
      <c r="J12" s="46">
        <f>+BS千円!I95-BS千円!H95</f>
        <v>1572.9179999999997</v>
      </c>
      <c r="K12" s="46">
        <f>+BS千円!J95-BS千円!I95</f>
        <v>-1977.3879999999999</v>
      </c>
      <c r="L12" s="46">
        <f>+BS千円!K95-BS千円!J95</f>
        <v>454.96400000000085</v>
      </c>
      <c r="M12" s="46">
        <f>+BS千円!L95-BS千円!K95</f>
        <v>-394.55900000000111</v>
      </c>
      <c r="N12" s="46">
        <f>+BS千円!M95-BS千円!L95</f>
        <v>-77.409999999998945</v>
      </c>
      <c r="O12" s="46">
        <f>+BS千円!N95-BS千円!M95</f>
        <v>572.38199999999961</v>
      </c>
      <c r="P12" s="46">
        <f>+BS千円!O95-BS千円!N95</f>
        <v>-603.90300000000025</v>
      </c>
    </row>
    <row r="13" spans="2:17">
      <c r="B13" s="6"/>
      <c r="C13" s="7" t="s">
        <v>167</v>
      </c>
      <c r="D13" s="27" t="s">
        <v>168</v>
      </c>
      <c r="E13" s="91">
        <f>+BS千円!D96-BS千円!C96</f>
        <v>551.65100000000007</v>
      </c>
      <c r="F13" s="92">
        <f>+BS千円!E96-BS千円!D96</f>
        <v>1315.32</v>
      </c>
      <c r="G13" s="92">
        <f>+BS千円!F96-BS千円!E96</f>
        <v>923.35199999999986</v>
      </c>
      <c r="H13" s="92">
        <f>+BS千円!G96-BS千円!F96</f>
        <v>1213.8209999999999</v>
      </c>
      <c r="I13" s="92">
        <f>+BS千円!H96-BS千円!G96</f>
        <v>607.62800000000061</v>
      </c>
      <c r="J13" s="92">
        <f>+BS千円!I96-BS千円!H96</f>
        <v>536.85499999999956</v>
      </c>
      <c r="K13" s="92">
        <f>+BS千円!J96-BS千円!I96</f>
        <v>802.78400000000056</v>
      </c>
      <c r="L13" s="92">
        <f>+BS千円!K96-BS千円!J96</f>
        <v>969.50600000000031</v>
      </c>
      <c r="M13" s="92">
        <f>+BS千円!L96-BS千円!K96</f>
        <v>1168.695999999999</v>
      </c>
      <c r="N13" s="92">
        <f>+BS千円!M96-BS千円!L96</f>
        <v>816.89500000000044</v>
      </c>
      <c r="O13" s="92">
        <f>+BS千円!N96-BS千円!M96</f>
        <v>853.37700000000041</v>
      </c>
      <c r="P13" s="92">
        <f>+BS千円!O96-BS千円!N96</f>
        <v>181.54500000000007</v>
      </c>
    </row>
    <row r="14" spans="2:17" s="47" customFormat="1">
      <c r="B14" s="47" t="s">
        <v>171</v>
      </c>
      <c r="D14" s="51"/>
      <c r="E14" s="89">
        <f t="shared" ref="E14" si="2">-E15-E16-E17</f>
        <v>-3.055000000000291</v>
      </c>
      <c r="F14" s="65">
        <f t="shared" ref="F14:P14" si="3">-F15-F16-F17</f>
        <v>-3.0550000000076807</v>
      </c>
      <c r="G14" s="65">
        <f t="shared" si="3"/>
        <v>-3.0549999999894908</v>
      </c>
      <c r="H14" s="65">
        <f t="shared" si="3"/>
        <v>-3.055000000000291</v>
      </c>
      <c r="I14" s="65">
        <f t="shared" si="3"/>
        <v>-3.055000000000291</v>
      </c>
      <c r="J14" s="65">
        <f t="shared" si="3"/>
        <v>-158.05500000000768</v>
      </c>
      <c r="K14" s="65">
        <f t="shared" si="3"/>
        <v>-3.0549999999931288</v>
      </c>
      <c r="L14" s="65">
        <f t="shared" si="3"/>
        <v>-3.055000000000291</v>
      </c>
      <c r="M14" s="65">
        <f t="shared" si="3"/>
        <v>-3.0550000000076807</v>
      </c>
      <c r="N14" s="65">
        <f t="shared" si="3"/>
        <v>-3.0549999999931288</v>
      </c>
      <c r="O14" s="65">
        <f t="shared" si="3"/>
        <v>-3.055000000000291</v>
      </c>
      <c r="P14" s="65">
        <f t="shared" si="3"/>
        <v>-3.055000000000291</v>
      </c>
    </row>
    <row r="15" spans="2:17">
      <c r="C15" s="8" t="s">
        <v>172</v>
      </c>
      <c r="D15" s="25" t="s">
        <v>169</v>
      </c>
      <c r="E15" s="90">
        <f>+BS千円!D97-BS千円!C97+CF推移!E8</f>
        <v>0</v>
      </c>
      <c r="F15" s="66">
        <f>+BS千円!E97-BS千円!D97+CF推移!F8</f>
        <v>7.3896444519050419E-12</v>
      </c>
      <c r="G15" s="66">
        <f>+BS千円!F97-BS千円!E97+CF推移!G8</f>
        <v>-7.1622707764618099E-12</v>
      </c>
      <c r="H15" s="66">
        <f>+BS千円!G97-BS千円!F97+CF推移!H8</f>
        <v>0</v>
      </c>
      <c r="I15" s="66">
        <f>+BS千円!H97-BS千円!G97+CF推移!I8</f>
        <v>0</v>
      </c>
      <c r="J15" s="66">
        <f>+BS千円!I97-BS千円!H97+CF推移!J8</f>
        <v>155.00000000000739</v>
      </c>
      <c r="K15" s="66">
        <f>+BS千円!J97-BS千円!I97+CF推移!K8</f>
        <v>-7.1622707764618099E-12</v>
      </c>
      <c r="L15" s="66">
        <f>+BS千円!K97-BS千円!J97+CF推移!L8</f>
        <v>0</v>
      </c>
      <c r="M15" s="66">
        <f>+BS千円!L97-BS千円!K97+CF推移!M8</f>
        <v>7.3896444519050419E-12</v>
      </c>
      <c r="N15" s="66">
        <f>+BS千円!M97-BS千円!L97+CF推移!N8</f>
        <v>-7.1622707764618099E-12</v>
      </c>
      <c r="O15" s="66">
        <f>+BS千円!N97-BS千円!M97+CF推移!O8</f>
        <v>0</v>
      </c>
      <c r="P15" s="66">
        <f>+BS千円!O97-BS千円!N97+CF推移!P8</f>
        <v>0</v>
      </c>
    </row>
    <row r="16" spans="2:17">
      <c r="C16" s="5" t="s">
        <v>174</v>
      </c>
      <c r="D16" s="26" t="s">
        <v>169</v>
      </c>
      <c r="E16" s="45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46">
        <v>0</v>
      </c>
    </row>
    <row r="17" spans="2:17">
      <c r="B17" s="6"/>
      <c r="C17" s="7" t="s">
        <v>173</v>
      </c>
      <c r="D17" s="27" t="s">
        <v>169</v>
      </c>
      <c r="E17" s="91">
        <f>+BS千円!D42-BS千円!C42</f>
        <v>3.055000000000291</v>
      </c>
      <c r="F17" s="92">
        <f>+BS千円!E42-BS千円!D42</f>
        <v>3.055000000000291</v>
      </c>
      <c r="G17" s="92">
        <f>+BS千円!F42-BS千円!E42</f>
        <v>3.0549999999966531</v>
      </c>
      <c r="H17" s="92">
        <f>+BS千円!G42-BS千円!F42</f>
        <v>3.055000000000291</v>
      </c>
      <c r="I17" s="92">
        <f>+BS千円!H42-BS千円!G42</f>
        <v>3.055000000000291</v>
      </c>
      <c r="J17" s="92">
        <f>+BS千円!I42-BS千円!H42</f>
        <v>3.055000000000291</v>
      </c>
      <c r="K17" s="92">
        <f>+BS千円!J42-BS千円!I42</f>
        <v>3.055000000000291</v>
      </c>
      <c r="L17" s="92">
        <f>+BS千円!K42-BS千円!J42</f>
        <v>3.055000000000291</v>
      </c>
      <c r="M17" s="92">
        <f>+BS千円!L42-BS千円!K42</f>
        <v>3.055000000000291</v>
      </c>
      <c r="N17" s="92">
        <f>+BS千円!M42-BS千円!L42</f>
        <v>3.055000000000291</v>
      </c>
      <c r="O17" s="92">
        <f>+BS千円!N42-BS千円!M42</f>
        <v>3.055000000000291</v>
      </c>
      <c r="P17" s="92">
        <f>+BS千円!O42-BS千円!N42</f>
        <v>3.055000000000291</v>
      </c>
    </row>
    <row r="18" spans="2:17" s="47" customFormat="1">
      <c r="B18" s="47" t="s">
        <v>175</v>
      </c>
      <c r="D18" s="51"/>
      <c r="E18" s="89">
        <f t="shared" ref="E18" si="4">+E19+E20-E21+E22+E23</f>
        <v>-235</v>
      </c>
      <c r="F18" s="65">
        <f t="shared" ref="F18:P18" si="5">+F19+F20-F21+F22+F23</f>
        <v>0</v>
      </c>
      <c r="G18" s="65">
        <f t="shared" si="5"/>
        <v>-470</v>
      </c>
      <c r="H18" s="65">
        <f t="shared" si="5"/>
        <v>-235</v>
      </c>
      <c r="I18" s="65">
        <f t="shared" si="5"/>
        <v>0</v>
      </c>
      <c r="J18" s="65">
        <f t="shared" si="5"/>
        <v>-235</v>
      </c>
      <c r="K18" s="65">
        <f t="shared" si="5"/>
        <v>-235</v>
      </c>
      <c r="L18" s="65">
        <f t="shared" si="5"/>
        <v>-235</v>
      </c>
      <c r="M18" s="65">
        <f t="shared" si="5"/>
        <v>-930</v>
      </c>
      <c r="N18" s="65">
        <f t="shared" si="5"/>
        <v>-480</v>
      </c>
      <c r="O18" s="65">
        <f t="shared" si="5"/>
        <v>0</v>
      </c>
      <c r="P18" s="65">
        <f t="shared" si="5"/>
        <v>-960</v>
      </c>
    </row>
    <row r="19" spans="2:17">
      <c r="C19" s="3" t="s">
        <v>176</v>
      </c>
      <c r="D19" s="29" t="s">
        <v>168</v>
      </c>
      <c r="E19" s="93">
        <v>0</v>
      </c>
      <c r="F19" s="94">
        <v>0</v>
      </c>
      <c r="G19" s="94">
        <v>0</v>
      </c>
      <c r="H19" s="94">
        <v>0</v>
      </c>
      <c r="I19" s="94">
        <v>0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  <c r="P19" s="94">
        <v>0</v>
      </c>
    </row>
    <row r="20" spans="2:17">
      <c r="C20" s="4" t="s">
        <v>177</v>
      </c>
      <c r="D20" s="28" t="s">
        <v>168</v>
      </c>
      <c r="E20" s="95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0</v>
      </c>
      <c r="P20" s="96">
        <v>0</v>
      </c>
    </row>
    <row r="21" spans="2:17">
      <c r="C21" s="4" t="s">
        <v>178</v>
      </c>
      <c r="D21" s="28" t="s">
        <v>169</v>
      </c>
      <c r="E21" s="95">
        <f>+BS千円!C98-BS千円!D98+CF推移!E20</f>
        <v>235</v>
      </c>
      <c r="F21" s="96">
        <f>+BS千円!D98-BS千円!E98+CF推移!F20</f>
        <v>0</v>
      </c>
      <c r="G21" s="96">
        <f>+BS千円!E98-BS千円!F98+CF推移!G20</f>
        <v>470</v>
      </c>
      <c r="H21" s="96">
        <f>+BS千円!F98-BS千円!G98+CF推移!H20</f>
        <v>235</v>
      </c>
      <c r="I21" s="96">
        <f>+BS千円!G98-BS千円!H98+CF推移!I20</f>
        <v>0</v>
      </c>
      <c r="J21" s="96">
        <f>+BS千円!H98-BS千円!I98+CF推移!J20</f>
        <v>235</v>
      </c>
      <c r="K21" s="96">
        <f>+BS千円!I98-BS千円!J98+CF推移!K20</f>
        <v>235</v>
      </c>
      <c r="L21" s="96">
        <f>+BS千円!J98-BS千円!K98+CF推移!L20</f>
        <v>235</v>
      </c>
      <c r="M21" s="96">
        <f>+BS千円!K98-BS千円!L98+CF推移!M20</f>
        <v>930</v>
      </c>
      <c r="N21" s="96">
        <f>+BS千円!L98-BS千円!M98+CF推移!N20</f>
        <v>480</v>
      </c>
      <c r="O21" s="96">
        <f>+BS千円!M98-BS千円!N98+CF推移!O20</f>
        <v>0</v>
      </c>
      <c r="P21" s="96">
        <f>+BS千円!N98-BS千円!O98+CF推移!P20</f>
        <v>960</v>
      </c>
    </row>
    <row r="22" spans="2:17">
      <c r="C22" s="4" t="s">
        <v>179</v>
      </c>
      <c r="D22" s="28" t="s">
        <v>168</v>
      </c>
      <c r="E22" s="95">
        <f>+BS千円!D72-BS千円!C72</f>
        <v>0</v>
      </c>
      <c r="F22" s="96">
        <f>+BS千円!E72-BS千円!D72</f>
        <v>0</v>
      </c>
      <c r="G22" s="96">
        <f>+BS千円!F72-BS千円!E72</f>
        <v>0</v>
      </c>
      <c r="H22" s="96">
        <f>+BS千円!G72-BS千円!F72</f>
        <v>0</v>
      </c>
      <c r="I22" s="96">
        <f>+BS千円!H72-BS千円!G72</f>
        <v>0</v>
      </c>
      <c r="J22" s="96">
        <f>+BS千円!I72-BS千円!H72</f>
        <v>0</v>
      </c>
      <c r="K22" s="96">
        <f>+BS千円!J72-BS千円!I72</f>
        <v>0</v>
      </c>
      <c r="L22" s="96">
        <f>+BS千円!K72-BS千円!J72</f>
        <v>0</v>
      </c>
      <c r="M22" s="96">
        <f>+BS千円!L72-BS千円!K72</f>
        <v>0</v>
      </c>
      <c r="N22" s="96">
        <f>+BS千円!M72-BS千円!L72</f>
        <v>0</v>
      </c>
      <c r="O22" s="96">
        <f>+BS千円!N72-BS千円!M72</f>
        <v>0</v>
      </c>
      <c r="P22" s="96">
        <f>+BS千円!O72-BS千円!N72</f>
        <v>0</v>
      </c>
    </row>
    <row r="23" spans="2:17">
      <c r="C23" s="30" t="s">
        <v>140</v>
      </c>
      <c r="D23" s="31" t="s">
        <v>168</v>
      </c>
      <c r="E23" s="97">
        <v>0</v>
      </c>
      <c r="F23" s="98">
        <v>0</v>
      </c>
      <c r="G23" s="98">
        <v>0</v>
      </c>
      <c r="H23" s="98">
        <v>0</v>
      </c>
      <c r="I23" s="98">
        <v>0</v>
      </c>
      <c r="J23" s="98">
        <v>0</v>
      </c>
      <c r="K23" s="98">
        <v>0</v>
      </c>
      <c r="L23" s="98">
        <v>0</v>
      </c>
      <c r="M23" s="98">
        <v>0</v>
      </c>
      <c r="N23" s="98">
        <v>0</v>
      </c>
      <c r="O23" s="98">
        <v>0</v>
      </c>
      <c r="P23" s="98">
        <v>0</v>
      </c>
    </row>
    <row r="24" spans="2:17" s="47" customFormat="1" ht="16.899999999999999" thickBot="1">
      <c r="B24" s="52" t="s">
        <v>180</v>
      </c>
      <c r="C24" s="52"/>
      <c r="D24" s="53"/>
      <c r="E24" s="54">
        <f t="shared" ref="E24" si="6">+E5+E14+E18</f>
        <v>-481.36099999999965</v>
      </c>
      <c r="F24" s="55">
        <f t="shared" ref="F24:P24" si="7">+F5+F14+F18</f>
        <v>-1849.8720000000067</v>
      </c>
      <c r="G24" s="55">
        <f t="shared" si="7"/>
        <v>-620.48699999999019</v>
      </c>
      <c r="H24" s="55">
        <f t="shared" si="7"/>
        <v>-206.52199999999993</v>
      </c>
      <c r="I24" s="55">
        <f t="shared" si="7"/>
        <v>890.69899999999961</v>
      </c>
      <c r="J24" s="55">
        <f t="shared" si="7"/>
        <v>1129.5109999999918</v>
      </c>
      <c r="K24" s="55">
        <f t="shared" si="7"/>
        <v>-1451.4269999999919</v>
      </c>
      <c r="L24" s="55">
        <f t="shared" si="7"/>
        <v>-4766.2009999999982</v>
      </c>
      <c r="M24" s="55">
        <f t="shared" si="7"/>
        <v>-1026.4400000000101</v>
      </c>
      <c r="N24" s="55">
        <f t="shared" si="7"/>
        <v>-1973.1099999999924</v>
      </c>
      <c r="O24" s="55">
        <f t="shared" si="7"/>
        <v>-67.110000000000809</v>
      </c>
      <c r="P24" s="55">
        <f t="shared" si="7"/>
        <v>4558.3419999999987</v>
      </c>
    </row>
    <row r="25" spans="2:17" ht="16.899999999999999" thickTop="1"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2:17" s="47" customFormat="1" ht="16.899999999999999" thickBot="1">
      <c r="B26" s="52"/>
      <c r="C26" s="52" t="s">
        <v>181</v>
      </c>
      <c r="D26" s="52"/>
      <c r="E26" s="54">
        <f>+BS千円!D8-BS千円!C8</f>
        <v>-481.36099999999715</v>
      </c>
      <c r="F26" s="55">
        <f>+BS千円!E8-BS千円!D8</f>
        <v>-1849.8719999999958</v>
      </c>
      <c r="G26" s="55">
        <f>+BS千円!F8-BS千円!E8</f>
        <v>-620.48700000000099</v>
      </c>
      <c r="H26" s="55">
        <f>+BS千円!G8-BS千円!F8</f>
        <v>-206.52200000000448</v>
      </c>
      <c r="I26" s="55">
        <f>+BS千円!H8-BS千円!G8</f>
        <v>890.69900000000052</v>
      </c>
      <c r="J26" s="55">
        <f>+BS千円!I8-BS千円!H8</f>
        <v>1129.5109999999986</v>
      </c>
      <c r="K26" s="55">
        <f>+BS千円!J8-BS千円!I8</f>
        <v>-1451.426999999996</v>
      </c>
      <c r="L26" s="55">
        <f>+BS千円!K8-BS千円!J8</f>
        <v>-4766.2010000000009</v>
      </c>
      <c r="M26" s="55">
        <f>+BS千円!L8-BS千円!K8</f>
        <v>-1026.4399999999987</v>
      </c>
      <c r="N26" s="55">
        <f>+BS千円!M8-BS千円!L8</f>
        <v>-1973.1100000000006</v>
      </c>
      <c r="O26" s="55">
        <f>+BS千円!N8-BS千円!M8</f>
        <v>-67.110000000000582</v>
      </c>
      <c r="P26" s="55">
        <f>+BS千円!O8-BS千円!N8</f>
        <v>4558.3420000000006</v>
      </c>
    </row>
    <row r="27" spans="2:17" s="69" customFormat="1" ht="13.15" thickTop="1">
      <c r="B27" s="67"/>
      <c r="C27" s="67"/>
      <c r="D27" s="67" t="s">
        <v>192</v>
      </c>
      <c r="E27" s="68">
        <f>+E24-E26</f>
        <v>-2.5011104298755527E-12</v>
      </c>
      <c r="F27" s="68">
        <f t="shared" ref="F27:P27" si="8">+F24-F26</f>
        <v>-1.0913936421275139E-11</v>
      </c>
      <c r="G27" s="68">
        <f t="shared" si="8"/>
        <v>1.0800249583553523E-11</v>
      </c>
      <c r="H27" s="68">
        <f t="shared" si="8"/>
        <v>4.5474735088646412E-12</v>
      </c>
      <c r="I27" s="68">
        <f t="shared" si="8"/>
        <v>-9.0949470177292824E-13</v>
      </c>
      <c r="J27" s="68">
        <f t="shared" si="8"/>
        <v>-6.8212102632969618E-12</v>
      </c>
      <c r="K27" s="68">
        <f t="shared" si="8"/>
        <v>4.0927261579781771E-12</v>
      </c>
      <c r="L27" s="68">
        <f t="shared" si="8"/>
        <v>0</v>
      </c>
      <c r="M27" s="68">
        <f t="shared" si="8"/>
        <v>-1.1368683772161603E-11</v>
      </c>
      <c r="N27" s="68">
        <f t="shared" si="8"/>
        <v>8.1854523159563541E-12</v>
      </c>
      <c r="O27" s="68">
        <f t="shared" si="8"/>
        <v>-2.2737367544323206E-13</v>
      </c>
      <c r="P27" s="68">
        <f t="shared" si="8"/>
        <v>0</v>
      </c>
    </row>
    <row r="28" spans="2:17">
      <c r="B28" s="47" t="s">
        <v>182</v>
      </c>
    </row>
    <row r="29" spans="2:17">
      <c r="C29" s="102" t="s">
        <v>198</v>
      </c>
      <c r="D29" s="28"/>
      <c r="E29" s="101">
        <f>+E26-収支計画!G104/1000</f>
        <v>-425.84699999999714</v>
      </c>
      <c r="F29" s="101">
        <f>+F26-収支計画!H104/1000</f>
        <v>-3740.5719999999956</v>
      </c>
      <c r="G29" s="101">
        <f>+G26-収支計画!I104/1000</f>
        <v>-1862.7870000000009</v>
      </c>
      <c r="H29" s="34">
        <f>+H26-収支計画!J104/1000</f>
        <v>-833.02200000000448</v>
      </c>
      <c r="I29" s="34">
        <f>+I26-835</f>
        <v>55.699000000000524</v>
      </c>
      <c r="J29" s="34">
        <f>+CF推移!J26-収支計画!L104/1000</f>
        <v>-1209.6340000000014</v>
      </c>
      <c r="K29" s="34">
        <f>+K26-収支計画!M104/1000</f>
        <v>-807.14399999999603</v>
      </c>
      <c r="L29" s="2">
        <f>+L26-収支計画!N104/1000</f>
        <v>-4113.0430000000006</v>
      </c>
      <c r="M29" s="34">
        <f>+CF推移!M26-収支計画!O104/1000</f>
        <v>-1103.9569999999987</v>
      </c>
      <c r="N29" s="34">
        <f>+N26-収支計画!Q104/1000</f>
        <v>-2686.1300000000006</v>
      </c>
      <c r="O29" s="34">
        <f>+O26-収支計画!Q104/1000</f>
        <v>-780.13000000000056</v>
      </c>
      <c r="P29" s="34">
        <f>+P26-収支計画!R104/1000</f>
        <v>3895.3220000000006</v>
      </c>
    </row>
    <row r="30" spans="2:17">
      <c r="C30" s="102"/>
      <c r="D30" s="501" t="s">
        <v>487</v>
      </c>
      <c r="E30" s="101"/>
      <c r="F30" s="101"/>
      <c r="G30" s="101"/>
      <c r="L30" s="2"/>
      <c r="M30" s="34">
        <v>-1256</v>
      </c>
      <c r="N30" s="34">
        <f>+PL予実対比!AO55</f>
        <v>-2014.7919999999997</v>
      </c>
      <c r="O30" s="34">
        <f>+PL予実対比!AS55</f>
        <v>-1227.2539999999985</v>
      </c>
      <c r="P30" s="34">
        <f>+PL予実対比!AW55</f>
        <v>-1577.587</v>
      </c>
    </row>
    <row r="31" spans="2:17" s="103" customFormat="1" ht="15">
      <c r="C31" s="537" t="s">
        <v>199</v>
      </c>
      <c r="D31" s="537"/>
      <c r="E31" s="104"/>
      <c r="F31" s="105"/>
      <c r="G31" s="104">
        <f>+PL予実対比!M23</f>
        <v>-1129</v>
      </c>
      <c r="H31" s="104">
        <f>+PL予実対比!Q12</f>
        <v>-1300</v>
      </c>
      <c r="I31" s="109"/>
      <c r="J31" s="104">
        <v>-1430</v>
      </c>
      <c r="K31" s="104">
        <v>-611</v>
      </c>
      <c r="L31" s="109"/>
      <c r="M31" s="109">
        <v>-571</v>
      </c>
      <c r="N31" s="104"/>
      <c r="O31" s="104"/>
      <c r="P31" s="104">
        <v>7500</v>
      </c>
      <c r="Q31" s="103" t="s">
        <v>500</v>
      </c>
    </row>
    <row r="32" spans="2:17" s="103" customFormat="1" ht="15">
      <c r="C32" s="537" t="s">
        <v>200</v>
      </c>
      <c r="D32" s="537"/>
      <c r="E32" s="104"/>
      <c r="F32" s="105"/>
      <c r="G32" s="105"/>
      <c r="H32" s="104"/>
      <c r="I32" s="109"/>
      <c r="J32" s="104"/>
      <c r="K32" s="104"/>
      <c r="L32" s="109"/>
      <c r="M32" s="104">
        <v>-377</v>
      </c>
      <c r="N32" s="104"/>
      <c r="O32" s="104"/>
      <c r="P32" s="104"/>
    </row>
    <row r="33" spans="3:16" s="103" customFormat="1" ht="15">
      <c r="C33" s="537" t="s">
        <v>201</v>
      </c>
      <c r="D33" s="537"/>
      <c r="E33" s="104"/>
      <c r="F33" s="104"/>
      <c r="G33" s="104"/>
      <c r="H33" s="104"/>
      <c r="I33" s="104"/>
      <c r="J33" s="104"/>
      <c r="K33" s="104"/>
      <c r="L33" s="104"/>
      <c r="M33" s="109"/>
      <c r="N33" s="109"/>
      <c r="O33" s="104"/>
      <c r="P33" s="104"/>
    </row>
    <row r="34" spans="3:16" s="103" customFormat="1" ht="15">
      <c r="C34" s="537" t="s">
        <v>202</v>
      </c>
      <c r="D34" s="537"/>
      <c r="E34" s="104"/>
      <c r="F34" s="104">
        <v>3455</v>
      </c>
      <c r="G34" s="104">
        <v>235</v>
      </c>
      <c r="H34" s="104"/>
      <c r="I34" s="104"/>
      <c r="J34" s="104"/>
      <c r="K34" s="104"/>
      <c r="L34" s="109"/>
      <c r="M34" s="109">
        <v>-450</v>
      </c>
      <c r="N34" s="109"/>
      <c r="O34" s="104"/>
      <c r="P34" s="104"/>
    </row>
    <row r="35" spans="3:16" s="103" customFormat="1" ht="15">
      <c r="C35" s="537" t="s">
        <v>452</v>
      </c>
      <c r="D35" s="537"/>
      <c r="E35" s="104"/>
      <c r="F35" s="104"/>
      <c r="G35" s="104"/>
      <c r="H35" s="104">
        <v>400</v>
      </c>
      <c r="I35" s="104"/>
      <c r="J35" s="104"/>
      <c r="K35" s="104"/>
      <c r="L35" s="104"/>
      <c r="M35" s="104">
        <v>1000</v>
      </c>
      <c r="N35" s="104"/>
      <c r="O35" s="104"/>
      <c r="P35" s="104"/>
    </row>
    <row r="36" spans="3:16" s="103" customFormat="1" ht="15">
      <c r="C36" s="537"/>
      <c r="D36" s="537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</row>
    <row r="37" spans="3:16" s="107" customFormat="1">
      <c r="C37" s="537"/>
      <c r="D37" s="537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</row>
    <row r="38" spans="3:16" s="107" customFormat="1">
      <c r="C38" s="537"/>
      <c r="D38" s="537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</row>
    <row r="39" spans="3:16" s="107" customFormat="1">
      <c r="C39" s="537"/>
      <c r="D39" s="537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</row>
    <row r="40" spans="3:16" s="107" customFormat="1">
      <c r="C40" s="537"/>
      <c r="D40" s="537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</row>
    <row r="41" spans="3:16" s="107" customFormat="1">
      <c r="C41" s="537"/>
      <c r="D41" s="537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</row>
    <row r="42" spans="3:16" s="107" customFormat="1"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</row>
    <row r="43" spans="3:16" s="107" customFormat="1"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</row>
    <row r="44" spans="3:16" s="107" customFormat="1"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</row>
    <row r="45" spans="3:16" s="107" customFormat="1"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</row>
    <row r="46" spans="3:16" s="107" customFormat="1"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</row>
    <row r="47" spans="3:16" s="107" customFormat="1"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</row>
  </sheetData>
  <mergeCells count="11">
    <mergeCell ref="C37:D37"/>
    <mergeCell ref="C38:D38"/>
    <mergeCell ref="C39:D39"/>
    <mergeCell ref="C40:D40"/>
    <mergeCell ref="C41:D41"/>
    <mergeCell ref="C36:D36"/>
    <mergeCell ref="C31:D31"/>
    <mergeCell ref="C32:D32"/>
    <mergeCell ref="C33:D33"/>
    <mergeCell ref="C34:D34"/>
    <mergeCell ref="C35:D35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Z259"/>
  <sheetViews>
    <sheetView topLeftCell="A5" zoomScale="81" zoomScaleNormal="81" workbookViewId="0">
      <pane xSplit="6" ySplit="6" topLeftCell="L86" activePane="bottomRight" state="frozen"/>
      <selection activeCell="A5" sqref="A5"/>
      <selection pane="topRight" activeCell="G5" sqref="G5"/>
      <selection pane="bottomLeft" activeCell="A11" sqref="A11"/>
      <selection pane="bottomRight" activeCell="Q104" sqref="Q104"/>
    </sheetView>
  </sheetViews>
  <sheetFormatPr defaultColWidth="9" defaultRowHeight="12.75"/>
  <cols>
    <col min="1" max="1" width="15.375" style="196" customWidth="1"/>
    <col min="2" max="2" width="14.625" style="196" customWidth="1"/>
    <col min="3" max="3" width="13.25" style="196" bestFit="1" customWidth="1"/>
    <col min="4" max="4" width="11.75" style="196" bestFit="1" customWidth="1"/>
    <col min="5" max="5" width="6.125" style="196" customWidth="1"/>
    <col min="6" max="6" width="13.25" style="196" customWidth="1"/>
    <col min="7" max="7" width="12.5" style="196" bestFit="1" customWidth="1"/>
    <col min="8" max="26" width="13.625" style="196" bestFit="1" customWidth="1"/>
    <col min="27" max="16384" width="9" style="196"/>
  </cols>
  <sheetData>
    <row r="3" spans="2:26" ht="13.15" thickBot="1"/>
    <row r="4" spans="2:26" ht="13.5" thickBot="1">
      <c r="E4" s="197"/>
    </row>
    <row r="5" spans="2:26" ht="20.65">
      <c r="E5" s="198" t="s">
        <v>255</v>
      </c>
      <c r="F5" s="199"/>
    </row>
    <row r="6" spans="2:26" ht="4.1500000000000004" customHeight="1">
      <c r="E6" s="200"/>
      <c r="F6" s="201"/>
    </row>
    <row r="7" spans="2:26" ht="20.25" customHeight="1">
      <c r="E7" s="202"/>
      <c r="F7" s="203"/>
    </row>
    <row r="8" spans="2:26" s="454" customFormat="1" ht="13.5" thickBot="1">
      <c r="E8" s="455"/>
      <c r="F8" s="456" t="s">
        <v>445</v>
      </c>
      <c r="I8" s="457">
        <v>45917</v>
      </c>
    </row>
    <row r="9" spans="2:26" ht="14.65" customHeight="1">
      <c r="E9" s="551" t="s">
        <v>256</v>
      </c>
      <c r="F9" s="552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 t="s">
        <v>403</v>
      </c>
      <c r="T9" s="205" t="s">
        <v>403</v>
      </c>
      <c r="U9" s="205"/>
      <c r="V9" s="205"/>
      <c r="W9" s="205"/>
      <c r="X9" s="205"/>
      <c r="Y9" s="205"/>
      <c r="Z9" s="205"/>
    </row>
    <row r="10" spans="2:26" ht="14.65" customHeight="1" thickBot="1">
      <c r="E10" s="553"/>
      <c r="F10" s="554"/>
      <c r="G10" s="206" t="s">
        <v>404</v>
      </c>
      <c r="H10" s="206" t="s">
        <v>249</v>
      </c>
      <c r="I10" s="206" t="s">
        <v>250</v>
      </c>
      <c r="J10" s="206" t="s">
        <v>251</v>
      </c>
      <c r="K10" s="206" t="s">
        <v>252</v>
      </c>
      <c r="L10" s="206" t="s">
        <v>253</v>
      </c>
      <c r="M10" s="206" t="s">
        <v>405</v>
      </c>
      <c r="N10" s="206" t="s">
        <v>406</v>
      </c>
      <c r="O10" s="206" t="s">
        <v>407</v>
      </c>
      <c r="P10" s="206" t="s">
        <v>408</v>
      </c>
      <c r="Q10" s="206" t="s">
        <v>409</v>
      </c>
      <c r="R10" s="206" t="s">
        <v>410</v>
      </c>
      <c r="S10" s="206" t="s">
        <v>411</v>
      </c>
      <c r="T10" s="206" t="s">
        <v>412</v>
      </c>
      <c r="U10" s="206" t="s">
        <v>413</v>
      </c>
      <c r="V10" s="206" t="s">
        <v>414</v>
      </c>
      <c r="W10" s="206" t="s">
        <v>415</v>
      </c>
      <c r="X10" s="206" t="s">
        <v>416</v>
      </c>
      <c r="Y10" s="206" t="s">
        <v>417</v>
      </c>
      <c r="Z10" s="206" t="s">
        <v>418</v>
      </c>
    </row>
    <row r="11" spans="2:26" ht="14.65" customHeight="1" thickTop="1" thickBot="1">
      <c r="E11" s="555" t="s">
        <v>257</v>
      </c>
      <c r="F11" s="207" t="s">
        <v>224</v>
      </c>
      <c r="G11" s="208">
        <f>'[1]2024.07～恵愛予測'!C3</f>
        <v>7000000</v>
      </c>
      <c r="H11" s="208">
        <f>'[1]2024.07～恵愛予測'!D3</f>
        <v>7000000</v>
      </c>
      <c r="I11" s="208">
        <v>7000000</v>
      </c>
      <c r="J11" s="208">
        <v>7000000</v>
      </c>
      <c r="K11" s="208">
        <v>7000000</v>
      </c>
      <c r="L11" s="208">
        <v>9500000</v>
      </c>
      <c r="M11" s="208">
        <v>7000000</v>
      </c>
      <c r="N11" s="208">
        <v>7000000</v>
      </c>
      <c r="O11" s="208">
        <v>8500000</v>
      </c>
      <c r="P11" s="208">
        <f>'[2]2024.07～恵愛予測'!L3</f>
        <v>7000000</v>
      </c>
      <c r="Q11" s="208">
        <f>'[2]2024.07～恵愛予測'!M3</f>
        <v>7000000</v>
      </c>
      <c r="R11" s="208">
        <f>'[2]2024.07～恵愛予測'!N3</f>
        <v>7000000</v>
      </c>
      <c r="S11" s="208">
        <v>7000000</v>
      </c>
      <c r="T11" s="208">
        <v>7000000</v>
      </c>
      <c r="U11" s="208"/>
      <c r="V11" s="208"/>
      <c r="W11" s="208"/>
      <c r="X11" s="208"/>
      <c r="Y11" s="208"/>
      <c r="Z11" s="208"/>
    </row>
    <row r="12" spans="2:26" ht="14.65" customHeight="1" thickTop="1">
      <c r="E12" s="556"/>
      <c r="F12" s="449" t="s">
        <v>258</v>
      </c>
      <c r="G12" s="210">
        <f>'[1]2024.7~村予測'!C3</f>
        <v>750000</v>
      </c>
      <c r="H12" s="210">
        <f>'[1]2024.7~村予測'!D3</f>
        <v>750000</v>
      </c>
      <c r="I12" s="210">
        <v>750000</v>
      </c>
      <c r="J12" s="210">
        <v>750000</v>
      </c>
      <c r="K12" s="210">
        <v>750000</v>
      </c>
      <c r="L12" s="210">
        <v>750000</v>
      </c>
      <c r="M12" s="210">
        <v>750000</v>
      </c>
      <c r="N12" s="210">
        <v>750000</v>
      </c>
      <c r="O12" s="210">
        <v>750000</v>
      </c>
      <c r="P12" s="210">
        <f>'[2]2024.7~村予測'!L3</f>
        <v>750000</v>
      </c>
      <c r="Q12" s="210">
        <f>'[2]2024.7~村予測'!M3</f>
        <v>750000</v>
      </c>
      <c r="R12" s="210">
        <f>'[2]2024.7~村予測'!N3</f>
        <v>750000</v>
      </c>
      <c r="S12" s="210">
        <v>750000</v>
      </c>
      <c r="T12" s="210">
        <v>750000</v>
      </c>
      <c r="U12" s="210"/>
      <c r="V12" s="210"/>
      <c r="W12" s="210"/>
      <c r="X12" s="210"/>
      <c r="Y12" s="208"/>
      <c r="Z12" s="208"/>
    </row>
    <row r="13" spans="2:26" ht="14.65" customHeight="1">
      <c r="E13" s="556"/>
      <c r="F13" s="209" t="s">
        <v>259</v>
      </c>
      <c r="G13" s="210">
        <f>'[1]2024.7~弁当予測'!C3</f>
        <v>350000</v>
      </c>
      <c r="H13" s="210">
        <f>'[1]2024.7~弁当予測'!D3</f>
        <v>350000</v>
      </c>
      <c r="I13" s="210">
        <v>350000</v>
      </c>
      <c r="J13" s="210">
        <v>350000</v>
      </c>
      <c r="K13" s="210">
        <v>350000</v>
      </c>
      <c r="L13" s="210">
        <v>350000</v>
      </c>
      <c r="M13" s="210">
        <v>350000</v>
      </c>
      <c r="N13" s="210">
        <v>350000</v>
      </c>
      <c r="O13" s="210">
        <v>350000</v>
      </c>
      <c r="P13" s="210">
        <f>'[2]2024.7~弁当予測'!L3</f>
        <v>350000</v>
      </c>
      <c r="Q13" s="210">
        <f>'[2]2024.7~弁当予測'!M3</f>
        <v>350000</v>
      </c>
      <c r="R13" s="210">
        <f>'[2]2024.7~弁当予測'!N3</f>
        <v>350000</v>
      </c>
      <c r="S13" s="210">
        <v>350000</v>
      </c>
      <c r="T13" s="210">
        <v>350000</v>
      </c>
      <c r="U13" s="210"/>
      <c r="V13" s="210"/>
      <c r="W13" s="210"/>
      <c r="X13" s="210"/>
      <c r="Y13" s="210"/>
      <c r="Z13" s="210"/>
    </row>
    <row r="14" spans="2:26" ht="14.65" customHeight="1">
      <c r="E14" s="556"/>
      <c r="F14" s="211" t="s">
        <v>260</v>
      </c>
      <c r="G14" s="212">
        <f>'[1]2024.7~シェアバー予測'!C3</f>
        <v>150000</v>
      </c>
      <c r="H14" s="212">
        <f>'[1]2024.7~シェアバー予測'!D3</f>
        <v>150000</v>
      </c>
      <c r="I14" s="212">
        <v>150000</v>
      </c>
      <c r="J14" s="212">
        <v>150000</v>
      </c>
      <c r="K14" s="212">
        <v>150000</v>
      </c>
      <c r="L14" s="212">
        <v>150000</v>
      </c>
      <c r="M14" s="212">
        <v>150000</v>
      </c>
      <c r="N14" s="212">
        <v>150000</v>
      </c>
      <c r="O14" s="212">
        <v>150000</v>
      </c>
      <c r="P14" s="212">
        <f>'[2]2024.7~シェアバー予測'!L3</f>
        <v>150000</v>
      </c>
      <c r="Q14" s="212">
        <f>'[2]2024.7~シェアバー予測'!M3</f>
        <v>150000</v>
      </c>
      <c r="R14" s="212">
        <f>'[2]2024.7~シェアバー予測'!N3</f>
        <v>150000</v>
      </c>
      <c r="S14" s="212">
        <v>150000</v>
      </c>
      <c r="T14" s="212">
        <v>150000</v>
      </c>
      <c r="U14" s="212"/>
      <c r="V14" s="212"/>
      <c r="W14" s="212"/>
      <c r="X14" s="212"/>
      <c r="Y14" s="212"/>
      <c r="Z14" s="212"/>
    </row>
    <row r="15" spans="2:26" ht="14.65" customHeight="1">
      <c r="E15" s="556"/>
      <c r="F15" s="213" t="s">
        <v>261</v>
      </c>
      <c r="G15" s="212">
        <f>'[1]2024.7~サウナ予測'!C3</f>
        <v>1000000</v>
      </c>
      <c r="H15" s="212">
        <f>'[1]2024.7~サウナ予測'!D3</f>
        <v>2620000</v>
      </c>
      <c r="I15" s="212">
        <v>1000000</v>
      </c>
      <c r="J15" s="212">
        <v>1000000</v>
      </c>
      <c r="K15" s="212">
        <v>1000000</v>
      </c>
      <c r="L15" s="212">
        <v>1000000</v>
      </c>
      <c r="M15" s="212">
        <v>1000000</v>
      </c>
      <c r="N15" s="212">
        <v>1000000</v>
      </c>
      <c r="O15" s="212">
        <v>1000000</v>
      </c>
      <c r="P15" s="212">
        <f>'[2]2024.7~サウナ予測'!L3</f>
        <v>1000000</v>
      </c>
      <c r="Q15" s="212">
        <f>'[2]2024.7~サウナ予測'!M3</f>
        <v>1000000</v>
      </c>
      <c r="R15" s="212">
        <f>'[2]2024.7~サウナ予測'!N3</f>
        <v>1000000</v>
      </c>
      <c r="S15" s="214">
        <v>1000000</v>
      </c>
      <c r="T15" s="214">
        <v>1000000</v>
      </c>
      <c r="U15" s="214"/>
      <c r="V15" s="214"/>
      <c r="W15" s="214"/>
      <c r="X15" s="214"/>
      <c r="Y15" s="214"/>
      <c r="Z15" s="214"/>
    </row>
    <row r="16" spans="2:26" ht="13.9" customHeight="1">
      <c r="B16" s="215" t="s">
        <v>262</v>
      </c>
      <c r="C16" s="216" t="s">
        <v>263</v>
      </c>
      <c r="E16" s="556"/>
      <c r="F16" s="217" t="s">
        <v>264</v>
      </c>
      <c r="G16" s="212">
        <f>'[1]2024.07~本部予測'!C3</f>
        <v>350000</v>
      </c>
      <c r="H16" s="212">
        <f>'[1]2024.07~本部予測'!D3</f>
        <v>350000</v>
      </c>
      <c r="I16" s="212">
        <v>350000</v>
      </c>
      <c r="J16" s="212">
        <v>350000</v>
      </c>
      <c r="K16" s="212">
        <v>350000</v>
      </c>
      <c r="L16" s="212">
        <v>350000</v>
      </c>
      <c r="M16" s="212">
        <v>350000</v>
      </c>
      <c r="N16" s="212">
        <v>350000</v>
      </c>
      <c r="O16" s="212">
        <v>350000</v>
      </c>
      <c r="P16" s="212">
        <f>'[2]2024.07~本部予測'!L3</f>
        <v>350000</v>
      </c>
      <c r="Q16" s="212">
        <f>'[2]2024.07~本部予測'!M3</f>
        <v>350000</v>
      </c>
      <c r="R16" s="212">
        <f>'[2]2024.07~本部予測'!N3</f>
        <v>350000</v>
      </c>
      <c r="S16" s="218">
        <v>350000</v>
      </c>
      <c r="T16" s="218">
        <v>350000</v>
      </c>
      <c r="U16" s="218"/>
      <c r="V16" s="218"/>
      <c r="W16" s="218"/>
      <c r="X16" s="218"/>
      <c r="Y16" s="218"/>
      <c r="Z16" s="218"/>
    </row>
    <row r="17" spans="1:26" ht="14.65" customHeight="1" thickBot="1">
      <c r="A17" s="219" t="s">
        <v>265</v>
      </c>
      <c r="B17" s="220">
        <v>0.34</v>
      </c>
      <c r="C17" s="220">
        <f>1-B17</f>
        <v>0.65999999999999992</v>
      </c>
      <c r="E17" s="557"/>
      <c r="F17" s="221" t="s">
        <v>266</v>
      </c>
      <c r="G17" s="450">
        <f t="shared" ref="G17:N17" si="0">SUM(G11:G16)</f>
        <v>9600000</v>
      </c>
      <c r="H17" s="450">
        <f t="shared" si="0"/>
        <v>11220000</v>
      </c>
      <c r="I17" s="450">
        <f t="shared" si="0"/>
        <v>9600000</v>
      </c>
      <c r="J17" s="450">
        <f t="shared" si="0"/>
        <v>9600000</v>
      </c>
      <c r="K17" s="450">
        <f t="shared" si="0"/>
        <v>9600000</v>
      </c>
      <c r="L17" s="450">
        <f t="shared" si="0"/>
        <v>12100000</v>
      </c>
      <c r="M17" s="450">
        <f t="shared" si="0"/>
        <v>9600000</v>
      </c>
      <c r="N17" s="450">
        <f t="shared" si="0"/>
        <v>9600000</v>
      </c>
      <c r="O17" s="450">
        <f t="shared" ref="O17:Z17" si="1">SUM(O11:O16)</f>
        <v>11100000</v>
      </c>
      <c r="P17" s="450">
        <f t="shared" si="1"/>
        <v>9600000</v>
      </c>
      <c r="Q17" s="450">
        <f t="shared" si="1"/>
        <v>9600000</v>
      </c>
      <c r="R17" s="450">
        <f t="shared" si="1"/>
        <v>9600000</v>
      </c>
      <c r="S17" s="450">
        <f t="shared" si="1"/>
        <v>9600000</v>
      </c>
      <c r="T17" s="450">
        <f t="shared" si="1"/>
        <v>9600000</v>
      </c>
      <c r="U17" s="450">
        <f t="shared" si="1"/>
        <v>0</v>
      </c>
      <c r="V17" s="450">
        <f t="shared" si="1"/>
        <v>0</v>
      </c>
      <c r="W17" s="450">
        <f t="shared" si="1"/>
        <v>0</v>
      </c>
      <c r="X17" s="450">
        <f t="shared" si="1"/>
        <v>0</v>
      </c>
      <c r="Y17" s="408">
        <f t="shared" si="1"/>
        <v>0</v>
      </c>
      <c r="Z17" s="408">
        <f t="shared" si="1"/>
        <v>0</v>
      </c>
    </row>
    <row r="18" spans="1:26" ht="14.65" customHeight="1" thickTop="1" thickBot="1">
      <c r="A18" s="222">
        <v>0.3</v>
      </c>
      <c r="E18" s="558" t="s">
        <v>267</v>
      </c>
      <c r="F18" s="409" t="s">
        <v>224</v>
      </c>
      <c r="G18" s="451">
        <f>'[1]2024.07～恵愛予測'!C4</f>
        <v>1785000</v>
      </c>
      <c r="H18" s="235">
        <f>'[1]2024.07～恵愛予測'!D4</f>
        <v>1785000</v>
      </c>
      <c r="I18" s="235">
        <f>'[1]2024.07～恵愛予測'!E4</f>
        <v>1785000</v>
      </c>
      <c r="J18" s="235">
        <f>'[1]2024.07～恵愛予測'!F4</f>
        <v>1785000</v>
      </c>
      <c r="K18" s="235">
        <f>'[1]2024.07～恵愛予測'!G4</f>
        <v>1785000</v>
      </c>
      <c r="L18" s="235">
        <f>'[1]2024.07～恵愛予測'!H4</f>
        <v>2422500</v>
      </c>
      <c r="M18" s="235">
        <f>'[1]2024.07～恵愛予測'!I4</f>
        <v>1785000</v>
      </c>
      <c r="N18" s="235">
        <f>'[1]2024.07～恵愛予測'!J4</f>
        <v>1785000</v>
      </c>
      <c r="O18" s="235">
        <f>'[1]2024.07～恵愛予測'!K4</f>
        <v>2167500</v>
      </c>
      <c r="P18" s="235">
        <f>'[2]2024.07～恵愛予測'!L4</f>
        <v>1785000</v>
      </c>
      <c r="Q18" s="235">
        <f>'[2]2024.07～恵愛予測'!M4</f>
        <v>1785000</v>
      </c>
      <c r="R18" s="235">
        <f>'[2]2024.07～恵愛予測'!N4</f>
        <v>1785000</v>
      </c>
      <c r="S18" s="235">
        <v>1750000</v>
      </c>
      <c r="T18" s="235">
        <v>1750000</v>
      </c>
      <c r="U18" s="235"/>
      <c r="V18" s="235"/>
      <c r="W18" s="235"/>
      <c r="X18" s="235"/>
      <c r="Y18" s="208"/>
      <c r="Z18" s="208"/>
    </row>
    <row r="19" spans="1:26" ht="14.65" customHeight="1" thickTop="1">
      <c r="A19" s="222">
        <v>0.34</v>
      </c>
      <c r="E19" s="543"/>
      <c r="F19" s="211" t="s">
        <v>258</v>
      </c>
      <c r="G19" s="210">
        <f>'[1]2024.7~村予測'!C4</f>
        <v>112500</v>
      </c>
      <c r="H19" s="210">
        <f>'[1]2024.7~村予測'!D4</f>
        <v>112500</v>
      </c>
      <c r="I19" s="210">
        <f>'[1]2024.7~村予測'!E4</f>
        <v>112500</v>
      </c>
      <c r="J19" s="210">
        <f>'[1]2024.7~村予測'!F4</f>
        <v>112500</v>
      </c>
      <c r="K19" s="210">
        <f>'[1]2024.7~村予測'!G4</f>
        <v>112500</v>
      </c>
      <c r="L19" s="210">
        <f>'[1]2024.7~村予測'!H4</f>
        <v>112500</v>
      </c>
      <c r="M19" s="210">
        <f>'[1]2024.7~村予測'!I4</f>
        <v>112500</v>
      </c>
      <c r="N19" s="210">
        <f>'[1]2024.7~村予測'!J4</f>
        <v>112500</v>
      </c>
      <c r="O19" s="210">
        <f>'[1]2024.7~村予測'!K4</f>
        <v>112500</v>
      </c>
      <c r="P19" s="210">
        <f>'[2]2024.7~村予測'!L4</f>
        <v>112500</v>
      </c>
      <c r="Q19" s="210">
        <f>'[2]2024.7~村予測'!M4</f>
        <v>112500</v>
      </c>
      <c r="R19" s="210">
        <f>'[2]2024.7~村予測'!N4</f>
        <v>112500</v>
      </c>
      <c r="S19" s="210">
        <v>112500</v>
      </c>
      <c r="T19" s="210">
        <v>112500</v>
      </c>
      <c r="U19" s="210"/>
      <c r="V19" s="210"/>
      <c r="W19" s="210"/>
      <c r="X19" s="210"/>
      <c r="Y19" s="208"/>
      <c r="Z19" s="208"/>
    </row>
    <row r="20" spans="1:26" ht="14.65" customHeight="1">
      <c r="A20" s="222"/>
      <c r="E20" s="543"/>
      <c r="F20" s="209" t="s">
        <v>259</v>
      </c>
      <c r="G20" s="210">
        <f>'[1]2024.7~弁当予測'!C4</f>
        <v>157500</v>
      </c>
      <c r="H20" s="210">
        <f>'[1]2024.7~弁当予測'!D4</f>
        <v>157500</v>
      </c>
      <c r="I20" s="210">
        <f>'[1]2024.7~弁当予測'!E4</f>
        <v>157500</v>
      </c>
      <c r="J20" s="210">
        <f>'[1]2024.7~弁当予測'!F4</f>
        <v>157500</v>
      </c>
      <c r="K20" s="210">
        <f>'[1]2024.7~弁当予測'!G4</f>
        <v>157500</v>
      </c>
      <c r="L20" s="210">
        <f>'[1]2024.7~弁当予測'!H4</f>
        <v>157500</v>
      </c>
      <c r="M20" s="210">
        <f>'[1]2024.7~弁当予測'!I4</f>
        <v>157500</v>
      </c>
      <c r="N20" s="210">
        <f>'[1]2024.7~弁当予測'!J4</f>
        <v>157500</v>
      </c>
      <c r="O20" s="210">
        <f>'[1]2024.7~弁当予測'!K4</f>
        <v>157500</v>
      </c>
      <c r="P20" s="210">
        <f>'[2]2024.7~弁当予測'!L4</f>
        <v>140000</v>
      </c>
      <c r="Q20" s="210">
        <f>'[2]2024.7~弁当予測'!M4</f>
        <v>140000</v>
      </c>
      <c r="R20" s="210">
        <f>'[2]2024.7~弁当予測'!N4</f>
        <v>140000</v>
      </c>
      <c r="S20" s="210">
        <v>157500</v>
      </c>
      <c r="T20" s="210">
        <v>157500</v>
      </c>
      <c r="U20" s="210"/>
      <c r="V20" s="210"/>
      <c r="W20" s="210"/>
      <c r="X20" s="210"/>
      <c r="Y20" s="210"/>
      <c r="Z20" s="210"/>
    </row>
    <row r="21" spans="1:26" ht="14.65" customHeight="1">
      <c r="A21" s="222">
        <v>0.32</v>
      </c>
      <c r="E21" s="543"/>
      <c r="F21" s="211" t="s">
        <v>260</v>
      </c>
      <c r="G21" s="212">
        <f>'[1]2024.7~シェアバー予測'!C4</f>
        <v>45000</v>
      </c>
      <c r="H21" s="212">
        <f>'[1]2024.7~シェアバー予測'!D4</f>
        <v>45000</v>
      </c>
      <c r="I21" s="212">
        <f>'[1]2024.7~シェアバー予測'!E4</f>
        <v>45000</v>
      </c>
      <c r="J21" s="212">
        <f>'[1]2024.7~シェアバー予測'!F4</f>
        <v>45000</v>
      </c>
      <c r="K21" s="212">
        <f>'[1]2024.7~シェアバー予測'!G4</f>
        <v>45000</v>
      </c>
      <c r="L21" s="212">
        <f>'[1]2024.7~シェアバー予測'!H4</f>
        <v>45000</v>
      </c>
      <c r="M21" s="212">
        <f>'[1]2024.7~シェアバー予測'!I4</f>
        <v>45000</v>
      </c>
      <c r="N21" s="212">
        <f>'[1]2024.7~シェアバー予測'!J4</f>
        <v>45000</v>
      </c>
      <c r="O21" s="212">
        <f>'[1]2024.7~シェアバー予測'!K4</f>
        <v>45000</v>
      </c>
      <c r="P21" s="212">
        <f>'[2]2024.7~シェアバー予測'!L4</f>
        <v>45000</v>
      </c>
      <c r="Q21" s="212">
        <f>'[2]2024.7~シェアバー予測'!M4</f>
        <v>45000</v>
      </c>
      <c r="R21" s="212">
        <f>'[2]2024.7~シェアバー予測'!N4</f>
        <v>45000</v>
      </c>
      <c r="S21" s="212">
        <v>45000</v>
      </c>
      <c r="T21" s="212">
        <v>45000</v>
      </c>
      <c r="U21" s="212"/>
      <c r="V21" s="212"/>
      <c r="W21" s="212"/>
      <c r="X21" s="212"/>
      <c r="Y21" s="212"/>
      <c r="Z21" s="212"/>
    </row>
    <row r="22" spans="1:26" ht="14.65" customHeight="1">
      <c r="A22" s="222"/>
      <c r="E22" s="543"/>
      <c r="F22" s="213" t="s">
        <v>261</v>
      </c>
      <c r="G22" s="214">
        <f>'[1]2024.7~サウナ予測'!C4</f>
        <v>100000</v>
      </c>
      <c r="H22" s="214">
        <f>'[1]2024.7~サウナ予測'!D4</f>
        <v>100000</v>
      </c>
      <c r="I22" s="214">
        <f>'[1]2024.7~サウナ予測'!E4</f>
        <v>100000</v>
      </c>
      <c r="J22" s="214">
        <f>'[1]2024.7~サウナ予測'!F4</f>
        <v>100000</v>
      </c>
      <c r="K22" s="214">
        <f>'[1]2024.7~サウナ予測'!G4</f>
        <v>100000</v>
      </c>
      <c r="L22" s="214">
        <f>'[1]2024.7~サウナ予測'!H4</f>
        <v>100000</v>
      </c>
      <c r="M22" s="214">
        <f>'[1]2024.7~サウナ予測'!I4</f>
        <v>100000</v>
      </c>
      <c r="N22" s="214">
        <f>'[1]2024.7~サウナ予測'!J4</f>
        <v>100000</v>
      </c>
      <c r="O22" s="214">
        <f>'[1]2024.7~サウナ予測'!K4</f>
        <v>100000</v>
      </c>
      <c r="P22" s="214">
        <f>'[2]2024.7~サウナ予測'!L4</f>
        <v>100000</v>
      </c>
      <c r="Q22" s="214">
        <f>'[2]2024.7~サウナ予測'!M4</f>
        <v>100000</v>
      </c>
      <c r="R22" s="214">
        <f>'[2]2024.7~サウナ予測'!N4</f>
        <v>100000</v>
      </c>
      <c r="S22" s="214">
        <v>100000</v>
      </c>
      <c r="T22" s="214">
        <v>100000</v>
      </c>
      <c r="U22" s="214"/>
      <c r="V22" s="214"/>
      <c r="W22" s="214"/>
      <c r="X22" s="214"/>
      <c r="Y22" s="214"/>
      <c r="Z22" s="214"/>
    </row>
    <row r="23" spans="1:26" ht="14.65" customHeight="1">
      <c r="A23" s="223">
        <v>0.34</v>
      </c>
      <c r="B23" s="215" t="s">
        <v>268</v>
      </c>
      <c r="C23" s="216" t="s">
        <v>263</v>
      </c>
      <c r="E23" s="543"/>
      <c r="F23" s="217" t="s">
        <v>264</v>
      </c>
      <c r="G23" s="218">
        <f>'[1]2024.07~本部予測'!C4</f>
        <v>0</v>
      </c>
      <c r="H23" s="218">
        <f>'[1]2024.07~本部予測'!D4</f>
        <v>0</v>
      </c>
      <c r="I23" s="218">
        <f>'[1]2024.07~本部予測'!E4</f>
        <v>0</v>
      </c>
      <c r="J23" s="218">
        <f>'[1]2024.07~本部予測'!F4</f>
        <v>0</v>
      </c>
      <c r="K23" s="218">
        <f>'[1]2024.07~本部予測'!G4</f>
        <v>0</v>
      </c>
      <c r="L23" s="218">
        <f>'[1]2024.07~本部予測'!H4</f>
        <v>0</v>
      </c>
      <c r="M23" s="218">
        <f>'[1]2024.07~本部予測'!I4</f>
        <v>0</v>
      </c>
      <c r="N23" s="218">
        <f>'[1]2024.07~本部予測'!J4</f>
        <v>0</v>
      </c>
      <c r="O23" s="218">
        <f>'[1]2024.07~本部予測'!K4</f>
        <v>0</v>
      </c>
      <c r="P23" s="218">
        <f>'[2]2024.07~本部予測'!L4</f>
        <v>0</v>
      </c>
      <c r="Q23" s="218">
        <f>'[2]2024.07~本部予測'!M4</f>
        <v>0</v>
      </c>
      <c r="R23" s="218">
        <f>'[2]2024.07~本部予測'!N4</f>
        <v>0</v>
      </c>
      <c r="S23" s="218">
        <v>0</v>
      </c>
      <c r="T23" s="218">
        <v>0</v>
      </c>
      <c r="U23" s="218"/>
      <c r="V23" s="218"/>
      <c r="W23" s="218"/>
      <c r="X23" s="218"/>
      <c r="Y23" s="218"/>
      <c r="Z23" s="218"/>
    </row>
    <row r="24" spans="1:26" ht="14.65" customHeight="1" thickBot="1">
      <c r="B24" s="220">
        <v>0.99</v>
      </c>
      <c r="C24" s="220">
        <f>1-B24</f>
        <v>1.0000000000000009E-2</v>
      </c>
      <c r="E24" s="544"/>
      <c r="F24" s="224" t="s">
        <v>269</v>
      </c>
      <c r="G24" s="225">
        <f>SUM(G18:G23)</f>
        <v>2200000</v>
      </c>
      <c r="H24" s="225">
        <f t="shared" ref="H24:Z24" si="2">SUM(H18:H23)</f>
        <v>2200000</v>
      </c>
      <c r="I24" s="225">
        <f t="shared" si="2"/>
        <v>2200000</v>
      </c>
      <c r="J24" s="225">
        <f t="shared" si="2"/>
        <v>2200000</v>
      </c>
      <c r="K24" s="225">
        <f t="shared" si="2"/>
        <v>2200000</v>
      </c>
      <c r="L24" s="225">
        <f t="shared" si="2"/>
        <v>2837500</v>
      </c>
      <c r="M24" s="225">
        <f t="shared" si="2"/>
        <v>2200000</v>
      </c>
      <c r="N24" s="225">
        <f t="shared" si="2"/>
        <v>2200000</v>
      </c>
      <c r="O24" s="225">
        <f t="shared" si="2"/>
        <v>2582500</v>
      </c>
      <c r="P24" s="225">
        <f t="shared" si="2"/>
        <v>2182500</v>
      </c>
      <c r="Q24" s="225">
        <f t="shared" si="2"/>
        <v>2182500</v>
      </c>
      <c r="R24" s="225">
        <f t="shared" si="2"/>
        <v>2182500</v>
      </c>
      <c r="S24" s="225">
        <f t="shared" si="2"/>
        <v>2165000</v>
      </c>
      <c r="T24" s="225">
        <f t="shared" si="2"/>
        <v>2165000</v>
      </c>
      <c r="U24" s="225">
        <f t="shared" si="2"/>
        <v>0</v>
      </c>
      <c r="V24" s="225">
        <f t="shared" si="2"/>
        <v>0</v>
      </c>
      <c r="W24" s="225">
        <f t="shared" si="2"/>
        <v>0</v>
      </c>
      <c r="X24" s="225">
        <f t="shared" si="2"/>
        <v>0</v>
      </c>
      <c r="Y24" s="225">
        <f t="shared" si="2"/>
        <v>0</v>
      </c>
      <c r="Z24" s="225">
        <f t="shared" si="2"/>
        <v>0</v>
      </c>
    </row>
    <row r="25" spans="1:26" ht="14.65" customHeight="1" thickTop="1">
      <c r="E25" s="559" t="s">
        <v>270</v>
      </c>
      <c r="F25" s="560"/>
      <c r="G25" s="226">
        <f t="shared" ref="G25:K25" si="3">G17-G24</f>
        <v>7400000</v>
      </c>
      <c r="H25" s="226">
        <f t="shared" si="3"/>
        <v>9020000</v>
      </c>
      <c r="I25" s="226">
        <f t="shared" si="3"/>
        <v>7400000</v>
      </c>
      <c r="J25" s="226">
        <f t="shared" si="3"/>
        <v>7400000</v>
      </c>
      <c r="K25" s="226">
        <f t="shared" si="3"/>
        <v>7400000</v>
      </c>
      <c r="L25" s="226">
        <f>L17-L24</f>
        <v>9262500</v>
      </c>
      <c r="M25" s="226">
        <f t="shared" ref="M25:Z25" si="4">M17-M24</f>
        <v>7400000</v>
      </c>
      <c r="N25" s="226">
        <f t="shared" si="4"/>
        <v>7400000</v>
      </c>
      <c r="O25" s="226">
        <f t="shared" si="4"/>
        <v>8517500</v>
      </c>
      <c r="P25" s="226">
        <f t="shared" si="4"/>
        <v>7417500</v>
      </c>
      <c r="Q25" s="226">
        <f t="shared" si="4"/>
        <v>7417500</v>
      </c>
      <c r="R25" s="226">
        <f t="shared" si="4"/>
        <v>7417500</v>
      </c>
      <c r="S25" s="226">
        <f t="shared" si="4"/>
        <v>7435000</v>
      </c>
      <c r="T25" s="226">
        <f t="shared" si="4"/>
        <v>7435000</v>
      </c>
      <c r="U25" s="226">
        <f t="shared" si="4"/>
        <v>0</v>
      </c>
      <c r="V25" s="226">
        <f t="shared" si="4"/>
        <v>0</v>
      </c>
      <c r="W25" s="226">
        <f t="shared" si="4"/>
        <v>0</v>
      </c>
      <c r="X25" s="226">
        <f t="shared" si="4"/>
        <v>0</v>
      </c>
      <c r="Y25" s="226">
        <f t="shared" si="4"/>
        <v>0</v>
      </c>
      <c r="Z25" s="226">
        <f t="shared" si="4"/>
        <v>0</v>
      </c>
    </row>
    <row r="26" spans="1:26" ht="14.65" customHeight="1" thickBot="1">
      <c r="A26" s="227" t="s">
        <v>271</v>
      </c>
      <c r="B26" s="228"/>
      <c r="C26" s="228"/>
      <c r="E26" s="561"/>
      <c r="F26" s="562"/>
      <c r="G26" s="229">
        <f t="shared" ref="G26:Z26" si="5">G25/G17</f>
        <v>0.77083333333333337</v>
      </c>
      <c r="H26" s="229">
        <f t="shared" si="5"/>
        <v>0.80392156862745101</v>
      </c>
      <c r="I26" s="229">
        <f t="shared" si="5"/>
        <v>0.77083333333333337</v>
      </c>
      <c r="J26" s="229">
        <f t="shared" si="5"/>
        <v>0.77083333333333337</v>
      </c>
      <c r="K26" s="229">
        <f t="shared" si="5"/>
        <v>0.77083333333333337</v>
      </c>
      <c r="L26" s="229">
        <f t="shared" si="5"/>
        <v>0.76549586776859502</v>
      </c>
      <c r="M26" s="229">
        <f t="shared" si="5"/>
        <v>0.77083333333333337</v>
      </c>
      <c r="N26" s="229">
        <f t="shared" si="5"/>
        <v>0.77083333333333337</v>
      </c>
      <c r="O26" s="229">
        <f t="shared" si="5"/>
        <v>0.76734234234234233</v>
      </c>
      <c r="P26" s="229">
        <f t="shared" si="5"/>
        <v>0.77265625000000004</v>
      </c>
      <c r="Q26" s="229">
        <f t="shared" si="5"/>
        <v>0.77265625000000004</v>
      </c>
      <c r="R26" s="229">
        <f t="shared" si="5"/>
        <v>0.77265625000000004</v>
      </c>
      <c r="S26" s="229">
        <f t="shared" si="5"/>
        <v>0.77447916666666672</v>
      </c>
      <c r="T26" s="229">
        <f t="shared" si="5"/>
        <v>0.77447916666666672</v>
      </c>
      <c r="U26" s="229" t="e">
        <f t="shared" si="5"/>
        <v>#DIV/0!</v>
      </c>
      <c r="V26" s="229" t="e">
        <f t="shared" si="5"/>
        <v>#DIV/0!</v>
      </c>
      <c r="W26" s="229" t="e">
        <f t="shared" si="5"/>
        <v>#DIV/0!</v>
      </c>
      <c r="X26" s="229" t="e">
        <f t="shared" si="5"/>
        <v>#DIV/0!</v>
      </c>
      <c r="Y26" s="229" t="e">
        <f t="shared" si="5"/>
        <v>#DIV/0!</v>
      </c>
      <c r="Z26" s="229" t="e">
        <f t="shared" si="5"/>
        <v>#DIV/0!</v>
      </c>
    </row>
    <row r="27" spans="1:26" ht="14.65" customHeight="1" thickTop="1">
      <c r="A27" s="230">
        <v>590</v>
      </c>
      <c r="B27" s="228"/>
      <c r="C27" s="228"/>
      <c r="E27" s="563" t="s">
        <v>272</v>
      </c>
      <c r="F27" s="292" t="s">
        <v>273</v>
      </c>
      <c r="G27" s="208">
        <f>'[1]2024.07～恵愛予測'!C7+'[1]2024.7~村予測'!C7+'[1]2024.7~弁当予測'!C7+'[1]2024.7~シェアバー予測'!C7+'[1]2024.7~サウナ予測'!C7+'[1]2024.07~本部予測'!C7</f>
        <v>500000</v>
      </c>
      <c r="H27" s="208">
        <f>'[1]2024.07～恵愛予測'!D7+'[1]2024.7~村予測'!D7+'[1]2024.7~弁当予測'!D7+'[1]2024.7~シェアバー予測'!D7+'[1]2024.7~サウナ予測'!D7+'[1]2024.07~本部予測'!D7</f>
        <v>500000</v>
      </c>
      <c r="I27" s="208">
        <v>500000</v>
      </c>
      <c r="J27" s="208">
        <v>500000</v>
      </c>
      <c r="K27" s="208">
        <v>500000</v>
      </c>
      <c r="L27" s="208">
        <v>500000</v>
      </c>
      <c r="M27" s="208">
        <v>500000</v>
      </c>
      <c r="N27" s="208">
        <v>500000</v>
      </c>
      <c r="O27" s="208">
        <v>500000</v>
      </c>
      <c r="P27" s="208">
        <f>'[2]2024.07～恵愛予測'!L7+'[2]2024.7~村予測'!L7+'[2]2024.7~弁当予測'!L7+'[2]2024.7~シェアバー予測'!L7+'[2]2024.7~サウナ予測'!L7+'[2]2024.07~本部予測'!L7</f>
        <v>500000</v>
      </c>
      <c r="Q27" s="208">
        <f>'[2]2024.07～恵愛予測'!M7+'[2]2024.7~村予測'!M7+'[2]2024.7~弁当予測'!M7+'[2]2024.7~シェアバー予測'!M7+'[2]2024.7~サウナ予測'!M7+'[2]2024.07~本部予測'!M7</f>
        <v>500000</v>
      </c>
      <c r="R27" s="208">
        <f>'[2]2024.07～恵愛予測'!N7+'[2]2024.7~村予測'!N7+'[2]2024.7~弁当予測'!N7+'[2]2024.7~シェアバー予測'!N7+'[2]2024.7~サウナ予測'!N7+'[2]2024.07~本部予測'!N7</f>
        <v>500000</v>
      </c>
      <c r="S27" s="208">
        <v>500000</v>
      </c>
      <c r="T27" s="208">
        <v>500000</v>
      </c>
      <c r="U27" s="208"/>
      <c r="V27" s="208"/>
      <c r="W27" s="208"/>
      <c r="X27" s="208"/>
      <c r="Y27" s="208"/>
      <c r="Z27" s="208"/>
    </row>
    <row r="28" spans="1:26" ht="14.65" customHeight="1">
      <c r="A28" s="230"/>
      <c r="B28" s="228"/>
      <c r="C28" s="228"/>
      <c r="E28" s="543"/>
      <c r="F28" s="292" t="s">
        <v>274</v>
      </c>
      <c r="G28" s="212">
        <f>'[1]2024.07～恵愛予測'!C8+'[1]2024.7~村予測'!C8+'[1]2024.7~弁当予測'!C8+'[1]2024.7~シェアバー予測'!C8+'[1]2024.7~サウナ予測'!C8+'[1]2024.07~本部予測'!C8</f>
        <v>570000</v>
      </c>
      <c r="H28" s="212">
        <f>'[1]2024.07～恵愛予測'!D8+'[1]2024.7~村予測'!D8+'[1]2024.7~弁当予測'!D8+'[1]2024.7~シェアバー予測'!D8+'[1]2024.7~サウナ予測'!D8+'[1]2024.07~本部予測'!D8</f>
        <v>570000</v>
      </c>
      <c r="I28" s="212">
        <v>570000</v>
      </c>
      <c r="J28" s="212">
        <v>570000</v>
      </c>
      <c r="K28" s="212">
        <v>350000</v>
      </c>
      <c r="L28" s="212">
        <v>350000</v>
      </c>
      <c r="M28" s="212">
        <v>350000</v>
      </c>
      <c r="N28" s="212">
        <v>350000</v>
      </c>
      <c r="O28" s="212">
        <v>350000</v>
      </c>
      <c r="P28" s="212">
        <f>'[2]2024.07～恵愛予測'!L8+'[2]2024.7~村予測'!L8+'[2]2024.7~弁当予測'!L8+'[2]2024.7~シェアバー予測'!L8+'[2]2024.7~サウナ予測'!L8+'[2]2024.07~本部予測'!L8</f>
        <v>350000</v>
      </c>
      <c r="Q28" s="212">
        <f>'[2]2024.07～恵愛予測'!M8+'[2]2024.7~村予測'!M8+'[2]2024.7~弁当予測'!M8+'[2]2024.7~シェアバー予測'!M8+'[2]2024.7~サウナ予測'!M8+'[2]2024.07~本部予測'!M8</f>
        <v>350000</v>
      </c>
      <c r="R28" s="212">
        <f>'[2]2024.07～恵愛予測'!N8+'[2]2024.7~村予測'!N8+'[2]2024.7~弁当予測'!N8+'[2]2024.7~シェアバー予測'!N8+'[2]2024.7~サウナ予測'!N8+'[2]2024.07~本部予測'!N8</f>
        <v>350000</v>
      </c>
      <c r="S28" s="212">
        <v>570000</v>
      </c>
      <c r="T28" s="212">
        <v>570000</v>
      </c>
      <c r="U28" s="212"/>
      <c r="V28" s="212"/>
      <c r="W28" s="212"/>
      <c r="X28" s="212"/>
      <c r="Y28" s="212"/>
      <c r="Z28" s="212"/>
    </row>
    <row r="29" spans="1:26" ht="14.65" customHeight="1">
      <c r="A29" s="231" t="s">
        <v>275</v>
      </c>
      <c r="B29" s="228"/>
      <c r="C29" s="228"/>
      <c r="E29" s="543"/>
      <c r="F29" s="292" t="s">
        <v>276</v>
      </c>
      <c r="G29" s="212">
        <f>'[1]2024.07～恵愛予測'!C9+'[1]2024.7~村予測'!C9+'[1]2024.7~弁当予測'!C9+'[1]2024.7~シェアバー予測'!C9+'[1]2024.7~サウナ予測'!C9+'[1]2024.07~本部予測'!C9</f>
        <v>1130000</v>
      </c>
      <c r="H29" s="212">
        <f>'[1]2024.07～恵愛予測'!D9+'[1]2024.7~村予測'!D9+'[1]2024.7~弁当予測'!D9+'[1]2024.7~シェアバー予測'!D9+'[1]2024.7~サウナ予測'!D9+'[1]2024.07~本部予測'!D9</f>
        <v>1130000</v>
      </c>
      <c r="I29" s="212">
        <v>1130000</v>
      </c>
      <c r="J29" s="212">
        <v>1130000</v>
      </c>
      <c r="K29" s="212">
        <v>1270000</v>
      </c>
      <c r="L29" s="212">
        <v>1695000</v>
      </c>
      <c r="M29" s="212">
        <v>1270000</v>
      </c>
      <c r="N29" s="212">
        <v>1270000</v>
      </c>
      <c r="O29" s="212">
        <v>1525000</v>
      </c>
      <c r="P29" s="212">
        <f>'[2]2024.07～恵愛予測'!L9+'[2]2024.7~村予測'!L9+'[2]2024.7~弁当予測'!L9+'[2]2024.7~シェアバー予測'!L9+'[2]2024.7~サウナ予測'!L9+'[2]2024.07~本部予測'!L9</f>
        <v>1250000</v>
      </c>
      <c r="Q29" s="212">
        <f>'[2]2024.07～恵愛予測'!M9+'[2]2024.7~村予測'!M9+'[2]2024.7~弁当予測'!M9+'[2]2024.7~シェアバー予測'!M9+'[2]2024.7~サウナ予測'!M9+'[2]2024.07~本部予測'!M9</f>
        <v>1250000</v>
      </c>
      <c r="R29" s="212">
        <f>'[2]2024.07～恵愛予測'!N9+'[2]2024.7~村予測'!N9+'[2]2024.7~弁当予測'!N9+'[2]2024.7~シェアバー予測'!N9+'[2]2024.7~サウナ予測'!N9+'[2]2024.07~本部予測'!N9</f>
        <v>1250000</v>
      </c>
      <c r="S29" s="212">
        <v>1130000</v>
      </c>
      <c r="T29" s="212">
        <v>1130000</v>
      </c>
      <c r="U29" s="212"/>
      <c r="V29" s="212"/>
      <c r="W29" s="212"/>
      <c r="X29" s="212"/>
      <c r="Y29" s="212"/>
      <c r="Z29" s="212"/>
    </row>
    <row r="30" spans="1:26" ht="14.65" customHeight="1">
      <c r="A30" s="231" t="s">
        <v>275</v>
      </c>
      <c r="B30" s="228"/>
      <c r="C30" s="228"/>
      <c r="E30" s="543"/>
      <c r="F30" s="292" t="s">
        <v>277</v>
      </c>
      <c r="G30" s="212">
        <f>'[1]2024.07～恵愛予測'!C10+'[1]2024.7~村予測'!C10+'[1]2024.7~弁当予測'!C10+'[1]2024.7~シェアバー予測'!C10+'[1]2024.7~サウナ予測'!C10+'[1]2024.07~本部予測'!C10</f>
        <v>160500</v>
      </c>
      <c r="H30" s="212">
        <f>'[1]2024.07～恵愛予測'!D10+'[1]2024.7~村予測'!D10+'[1]2024.7~弁当予測'!D10+'[1]2024.7~シェアバー予測'!D10+'[1]2024.7~サウナ予測'!D10+'[1]2024.07~本部予測'!D10</f>
        <v>160500</v>
      </c>
      <c r="I30" s="212">
        <v>145500</v>
      </c>
      <c r="J30" s="212">
        <v>145500</v>
      </c>
      <c r="K30" s="212">
        <v>112500</v>
      </c>
      <c r="L30" s="212">
        <v>112500</v>
      </c>
      <c r="M30" s="212">
        <v>112500</v>
      </c>
      <c r="N30" s="212">
        <v>112500</v>
      </c>
      <c r="O30" s="212">
        <v>112500</v>
      </c>
      <c r="P30" s="212">
        <f>'[2]2024.07～恵愛予測'!L10+'[2]2024.7~村予測'!L10+'[2]2024.7~弁当予測'!L10+'[2]2024.7~シェアバー予測'!L10+'[2]2024.7~サウナ予測'!L10+'[2]2024.07~本部予測'!L10</f>
        <v>140000</v>
      </c>
      <c r="Q30" s="212">
        <f>'[2]2024.07～恵愛予測'!M10+'[2]2024.7~村予測'!M10+'[2]2024.7~弁当予測'!M10+'[2]2024.7~シェアバー予測'!M10+'[2]2024.7~サウナ予測'!M10+'[2]2024.07~本部予測'!M10</f>
        <v>140000</v>
      </c>
      <c r="R30" s="212">
        <f>'[2]2024.07～恵愛予測'!N10+'[2]2024.7~村予測'!N10+'[2]2024.7~弁当予測'!N10+'[2]2024.7~シェアバー予測'!N10+'[2]2024.7~サウナ予測'!N10+'[2]2024.07~本部予測'!N10</f>
        <v>140000</v>
      </c>
      <c r="S30" s="212">
        <v>160500</v>
      </c>
      <c r="T30" s="212">
        <v>160500</v>
      </c>
      <c r="U30" s="212"/>
      <c r="V30" s="212"/>
      <c r="W30" s="212"/>
      <c r="X30" s="212"/>
      <c r="Y30" s="212"/>
      <c r="Z30" s="212"/>
    </row>
    <row r="31" spans="1:26" ht="14.65" customHeight="1">
      <c r="A31" s="231"/>
      <c r="B31" s="228"/>
      <c r="C31" s="228"/>
      <c r="E31" s="543"/>
      <c r="F31" s="292" t="s">
        <v>278</v>
      </c>
      <c r="G31" s="212">
        <f>'[1]2024.07～恵愛予測'!C11+'[1]2024.7~村予測'!C11+'[1]2024.7~弁当予測'!C11+'[1]2024.7~シェアバー予測'!C11+'[1]2024.7~サウナ予測'!C11+'[1]2024.07~本部予測'!C11</f>
        <v>0</v>
      </c>
      <c r="H31" s="212">
        <f>'[1]2024.07～恵愛予測'!D11+'[1]2024.7~村予測'!D11+'[1]2024.7~弁当予測'!D11+'[1]2024.7~シェアバー予測'!D11+'[1]2024.7~サウナ予測'!D11+'[1]2024.07~本部予測'!D11</f>
        <v>0</v>
      </c>
      <c r="I31" s="212">
        <v>0</v>
      </c>
      <c r="J31" s="212">
        <v>0</v>
      </c>
      <c r="K31" s="212">
        <v>0</v>
      </c>
      <c r="L31" s="212">
        <v>0</v>
      </c>
      <c r="M31" s="212">
        <v>0</v>
      </c>
      <c r="N31" s="212">
        <v>0</v>
      </c>
      <c r="O31" s="212">
        <v>0</v>
      </c>
      <c r="P31" s="212">
        <f>'[2]2024.07～恵愛予測'!L11+'[2]2024.7~村予測'!L11+'[2]2024.7~弁当予測'!L11+'[2]2024.7~シェアバー予測'!L11+'[2]2024.7~サウナ予測'!L11+'[2]2024.07~本部予測'!L11</f>
        <v>0</v>
      </c>
      <c r="Q31" s="212">
        <f>'[2]2024.07～恵愛予測'!M11+'[2]2024.7~村予測'!M11+'[2]2024.7~弁当予測'!M11+'[2]2024.7~シェアバー予測'!M11+'[2]2024.7~サウナ予測'!M11+'[2]2024.07~本部予測'!M11</f>
        <v>0</v>
      </c>
      <c r="R31" s="212">
        <f>'[2]2024.07～恵愛予測'!N11+'[2]2024.7~村予測'!N11+'[2]2024.7~弁当予測'!N11+'[2]2024.7~シェアバー予測'!N11+'[2]2024.7~サウナ予測'!N11+'[2]2024.07~本部予測'!N11</f>
        <v>0</v>
      </c>
      <c r="S31" s="214">
        <v>0</v>
      </c>
      <c r="T31" s="214">
        <v>0</v>
      </c>
      <c r="U31" s="214"/>
      <c r="V31" s="214"/>
      <c r="W31" s="214"/>
      <c r="X31" s="214"/>
      <c r="Y31" s="214"/>
      <c r="Z31" s="214"/>
    </row>
    <row r="32" spans="1:26" ht="14.65" customHeight="1">
      <c r="A32" s="231"/>
      <c r="B32" s="228"/>
      <c r="C32" s="228"/>
      <c r="E32" s="543"/>
      <c r="F32" s="292" t="s">
        <v>279</v>
      </c>
      <c r="G32" s="212">
        <f>'[1]2024.07～恵愛予測'!C12+'[1]2024.7~村予測'!C12+'[1]2024.7~弁当予測'!C12+'[1]2024.7~シェアバー予測'!C12+'[1]2024.7~サウナ予測'!C12+'[1]2024.07~本部予測'!C12</f>
        <v>260000</v>
      </c>
      <c r="H32" s="212">
        <f>'[1]2024.07～恵愛予測'!D12+'[1]2024.7~村予測'!D12+'[1]2024.7~弁当予測'!D12+'[1]2024.7~シェアバー予測'!D12+'[1]2024.7~サウナ予測'!D12+'[1]2024.07~本部予測'!D12</f>
        <v>260000</v>
      </c>
      <c r="I32" s="212">
        <v>260000</v>
      </c>
      <c r="J32" s="212">
        <v>260000</v>
      </c>
      <c r="K32" s="212">
        <v>260000</v>
      </c>
      <c r="L32" s="212">
        <v>260000</v>
      </c>
      <c r="M32" s="212">
        <v>260000</v>
      </c>
      <c r="N32" s="212">
        <v>260000</v>
      </c>
      <c r="O32" s="212">
        <v>260000</v>
      </c>
      <c r="P32" s="212">
        <f>'[2]2024.07～恵愛予測'!L12+'[2]2024.7~村予測'!L12+'[2]2024.7~弁当予測'!L12+'[2]2024.7~シェアバー予測'!L12+'[2]2024.7~サウナ予測'!L12+'[2]2024.07~本部予測'!L12</f>
        <v>260000</v>
      </c>
      <c r="Q32" s="212">
        <f>'[2]2024.07～恵愛予測'!M12+'[2]2024.7~村予測'!M12+'[2]2024.7~弁当予測'!M12+'[2]2024.7~シェアバー予測'!M12+'[2]2024.7~サウナ予測'!M12+'[2]2024.07~本部予測'!M12</f>
        <v>260000</v>
      </c>
      <c r="R32" s="212">
        <f>'[2]2024.07～恵愛予測'!N12+'[2]2024.7~村予測'!N12+'[2]2024.7~弁当予測'!N12+'[2]2024.7~シェアバー予測'!N12+'[2]2024.7~サウナ予測'!N12+'[2]2024.07~本部予測'!N12</f>
        <v>260000</v>
      </c>
      <c r="S32" s="214">
        <v>285000</v>
      </c>
      <c r="T32" s="214">
        <v>285000</v>
      </c>
      <c r="U32" s="214"/>
      <c r="V32" s="214"/>
      <c r="W32" s="214"/>
      <c r="X32" s="214"/>
      <c r="Y32" s="214"/>
      <c r="Z32" s="214"/>
    </row>
    <row r="33" spans="1:26" ht="14.65" customHeight="1">
      <c r="A33" s="232">
        <v>3780</v>
      </c>
      <c r="B33" s="228"/>
      <c r="C33" s="228"/>
      <c r="E33" s="543"/>
      <c r="F33" s="292" t="s">
        <v>280</v>
      </c>
      <c r="G33" s="212">
        <f>'[1]2024.07～恵愛予測'!C13+'[1]2024.7~村予測'!C13+'[1]2024.7~弁当予測'!C13+'[1]2024.7~シェアバー予測'!C13+'[1]2024.7~サウナ予測'!C13+'[1]2024.07~本部予測'!C13</f>
        <v>101819</v>
      </c>
      <c r="H33" s="212">
        <f>'[1]2024.07～恵愛予測'!D13+'[1]2024.7~村予測'!D13+'[1]2024.7~弁当予測'!D13+'[1]2024.7~シェアバー予測'!D13+'[1]2024.7~サウナ予測'!D13+'[1]2024.07~本部予測'!D13</f>
        <v>101819</v>
      </c>
      <c r="I33" s="212">
        <v>101819</v>
      </c>
      <c r="J33" s="212">
        <v>101819</v>
      </c>
      <c r="K33" s="212">
        <v>101819</v>
      </c>
      <c r="L33" s="212">
        <v>101819</v>
      </c>
      <c r="M33" s="212">
        <v>101819</v>
      </c>
      <c r="N33" s="212">
        <v>101819</v>
      </c>
      <c r="O33" s="212">
        <v>101819</v>
      </c>
      <c r="P33" s="212">
        <f>'[2]2024.07～恵愛予測'!L13+'[2]2024.7~村予測'!L13+'[2]2024.7~弁当予測'!L13+'[2]2024.7~シェアバー予測'!L13+'[2]2024.7~サウナ予測'!L13+'[2]2024.07~本部予測'!L13</f>
        <v>101819</v>
      </c>
      <c r="Q33" s="212">
        <f>'[2]2024.07～恵愛予測'!M13+'[2]2024.7~村予測'!M13+'[2]2024.7~弁当予測'!M13+'[2]2024.7~シェアバー予測'!M13+'[2]2024.7~サウナ予測'!M13+'[2]2024.07~本部予測'!M13</f>
        <v>101819</v>
      </c>
      <c r="R33" s="212">
        <f>'[2]2024.07～恵愛予測'!N13+'[2]2024.7~村予測'!N13+'[2]2024.7~弁当予測'!N13+'[2]2024.7~シェアバー予測'!N13+'[2]2024.7~サウナ予測'!N13+'[2]2024.07~本部予測'!N13</f>
        <v>101819</v>
      </c>
      <c r="S33" s="218">
        <v>101819</v>
      </c>
      <c r="T33" s="218">
        <v>101819</v>
      </c>
      <c r="U33" s="218"/>
      <c r="V33" s="218"/>
      <c r="W33" s="218"/>
      <c r="X33" s="218"/>
      <c r="Y33" s="218"/>
      <c r="Z33" s="218"/>
    </row>
    <row r="34" spans="1:26" ht="14.65" customHeight="1">
      <c r="A34" s="227" t="s">
        <v>271</v>
      </c>
      <c r="B34" s="228"/>
      <c r="C34" s="228"/>
      <c r="E34" s="564"/>
      <c r="F34" s="233" t="s">
        <v>281</v>
      </c>
      <c r="G34" s="234">
        <f>SUM(G27:G33)</f>
        <v>2722319</v>
      </c>
      <c r="H34" s="234">
        <f t="shared" ref="H34:Z34" si="6">SUM(H27:H33)</f>
        <v>2722319</v>
      </c>
      <c r="I34" s="234">
        <f t="shared" si="6"/>
        <v>2707319</v>
      </c>
      <c r="J34" s="234">
        <f t="shared" si="6"/>
        <v>2707319</v>
      </c>
      <c r="K34" s="234">
        <f t="shared" si="6"/>
        <v>2594319</v>
      </c>
      <c r="L34" s="234">
        <f t="shared" si="6"/>
        <v>3019319</v>
      </c>
      <c r="M34" s="234">
        <f t="shared" si="6"/>
        <v>2594319</v>
      </c>
      <c r="N34" s="234">
        <f t="shared" si="6"/>
        <v>2594319</v>
      </c>
      <c r="O34" s="234">
        <f t="shared" si="6"/>
        <v>2849319</v>
      </c>
      <c r="P34" s="234">
        <f t="shared" si="6"/>
        <v>2601819</v>
      </c>
      <c r="Q34" s="234">
        <f t="shared" si="6"/>
        <v>2601819</v>
      </c>
      <c r="R34" s="234">
        <f t="shared" si="6"/>
        <v>2601819</v>
      </c>
      <c r="S34" s="234">
        <f t="shared" si="6"/>
        <v>2747319</v>
      </c>
      <c r="T34" s="234">
        <f t="shared" si="6"/>
        <v>2747319</v>
      </c>
      <c r="U34" s="234">
        <f t="shared" si="6"/>
        <v>0</v>
      </c>
      <c r="V34" s="234">
        <f t="shared" si="6"/>
        <v>0</v>
      </c>
      <c r="W34" s="234">
        <f t="shared" si="6"/>
        <v>0</v>
      </c>
      <c r="X34" s="234">
        <f t="shared" si="6"/>
        <v>0</v>
      </c>
      <c r="Y34" s="234">
        <f t="shared" si="6"/>
        <v>0</v>
      </c>
      <c r="Z34" s="234">
        <f t="shared" si="6"/>
        <v>0</v>
      </c>
    </row>
    <row r="35" spans="1:26" ht="14.65" customHeight="1">
      <c r="A35" s="230">
        <v>661</v>
      </c>
      <c r="B35" s="228"/>
      <c r="C35" s="228"/>
      <c r="E35" s="542" t="s">
        <v>282</v>
      </c>
      <c r="F35" s="292" t="s">
        <v>283</v>
      </c>
      <c r="G35" s="212">
        <f>'[1]2024.07～恵愛予測'!C14+'[1]2024.7~村予測'!C14+'[1]2024.7~弁当予測'!C14+'[1]2024.7~シェアバー予測'!C14+'[1]2024.7~サウナ予測'!C14+'[1]2024.07~本部予測'!C14</f>
        <v>50000</v>
      </c>
      <c r="H35" s="212">
        <f>'[1]2024.07～恵愛予測'!D14+'[1]2024.7~村予測'!D14+'[1]2024.7~弁当予測'!D14+'[1]2024.7~シェアバー予測'!D14+'[1]2024.7~サウナ予測'!D14+'[1]2024.07~本部予測'!D14</f>
        <v>50000</v>
      </c>
      <c r="I35" s="212">
        <v>50000</v>
      </c>
      <c r="J35" s="212">
        <v>50000</v>
      </c>
      <c r="K35" s="212">
        <f>'[3]2024.07～恵愛予測'!G14+'[3]2024.7~村予測'!G14+'[3]2024.7~弁当予測'!G14+'[3]2024.7~シェアバー予測'!G14+'[3]2024.7~サウナ予測'!G14+'[3]2024.07~本部予測'!G14</f>
        <v>50000</v>
      </c>
      <c r="L35" s="212">
        <f>'[3]2024.07～恵愛予測'!H14+'[3]2024.7~村予測'!H14+'[3]2024.7~弁当予測'!H14+'[3]2024.7~シェアバー予測'!H14+'[3]2024.7~サウナ予測'!H14+'[3]2024.07~本部予測'!H14</f>
        <v>55000</v>
      </c>
      <c r="M35" s="212">
        <f>'[3]2024.07～恵愛予測'!I14+'[3]2024.7~村予測'!I14+'[3]2024.7~弁当予測'!I14+'[3]2024.7~シェアバー予測'!I14+'[3]2024.7~サウナ予測'!I14+'[3]2024.07~本部予測'!I14</f>
        <v>55000</v>
      </c>
      <c r="N35" s="212">
        <f>'[3]2024.07～恵愛予測'!J14+'[3]2024.7~村予測'!J14+'[3]2024.7~弁当予測'!J14+'[3]2024.7~シェアバー予測'!J14+'[3]2024.7~サウナ予測'!J14+'[3]2024.07~本部予測'!J14</f>
        <v>55000</v>
      </c>
      <c r="O35" s="212">
        <f>'[3]2024.07～恵愛予測'!K14+'[3]2024.7~村予測'!K14+'[3]2024.7~弁当予測'!K14+'[3]2024.7~シェアバー予測'!K14+'[3]2024.7~サウナ予測'!K14+'[3]2024.07~本部予測'!K14</f>
        <v>55000</v>
      </c>
      <c r="P35" s="212">
        <f>'[2]2024.07～恵愛予測'!L14+'[2]2024.7~村予測'!L14+'[2]2024.7~弁当予測'!L14+'[2]2024.7~シェアバー予測'!L14+'[2]2024.7~サウナ予測'!L14+'[2]2024.07~本部予測'!L14</f>
        <v>50000</v>
      </c>
      <c r="Q35" s="212">
        <f>'[2]2024.07～恵愛予測'!M14+'[2]2024.7~村予測'!M14+'[2]2024.7~弁当予測'!M14+'[2]2024.7~シェアバー予測'!M14+'[2]2024.7~サウナ予測'!M14+'[2]2024.07~本部予測'!M14</f>
        <v>50000</v>
      </c>
      <c r="R35" s="212">
        <f>'[2]2024.07～恵愛予測'!N14+'[2]2024.7~村予測'!N14+'[2]2024.7~弁当予測'!N14+'[2]2024.7~シェアバー予測'!N14+'[2]2024.7~サウナ予測'!N14+'[2]2024.07~本部予測'!N14</f>
        <v>50000</v>
      </c>
      <c r="S35" s="235">
        <v>50000</v>
      </c>
      <c r="T35" s="235">
        <v>50000</v>
      </c>
      <c r="U35" s="235"/>
      <c r="V35" s="235"/>
      <c r="W35" s="235"/>
      <c r="X35" s="235"/>
      <c r="Y35" s="235"/>
      <c r="Z35" s="235"/>
    </row>
    <row r="36" spans="1:26" ht="14.65" customHeight="1">
      <c r="A36" s="230" t="s">
        <v>254</v>
      </c>
      <c r="B36" s="228"/>
      <c r="C36" s="228"/>
      <c r="E36" s="543"/>
      <c r="F36" s="292" t="s">
        <v>284</v>
      </c>
      <c r="G36" s="212">
        <f>'[1]2024.07～恵愛予測'!C15+'[1]2024.7~村予測'!C15+'[1]2024.7~弁当予測'!C15+'[1]2024.7~シェアバー予測'!C15+'[1]2024.7~サウナ予測'!C15+'[1]2024.07~本部予測'!C15</f>
        <v>63050</v>
      </c>
      <c r="H36" s="212">
        <f>'[1]2024.07～恵愛予測'!D15+'[1]2024.7~村予測'!D15+'[1]2024.7~弁当予測'!D15+'[1]2024.7~シェアバー予測'!D15+'[1]2024.7~サウナ予測'!D15+'[1]2024.07~本部予測'!D15</f>
        <v>63050</v>
      </c>
      <c r="I36" s="212">
        <v>63050</v>
      </c>
      <c r="J36" s="212">
        <v>63050</v>
      </c>
      <c r="K36" s="212">
        <f>'[3]2024.07～恵愛予測'!G15+'[3]2024.7~村予測'!G15+'[3]2024.7~弁当予測'!G15+'[3]2024.7~シェアバー予測'!G15+'[3]2024.7~サウナ予測'!G15+'[3]2024.07~本部予測'!G15</f>
        <v>64530</v>
      </c>
      <c r="L36" s="212">
        <f>'[3]2024.07～恵愛予測'!H15+'[3]2024.7~村予測'!H15+'[3]2024.7~弁当予測'!H15+'[3]2024.7~シェアバー予測'!H15+'[3]2024.7~サウナ予測'!H15+'[3]2024.07~本部予測'!H15</f>
        <v>64530</v>
      </c>
      <c r="M36" s="212">
        <f>'[3]2024.07～恵愛予測'!I15+'[3]2024.7~村予測'!I15+'[3]2024.7~弁当予測'!I15+'[3]2024.7~シェアバー予測'!I15+'[3]2024.7~サウナ予測'!I15+'[3]2024.07~本部予測'!I15</f>
        <v>64530</v>
      </c>
      <c r="N36" s="212">
        <f>'[3]2024.07～恵愛予測'!J15+'[3]2024.7~村予測'!J15+'[3]2024.7~弁当予測'!J15+'[3]2024.7~シェアバー予測'!J15+'[3]2024.7~サウナ予測'!J15+'[3]2024.07~本部予測'!J15</f>
        <v>64530</v>
      </c>
      <c r="O36" s="212">
        <f>'[3]2024.07～恵愛予測'!K15+'[3]2024.7~村予測'!K15+'[3]2024.7~弁当予測'!K15+'[3]2024.7~シェアバー予測'!K15+'[3]2024.7~サウナ予測'!K15+'[3]2024.07~本部予測'!K15</f>
        <v>64530</v>
      </c>
      <c r="P36" s="212">
        <f>'[2]2024.07～恵愛予測'!L15+'[2]2024.7~村予測'!L15+'[2]2024.7~弁当予測'!L15+'[2]2024.7~シェアバー予測'!L15+'[2]2024.7~サウナ予測'!L15+'[2]2024.07~本部予測'!L15</f>
        <v>64530</v>
      </c>
      <c r="Q36" s="212">
        <f>'[2]2024.07～恵愛予測'!M15+'[2]2024.7~村予測'!M15+'[2]2024.7~弁当予測'!M15+'[2]2024.7~シェアバー予測'!M15+'[2]2024.7~サウナ予測'!M15+'[2]2024.07~本部予測'!M15</f>
        <v>64530</v>
      </c>
      <c r="R36" s="212">
        <f>'[2]2024.07～恵愛予測'!N15+'[2]2024.7~村予測'!N15+'[2]2024.7~弁当予測'!N15+'[2]2024.7~シェアバー予測'!N15+'[2]2024.7~サウナ予測'!N15+'[2]2024.07~本部予測'!N15</f>
        <v>64530</v>
      </c>
      <c r="S36" s="212">
        <v>69050</v>
      </c>
      <c r="T36" s="212">
        <v>69050</v>
      </c>
      <c r="U36" s="212"/>
      <c r="V36" s="212"/>
      <c r="W36" s="212"/>
      <c r="X36" s="212"/>
      <c r="Y36" s="212"/>
      <c r="Z36" s="212"/>
    </row>
    <row r="37" spans="1:26" ht="14.65" customHeight="1">
      <c r="A37" s="231" t="s">
        <v>275</v>
      </c>
      <c r="B37" s="228"/>
      <c r="C37" s="228"/>
      <c r="E37" s="543"/>
      <c r="F37" s="292" t="s">
        <v>285</v>
      </c>
      <c r="G37" s="212">
        <f>'[1]2024.07～恵愛予測'!C16+'[1]2024.7~村予測'!C16+'[1]2024.7~弁当予測'!C16+'[1]2024.7~シェアバー予測'!C16+'[1]2024.7~サウナ予測'!C16+'[1]2024.07~本部予測'!C16</f>
        <v>0</v>
      </c>
      <c r="H37" s="212">
        <f>'[1]2024.07～恵愛予測'!D16+'[1]2024.7~村予測'!D16+'[1]2024.7~弁当予測'!D16+'[1]2024.7~シェアバー予測'!D16+'[1]2024.7~サウナ予測'!D16+'[1]2024.07~本部予測'!D16</f>
        <v>0</v>
      </c>
      <c r="I37" s="212">
        <v>0</v>
      </c>
      <c r="J37" s="212">
        <v>0</v>
      </c>
      <c r="K37" s="212">
        <f>'[3]2024.07～恵愛予測'!G16+'[3]2024.7~村予測'!G16+'[3]2024.7~弁当予測'!G16+'[3]2024.7~シェアバー予測'!G16+'[3]2024.7~サウナ予測'!G16+'[3]2024.07~本部予測'!G16</f>
        <v>0</v>
      </c>
      <c r="L37" s="212">
        <f>'[3]2024.07～恵愛予測'!H16+'[3]2024.7~村予測'!H16+'[3]2024.7~弁当予測'!H16+'[3]2024.7~シェアバー予測'!H16+'[3]2024.7~サウナ予測'!H16+'[3]2024.07~本部予測'!H16</f>
        <v>0</v>
      </c>
      <c r="M37" s="212">
        <f>'[3]2024.07～恵愛予測'!I16+'[3]2024.7~村予測'!I16+'[3]2024.7~弁当予測'!I16+'[3]2024.7~シェアバー予測'!I16+'[3]2024.7~サウナ予測'!I16+'[3]2024.07~本部予測'!I16</f>
        <v>0</v>
      </c>
      <c r="N37" s="212">
        <f>'[3]2024.07～恵愛予測'!J16+'[3]2024.7~村予測'!J16+'[3]2024.7~弁当予測'!J16+'[3]2024.7~シェアバー予測'!J16+'[3]2024.7~サウナ予測'!J16+'[3]2024.07~本部予測'!J16</f>
        <v>0</v>
      </c>
      <c r="O37" s="212">
        <f>'[3]2024.07～恵愛予測'!K16+'[3]2024.7~村予測'!K16+'[3]2024.7~弁当予測'!K16+'[3]2024.7~シェアバー予測'!K16+'[3]2024.7~サウナ予測'!K16+'[3]2024.07~本部予測'!K16</f>
        <v>0</v>
      </c>
      <c r="P37" s="212">
        <f>'[2]2024.07～恵愛予測'!L16+'[2]2024.7~村予測'!L16+'[2]2024.7~弁当予測'!L16+'[2]2024.7~シェアバー予測'!L16+'[2]2024.7~サウナ予測'!L16+'[2]2024.07~本部予測'!L16</f>
        <v>0</v>
      </c>
      <c r="Q37" s="212">
        <f>'[2]2024.07～恵愛予測'!M16+'[2]2024.7~村予測'!M16+'[2]2024.7~弁当予測'!M16+'[2]2024.7~シェアバー予測'!M16+'[2]2024.7~サウナ予測'!M16+'[2]2024.07~本部予測'!M16</f>
        <v>0</v>
      </c>
      <c r="R37" s="212">
        <f>'[2]2024.07～恵愛予測'!N16+'[2]2024.7~村予測'!N16+'[2]2024.7~弁当予測'!N16+'[2]2024.7~シェアバー予測'!N16+'[2]2024.7~サウナ予測'!N16+'[2]2024.07~本部予測'!N16</f>
        <v>0</v>
      </c>
      <c r="S37" s="212">
        <v>0</v>
      </c>
      <c r="T37" s="212">
        <v>0</v>
      </c>
      <c r="U37" s="212"/>
      <c r="V37" s="212"/>
      <c r="W37" s="212"/>
      <c r="X37" s="212"/>
      <c r="Y37" s="212"/>
      <c r="Z37" s="212"/>
    </row>
    <row r="38" spans="1:26" ht="14.65" customHeight="1">
      <c r="A38" s="231"/>
      <c r="B38" s="228"/>
      <c r="C38" s="228"/>
      <c r="E38" s="543"/>
      <c r="F38" s="292" t="s">
        <v>286</v>
      </c>
      <c r="G38" s="212">
        <f>'[1]2024.07～恵愛予測'!C17+'[1]2024.7~村予測'!C17+'[1]2024.7~弁当予測'!C17+'[1]2024.7~シェアバー予測'!C17+'[1]2024.7~サウナ予測'!C17+'[1]2024.07~本部予測'!C17</f>
        <v>0</v>
      </c>
      <c r="H38" s="212">
        <f>'[1]2024.07～恵愛予測'!D17+'[1]2024.7~村予測'!D17+'[1]2024.7~弁当予測'!D17+'[1]2024.7~シェアバー予測'!D17+'[1]2024.7~サウナ予測'!D17+'[1]2024.07~本部予測'!D17</f>
        <v>0</v>
      </c>
      <c r="I38" s="212">
        <v>0</v>
      </c>
      <c r="J38" s="212">
        <v>0</v>
      </c>
      <c r="K38" s="212">
        <f>'[3]2024.07～恵愛予測'!G17+'[3]2024.7~村予測'!G17+'[3]2024.7~弁当予測'!G17+'[3]2024.7~シェアバー予測'!G17+'[3]2024.7~サウナ予測'!G17+'[3]2024.07~本部予測'!G17</f>
        <v>0</v>
      </c>
      <c r="L38" s="212">
        <f>'[3]2024.07～恵愛予測'!H17+'[3]2024.7~村予測'!H17+'[3]2024.7~弁当予測'!H17+'[3]2024.7~シェアバー予測'!H17+'[3]2024.7~サウナ予測'!H17+'[3]2024.07~本部予測'!H17</f>
        <v>0</v>
      </c>
      <c r="M38" s="212">
        <f>'[3]2024.07～恵愛予測'!I17+'[3]2024.7~村予測'!I17+'[3]2024.7~弁当予測'!I17+'[3]2024.7~シェアバー予測'!I17+'[3]2024.7~サウナ予測'!I17+'[3]2024.07~本部予測'!I17</f>
        <v>0</v>
      </c>
      <c r="N38" s="212">
        <f>'[3]2024.07～恵愛予測'!J17+'[3]2024.7~村予測'!J17+'[3]2024.7~弁当予測'!J17+'[3]2024.7~シェアバー予測'!J17+'[3]2024.7~サウナ予測'!J17+'[3]2024.07~本部予測'!J17</f>
        <v>0</v>
      </c>
      <c r="O38" s="212">
        <f>'[3]2024.07～恵愛予測'!K17+'[3]2024.7~村予測'!K17+'[3]2024.7~弁当予測'!K17+'[3]2024.7~シェアバー予測'!K17+'[3]2024.7~サウナ予測'!K17+'[3]2024.07~本部予測'!K17</f>
        <v>0</v>
      </c>
      <c r="P38" s="212">
        <f>'[2]2024.07～恵愛予測'!L17+'[2]2024.7~村予測'!L17+'[2]2024.7~弁当予測'!L17+'[2]2024.7~シェアバー予測'!L17+'[2]2024.7~サウナ予測'!L17+'[2]2024.07~本部予測'!L17</f>
        <v>0</v>
      </c>
      <c r="Q38" s="212">
        <f>'[2]2024.07～恵愛予測'!M17+'[2]2024.7~村予測'!M17+'[2]2024.7~弁当予測'!M17+'[2]2024.7~シェアバー予測'!M17+'[2]2024.7~サウナ予測'!M17+'[2]2024.07~本部予測'!M17</f>
        <v>0</v>
      </c>
      <c r="R38" s="212">
        <f>'[2]2024.07～恵愛予測'!N17+'[2]2024.7~村予測'!N17+'[2]2024.7~弁当予測'!N17+'[2]2024.7~シェアバー予測'!N17+'[2]2024.7~サウナ予測'!N17+'[2]2024.07~本部予測'!N17</f>
        <v>0</v>
      </c>
      <c r="S38" s="212">
        <v>50000</v>
      </c>
      <c r="T38" s="212">
        <v>50000</v>
      </c>
      <c r="U38" s="212"/>
      <c r="V38" s="212"/>
      <c r="W38" s="212"/>
      <c r="X38" s="212"/>
      <c r="Y38" s="212"/>
      <c r="Z38" s="212"/>
    </row>
    <row r="39" spans="1:26" ht="14.65" customHeight="1">
      <c r="A39" s="231"/>
      <c r="B39" s="228"/>
      <c r="C39" s="228"/>
      <c r="E39" s="543"/>
      <c r="F39" s="292" t="s">
        <v>287</v>
      </c>
      <c r="G39" s="212">
        <f>'[1]2024.07～恵愛予測'!C18+'[1]2024.7~村予測'!C18+'[1]2024.7~弁当予測'!C18+'[1]2024.7~シェアバー予測'!C18+'[1]2024.7~サウナ予測'!C18+'[1]2024.07~本部予測'!C18</f>
        <v>10000</v>
      </c>
      <c r="H39" s="212">
        <f>'[1]2024.07～恵愛予測'!D18+'[1]2024.7~村予測'!D18+'[1]2024.7~弁当予測'!D18+'[1]2024.7~シェアバー予測'!D18+'[1]2024.7~サウナ予測'!D18+'[1]2024.07~本部予測'!D18</f>
        <v>0</v>
      </c>
      <c r="I39" s="212">
        <v>0</v>
      </c>
      <c r="J39" s="212">
        <v>0</v>
      </c>
      <c r="K39" s="212">
        <f>'[3]2024.07～恵愛予測'!G18+'[3]2024.7~村予測'!G18+'[3]2024.7~弁当予測'!G18+'[3]2024.7~シェアバー予測'!G18+'[3]2024.7~サウナ予測'!G18+'[3]2024.07~本部予測'!G18</f>
        <v>0</v>
      </c>
      <c r="L39" s="212">
        <f>'[3]2024.07～恵愛予測'!H18+'[3]2024.7~村予測'!H18+'[3]2024.7~弁当予測'!H18+'[3]2024.7~シェアバー予測'!H18+'[3]2024.7~サウナ予測'!H18+'[3]2024.07~本部予測'!H18</f>
        <v>20000</v>
      </c>
      <c r="M39" s="212">
        <f>'[3]2024.07～恵愛予測'!I18+'[3]2024.7~村予測'!I18+'[3]2024.7~弁当予測'!I18+'[3]2024.7~シェアバー予測'!I18+'[3]2024.7~サウナ予測'!I18+'[3]2024.07~本部予測'!I18</f>
        <v>0</v>
      </c>
      <c r="N39" s="212">
        <f>'[3]2024.07～恵愛予測'!J18+'[3]2024.7~村予測'!J18+'[3]2024.7~弁当予測'!J18+'[3]2024.7~シェアバー予測'!J18+'[3]2024.7~サウナ予測'!J18+'[3]2024.07~本部予測'!J18</f>
        <v>0</v>
      </c>
      <c r="O39" s="212">
        <f>'[3]2024.07～恵愛予測'!K18+'[3]2024.7~村予測'!K18+'[3]2024.7~弁当予測'!K18+'[3]2024.7~シェアバー予測'!K18+'[3]2024.7~サウナ予測'!K18+'[3]2024.07~本部予測'!K18</f>
        <v>20000</v>
      </c>
      <c r="P39" s="212">
        <f>'[2]2024.07～恵愛予測'!L18+'[2]2024.7~村予測'!L18+'[2]2024.7~弁当予測'!L18+'[2]2024.7~シェアバー予測'!L18+'[2]2024.7~サウナ予測'!L18+'[2]2024.07~本部予測'!L18</f>
        <v>0</v>
      </c>
      <c r="Q39" s="212">
        <f>'[2]2024.07～恵愛予測'!M18+'[2]2024.7~村予測'!M18+'[2]2024.7~弁当予測'!M18+'[2]2024.7~シェアバー予測'!M18+'[2]2024.7~サウナ予測'!M18+'[2]2024.07~本部予測'!M18</f>
        <v>0</v>
      </c>
      <c r="R39" s="212">
        <f>'[2]2024.07～恵愛予測'!N18+'[2]2024.7~村予測'!N18+'[2]2024.7~弁当予測'!N18+'[2]2024.7~シェアバー予測'!N18+'[2]2024.7~サウナ予測'!N18+'[2]2024.07~本部予測'!N18</f>
        <v>0</v>
      </c>
      <c r="S39" s="212">
        <v>0</v>
      </c>
      <c r="T39" s="212">
        <v>0</v>
      </c>
      <c r="U39" s="212"/>
      <c r="V39" s="212"/>
      <c r="W39" s="212"/>
      <c r="X39" s="212"/>
      <c r="Y39" s="212"/>
      <c r="Z39" s="212"/>
    </row>
    <row r="40" spans="1:26" ht="14.65" customHeight="1">
      <c r="A40" s="231"/>
      <c r="B40" s="228"/>
      <c r="C40" s="228"/>
      <c r="E40" s="543"/>
      <c r="F40" s="292" t="s">
        <v>288</v>
      </c>
      <c r="G40" s="212">
        <f>'[1]2024.07～恵愛予測'!C19+'[1]2024.7~村予測'!C19+'[1]2024.7~弁当予測'!C19+'[1]2024.7~シェアバー予測'!C19+'[1]2024.7~サウナ予測'!C19+'[1]2024.07~本部予測'!C19</f>
        <v>749954</v>
      </c>
      <c r="H40" s="212">
        <f>'[1]2024.07～恵愛予測'!D19+'[1]2024.7~村予測'!D19+'[1]2024.7~弁当予測'!D19+'[1]2024.7~シェアバー予測'!D19+'[1]2024.7~サウナ予測'!D19+'[1]2024.07~本部予測'!D19</f>
        <v>749954</v>
      </c>
      <c r="I40" s="212">
        <v>690589</v>
      </c>
      <c r="J40" s="212">
        <v>690589</v>
      </c>
      <c r="K40" s="212">
        <f>'[3]2024.07～恵愛予測'!G19+'[3]2024.7~村予測'!G19+'[3]2024.7~弁当予測'!G19+'[3]2024.7~シェアバー予測'!G19+'[3]2024.7~サウナ予測'!G19+'[3]2024.07~本部予測'!G19</f>
        <v>690589</v>
      </c>
      <c r="L40" s="212">
        <f>'[3]2024.07～恵愛予測'!H19+'[3]2024.7~村予測'!H19+'[3]2024.7~弁当予測'!H19+'[3]2024.7~シェアバー予測'!H19+'[3]2024.7~サウナ予測'!H19+'[3]2024.07~本部予測'!H19</f>
        <v>690589</v>
      </c>
      <c r="M40" s="212">
        <f>'[3]2024.07～恵愛予測'!I19+'[3]2024.7~村予測'!I19+'[3]2024.7~弁当予測'!I19+'[3]2024.7~シェアバー予測'!I19+'[3]2024.7~サウナ予測'!I19+'[3]2024.07~本部予測'!I19</f>
        <v>690589</v>
      </c>
      <c r="N40" s="212">
        <f>'[3]2024.07～恵愛予測'!J19+'[3]2024.7~村予測'!J19+'[3]2024.7~弁当予測'!J19+'[3]2024.7~シェアバー予測'!J19+'[3]2024.7~サウナ予測'!J19+'[3]2024.07~本部予測'!J19</f>
        <v>690589</v>
      </c>
      <c r="O40" s="212">
        <f>'[3]2024.07～恵愛予測'!K19+'[3]2024.7~村予測'!K19+'[3]2024.7~弁当予測'!K19+'[3]2024.7~シェアバー予測'!K19+'[3]2024.7~サウナ予測'!K19+'[3]2024.07~本部予測'!K19</f>
        <v>690589</v>
      </c>
      <c r="P40" s="212">
        <f>'[2]2024.07～恵愛予測'!L19+'[2]2024.7~村予測'!L19+'[2]2024.7~弁当予測'!L19+'[2]2024.7~シェアバー予測'!L19+'[2]2024.7~サウナ予測'!L19+'[2]2024.07~本部予測'!L19</f>
        <v>690589</v>
      </c>
      <c r="Q40" s="212">
        <f>'[2]2024.07～恵愛予測'!M19+'[2]2024.7~村予測'!M19+'[2]2024.7~弁当予測'!M19+'[2]2024.7~シェアバー予測'!M19+'[2]2024.7~サウナ予測'!M19+'[2]2024.07~本部予測'!M19</f>
        <v>690589</v>
      </c>
      <c r="R40" s="212">
        <f>'[2]2024.07～恵愛予測'!N19+'[2]2024.7~村予測'!N19+'[2]2024.7~弁当予測'!N19+'[2]2024.7~シェアバー予測'!N19+'[2]2024.7~サウナ予測'!N19+'[2]2024.07~本部予測'!N19</f>
        <v>690589</v>
      </c>
      <c r="S40" s="212">
        <v>749954</v>
      </c>
      <c r="T40" s="212">
        <v>749954</v>
      </c>
      <c r="U40" s="212"/>
      <c r="V40" s="212"/>
      <c r="W40" s="212"/>
      <c r="X40" s="212"/>
      <c r="Y40" s="212"/>
      <c r="Z40" s="212"/>
    </row>
    <row r="41" spans="1:26" ht="14.65" customHeight="1">
      <c r="A41" s="231"/>
      <c r="B41" s="228"/>
      <c r="C41" s="228"/>
      <c r="E41" s="543"/>
      <c r="F41" s="292" t="s">
        <v>289</v>
      </c>
      <c r="G41" s="212">
        <f>'[1]2024.07～恵愛予測'!C20+'[1]2024.7~村予測'!C20+'[1]2024.7~弁当予測'!C20+'[1]2024.7~シェアバー予測'!C20+'[1]2024.7~サウナ予測'!C20+'[1]2024.07~本部予測'!C20</f>
        <v>30000</v>
      </c>
      <c r="H41" s="212">
        <f>'[1]2024.07～恵愛予測'!D20+'[1]2024.7~村予測'!D20+'[1]2024.7~弁当予測'!D20+'[1]2024.7~シェアバー予測'!D20+'[1]2024.7~サウナ予測'!D20+'[1]2024.07~本部予測'!D20</f>
        <v>30000</v>
      </c>
      <c r="I41" s="212">
        <v>30000</v>
      </c>
      <c r="J41" s="212">
        <v>30000</v>
      </c>
      <c r="K41" s="212">
        <f>'[3]2024.07～恵愛予測'!G20+'[3]2024.7~村予測'!G20+'[3]2024.7~弁当予測'!G20+'[3]2024.7~シェアバー予測'!G20+'[3]2024.7~サウナ予測'!G20+'[3]2024.07~本部予測'!G20</f>
        <v>30000</v>
      </c>
      <c r="L41" s="212">
        <f>'[3]2024.07～恵愛予測'!H20+'[3]2024.7~村予測'!H20+'[3]2024.7~弁当予測'!H20+'[3]2024.7~シェアバー予測'!H20+'[3]2024.7~サウナ予測'!H20+'[3]2024.07~本部予測'!H20</f>
        <v>30000</v>
      </c>
      <c r="M41" s="212">
        <f>'[3]2024.07～恵愛予測'!I20+'[3]2024.7~村予測'!I20+'[3]2024.7~弁当予測'!I20+'[3]2024.7~シェアバー予測'!I20+'[3]2024.7~サウナ予測'!I20+'[3]2024.07~本部予測'!I20</f>
        <v>30000</v>
      </c>
      <c r="N41" s="212">
        <f>'[3]2024.07～恵愛予測'!J20+'[3]2024.7~村予測'!J20+'[3]2024.7~弁当予測'!J20+'[3]2024.7~シェアバー予測'!J20+'[3]2024.7~サウナ予測'!J20+'[3]2024.07~本部予測'!J20</f>
        <v>30000</v>
      </c>
      <c r="O41" s="212">
        <f>'[3]2024.07～恵愛予測'!K20+'[3]2024.7~村予測'!K20+'[3]2024.7~弁当予測'!K20+'[3]2024.7~シェアバー予測'!K20+'[3]2024.7~サウナ予測'!K20+'[3]2024.07~本部予測'!K20</f>
        <v>30000</v>
      </c>
      <c r="P41" s="212">
        <f>'[2]2024.07～恵愛予測'!L20+'[2]2024.7~村予測'!L20+'[2]2024.7~弁当予測'!L20+'[2]2024.7~シェアバー予測'!L20+'[2]2024.7~サウナ予測'!L20+'[2]2024.07~本部予測'!L20</f>
        <v>30000</v>
      </c>
      <c r="Q41" s="212">
        <f>'[2]2024.07～恵愛予測'!M20+'[2]2024.7~村予測'!M20+'[2]2024.7~弁当予測'!M20+'[2]2024.7~シェアバー予測'!M20+'[2]2024.7~サウナ予測'!M20+'[2]2024.07~本部予測'!M20</f>
        <v>30000</v>
      </c>
      <c r="R41" s="212">
        <f>'[2]2024.07～恵愛予測'!N20+'[2]2024.7~村予測'!N20+'[2]2024.7~弁当予測'!N20+'[2]2024.7~シェアバー予測'!N20+'[2]2024.7~サウナ予測'!N20+'[2]2024.07~本部予測'!N20</f>
        <v>30000</v>
      </c>
      <c r="S41" s="212">
        <v>30000</v>
      </c>
      <c r="T41" s="212">
        <v>30000</v>
      </c>
      <c r="U41" s="212"/>
      <c r="V41" s="212"/>
      <c r="W41" s="212"/>
      <c r="X41" s="212"/>
      <c r="Y41" s="212"/>
      <c r="Z41" s="212"/>
    </row>
    <row r="42" spans="1:26" ht="14.65" customHeight="1">
      <c r="A42" s="231"/>
      <c r="B42" s="228"/>
      <c r="C42" s="228"/>
      <c r="E42" s="543"/>
      <c r="F42" s="292" t="s">
        <v>290</v>
      </c>
      <c r="G42" s="212">
        <f>'[1]2024.07～恵愛予測'!C21+'[1]2024.7~村予測'!C21+'[1]2024.7~弁当予測'!C21+'[1]2024.7~シェアバー予測'!C21+'[1]2024.7~サウナ予測'!C21+'[1]2024.07~本部予測'!C21</f>
        <v>1645661</v>
      </c>
      <c r="H42" s="212">
        <f>'[1]2024.07～恵愛予測'!D21+'[1]2024.7~村予測'!D21+'[1]2024.7~弁当予測'!D21+'[1]2024.7~シェアバー予測'!D21+'[1]2024.7~サウナ予測'!D21+'[1]2024.07~本部予測'!D21</f>
        <v>1645661</v>
      </c>
      <c r="I42" s="212">
        <v>1645661</v>
      </c>
      <c r="J42" s="212">
        <v>1645661</v>
      </c>
      <c r="K42" s="212">
        <f>'[3]2024.07～恵愛予測'!G21+'[3]2024.7~村予測'!G21+'[3]2024.7~弁当予測'!G21+'[3]2024.7~シェアバー予測'!G21+'[3]2024.7~サウナ予測'!G21+'[3]2024.07~本部予測'!G21</f>
        <v>1645661</v>
      </c>
      <c r="L42" s="212">
        <f>'[3]2024.07～恵愛予測'!H21+'[3]2024.7~村予測'!H21+'[3]2024.7~弁当予測'!H21+'[3]2024.7~シェアバー予測'!H21+'[3]2024.7~サウナ予測'!H21+'[3]2024.07~本部予測'!H21</f>
        <v>1645661</v>
      </c>
      <c r="M42" s="212">
        <f>'[3]2024.07～恵愛予測'!I21+'[3]2024.7~村予測'!I21+'[3]2024.7~弁当予測'!I21+'[3]2024.7~シェアバー予測'!I21+'[3]2024.7~サウナ予測'!I21+'[3]2024.07~本部予測'!I21</f>
        <v>1645661</v>
      </c>
      <c r="N42" s="212">
        <f>'[3]2024.07～恵愛予測'!J21+'[3]2024.7~村予測'!J21+'[3]2024.7~弁当予測'!J21+'[3]2024.7~シェアバー予測'!J21+'[3]2024.7~サウナ予測'!J21+'[3]2024.07~本部予測'!J21</f>
        <v>1645661</v>
      </c>
      <c r="O42" s="212">
        <f>'[3]2024.07～恵愛予測'!K21+'[3]2024.7~村予測'!K21+'[3]2024.7~弁当予測'!K21+'[3]2024.7~シェアバー予測'!K21+'[3]2024.7~サウナ予測'!K21+'[3]2024.07~本部予測'!K21</f>
        <v>1645661</v>
      </c>
      <c r="P42" s="212">
        <f>'[2]2024.07～恵愛予測'!L21+'[2]2024.7~村予測'!L21+'[2]2024.7~弁当予測'!L21+'[2]2024.7~シェアバー予測'!L21+'[2]2024.7~サウナ予測'!L21+'[2]2024.07~本部予測'!L21</f>
        <v>1645661</v>
      </c>
      <c r="Q42" s="212">
        <f>'[2]2024.07～恵愛予測'!M21+'[2]2024.7~村予測'!M21+'[2]2024.7~弁当予測'!M21+'[2]2024.7~シェアバー予測'!M21+'[2]2024.7~サウナ予測'!M21+'[2]2024.07~本部予測'!M21</f>
        <v>1645661</v>
      </c>
      <c r="R42" s="212">
        <f>'[2]2024.07～恵愛予測'!N21+'[2]2024.7~村予測'!N21+'[2]2024.7~弁当予測'!N21+'[2]2024.7~シェアバー予測'!N21+'[2]2024.7~サウナ予測'!N21+'[2]2024.07~本部予測'!N21</f>
        <v>1645661</v>
      </c>
      <c r="S42" s="212">
        <v>1645662</v>
      </c>
      <c r="T42" s="212">
        <v>1645662</v>
      </c>
      <c r="U42" s="212"/>
      <c r="V42" s="212"/>
      <c r="W42" s="212"/>
      <c r="X42" s="212"/>
      <c r="Y42" s="212"/>
      <c r="Z42" s="212"/>
    </row>
    <row r="43" spans="1:26" ht="14.65" customHeight="1">
      <c r="A43" s="231"/>
      <c r="B43" s="228"/>
      <c r="C43" s="228"/>
      <c r="E43" s="543"/>
      <c r="F43" s="292" t="s">
        <v>291</v>
      </c>
      <c r="G43" s="212">
        <f>'[1]2024.07～恵愛予測'!C22+'[1]2024.7~村予測'!C22+'[1]2024.7~弁当予測'!C22+'[1]2024.7~シェアバー予測'!C22+'[1]2024.7~サウナ予測'!C22+'[1]2024.07~本部予測'!C22</f>
        <v>49700</v>
      </c>
      <c r="H43" s="212">
        <f>'[1]2024.07～恵愛予測'!D22+'[1]2024.7~村予測'!D22+'[1]2024.7~弁当予測'!D22+'[1]2024.7~シェアバー予測'!D22+'[1]2024.7~サウナ予測'!D22+'[1]2024.07~本部予測'!D22</f>
        <v>49700</v>
      </c>
      <c r="I43" s="212">
        <v>49700</v>
      </c>
      <c r="J43" s="212">
        <v>49700</v>
      </c>
      <c r="K43" s="212">
        <f>'[3]2024.07～恵愛予測'!G22+'[3]2024.7~村予測'!G22+'[3]2024.7~弁当予測'!G22+'[3]2024.7~シェアバー予測'!G22+'[3]2024.7~サウナ予測'!G22+'[3]2024.07~本部予測'!G22</f>
        <v>49700</v>
      </c>
      <c r="L43" s="212">
        <f>'[3]2024.07～恵愛予測'!H22+'[3]2024.7~村予測'!H22+'[3]2024.7~弁当予測'!H22+'[3]2024.7~シェアバー予測'!H22+'[3]2024.7~サウナ予測'!H22+'[3]2024.07~本部予測'!H22</f>
        <v>49700</v>
      </c>
      <c r="M43" s="212">
        <f>'[3]2024.07～恵愛予測'!I22+'[3]2024.7~村予測'!I22+'[3]2024.7~弁当予測'!I22+'[3]2024.7~シェアバー予測'!I22+'[3]2024.7~サウナ予測'!I22+'[3]2024.07~本部予測'!I22</f>
        <v>49700</v>
      </c>
      <c r="N43" s="212">
        <f>'[3]2024.07～恵愛予測'!J22+'[3]2024.7~村予測'!J22+'[3]2024.7~弁当予測'!J22+'[3]2024.7~シェアバー予測'!J22+'[3]2024.7~サウナ予測'!J22+'[3]2024.07~本部予測'!J22</f>
        <v>49700</v>
      </c>
      <c r="O43" s="212">
        <f>'[3]2024.07～恵愛予測'!K22+'[3]2024.7~村予測'!K22+'[3]2024.7~弁当予測'!K22+'[3]2024.7~シェアバー予測'!K22+'[3]2024.7~サウナ予測'!K22+'[3]2024.07~本部予測'!K22</f>
        <v>49700</v>
      </c>
      <c r="P43" s="212">
        <f>'[2]2024.07～恵愛予測'!L22+'[2]2024.7~村予測'!L22+'[2]2024.7~弁当予測'!L22+'[2]2024.7~シェアバー予測'!L22+'[2]2024.7~サウナ予測'!L22+'[2]2024.07~本部予測'!L22</f>
        <v>49700</v>
      </c>
      <c r="Q43" s="212">
        <f>'[2]2024.07～恵愛予測'!M22+'[2]2024.7~村予測'!M22+'[2]2024.7~弁当予測'!M22+'[2]2024.7~シェアバー予測'!M22+'[2]2024.7~サウナ予測'!M22+'[2]2024.07~本部予測'!M22</f>
        <v>49700</v>
      </c>
      <c r="R43" s="212">
        <f>'[2]2024.07～恵愛予測'!N22+'[2]2024.7~村予測'!N22+'[2]2024.7~弁当予測'!N22+'[2]2024.7~シェアバー予測'!N22+'[2]2024.7~サウナ予測'!N22+'[2]2024.07~本部予測'!N22</f>
        <v>49700</v>
      </c>
      <c r="S43" s="212">
        <v>49700</v>
      </c>
      <c r="T43" s="212">
        <v>49700</v>
      </c>
      <c r="U43" s="212"/>
      <c r="V43" s="212"/>
      <c r="W43" s="212"/>
      <c r="X43" s="212"/>
      <c r="Y43" s="212"/>
      <c r="Z43" s="212"/>
    </row>
    <row r="44" spans="1:26" ht="14.65" customHeight="1">
      <c r="A44" s="231"/>
      <c r="B44" s="228"/>
      <c r="C44" s="228"/>
      <c r="E44" s="543"/>
      <c r="F44" s="292" t="s">
        <v>292</v>
      </c>
      <c r="G44" s="212">
        <f>'[1]2024.07～恵愛予測'!C23+'[1]2024.7~村予測'!C23+'[1]2024.7~弁当予測'!C23+'[1]2024.7~シェアバー予測'!C23+'[1]2024.7~サウナ予測'!C23+'[1]2024.07~本部予測'!C23</f>
        <v>10000</v>
      </c>
      <c r="H44" s="212">
        <f>'[1]2024.07～恵愛予測'!D23+'[1]2024.7~村予測'!D23+'[1]2024.7~弁当予測'!D23+'[1]2024.7~シェアバー予測'!D23+'[1]2024.7~サウナ予測'!D23+'[1]2024.07~本部予測'!D23</f>
        <v>10000</v>
      </c>
      <c r="I44" s="212">
        <v>10000</v>
      </c>
      <c r="J44" s="212">
        <v>10000</v>
      </c>
      <c r="K44" s="212">
        <f>'[3]2024.07～恵愛予測'!G23+'[3]2024.7~村予測'!G23+'[3]2024.7~弁当予測'!G23+'[3]2024.7~シェアバー予測'!G23+'[3]2024.7~サウナ予測'!G23+'[3]2024.07~本部予測'!G23</f>
        <v>10000</v>
      </c>
      <c r="L44" s="212">
        <f>'[3]2024.07～恵愛予測'!H23+'[3]2024.7~村予測'!H23+'[3]2024.7~弁当予測'!H23+'[3]2024.7~シェアバー予測'!H23+'[3]2024.7~サウナ予測'!H23+'[3]2024.07~本部予測'!H23</f>
        <v>10000</v>
      </c>
      <c r="M44" s="212">
        <f>'[3]2024.07～恵愛予測'!I23+'[3]2024.7~村予測'!I23+'[3]2024.7~弁当予測'!I23+'[3]2024.7~シェアバー予測'!I23+'[3]2024.7~サウナ予測'!I23+'[3]2024.07~本部予測'!I23</f>
        <v>10000</v>
      </c>
      <c r="N44" s="212">
        <f>'[3]2024.07～恵愛予測'!J23+'[3]2024.7~村予測'!J23+'[3]2024.7~弁当予測'!J23+'[3]2024.7~シェアバー予測'!J23+'[3]2024.7~サウナ予測'!J23+'[3]2024.07~本部予測'!J23</f>
        <v>10000</v>
      </c>
      <c r="O44" s="212">
        <f>'[3]2024.07～恵愛予測'!K23+'[3]2024.7~村予測'!K23+'[3]2024.7~弁当予測'!K23+'[3]2024.7~シェアバー予測'!K23+'[3]2024.7~サウナ予測'!K23+'[3]2024.07~本部予測'!K23</f>
        <v>10000</v>
      </c>
      <c r="P44" s="212">
        <f>'[2]2024.07～恵愛予測'!L23+'[2]2024.7~村予測'!L23+'[2]2024.7~弁当予測'!L23+'[2]2024.7~シェアバー予測'!L23+'[2]2024.7~サウナ予測'!L23+'[2]2024.07~本部予測'!L23</f>
        <v>10000</v>
      </c>
      <c r="Q44" s="212">
        <f>'[2]2024.07～恵愛予測'!M23+'[2]2024.7~村予測'!M23+'[2]2024.7~弁当予測'!M23+'[2]2024.7~シェアバー予測'!M23+'[2]2024.7~サウナ予測'!M23+'[2]2024.07~本部予測'!M23</f>
        <v>10000</v>
      </c>
      <c r="R44" s="212">
        <f>'[2]2024.07～恵愛予測'!N23+'[2]2024.7~村予測'!N23+'[2]2024.7~弁当予測'!N23+'[2]2024.7~シェアバー予測'!N23+'[2]2024.7~サウナ予測'!N23+'[2]2024.07~本部予測'!N23</f>
        <v>10000</v>
      </c>
      <c r="S44" s="212">
        <v>10000</v>
      </c>
      <c r="T44" s="212">
        <v>10000</v>
      </c>
      <c r="U44" s="212"/>
      <c r="V44" s="212"/>
      <c r="W44" s="212"/>
      <c r="X44" s="212"/>
      <c r="Y44" s="212"/>
      <c r="Z44" s="212"/>
    </row>
    <row r="45" spans="1:26" ht="14.65" customHeight="1">
      <c r="A45" s="231"/>
      <c r="B45" s="228"/>
      <c r="C45" s="228"/>
      <c r="E45" s="543"/>
      <c r="F45" s="292" t="s">
        <v>293</v>
      </c>
      <c r="G45" s="212">
        <f>'[1]2024.07～恵愛予測'!C24+'[1]2024.7~村予測'!C24+'[1]2024.7~弁当予測'!C24+'[1]2024.7~シェアバー予測'!C24+'[1]2024.7~サウナ予測'!C24+'[1]2024.07~本部予測'!C24</f>
        <v>22215</v>
      </c>
      <c r="H45" s="212">
        <f>'[1]2024.07～恵愛予測'!D24+'[1]2024.7~村予測'!D24+'[1]2024.7~弁当予測'!D24+'[1]2024.7~シェアバー予測'!D24+'[1]2024.7~サウナ予測'!D24+'[1]2024.07~本部予測'!D24</f>
        <v>22215</v>
      </c>
      <c r="I45" s="212">
        <v>22215</v>
      </c>
      <c r="J45" s="212">
        <v>22215</v>
      </c>
      <c r="K45" s="212">
        <f>'[3]2024.07～恵愛予測'!G24+'[3]2024.7~村予測'!G24+'[3]2024.7~弁当予測'!G24+'[3]2024.7~シェアバー予測'!G24+'[3]2024.7~サウナ予測'!G24+'[3]2024.07~本部予測'!G24</f>
        <v>22215</v>
      </c>
      <c r="L45" s="212">
        <f>'[3]2024.07～恵愛予測'!H24+'[3]2024.7~村予測'!H24+'[3]2024.7~弁当予測'!H24+'[3]2024.7~シェアバー予測'!H24+'[3]2024.7~サウナ予測'!H24+'[3]2024.07~本部予測'!H24</f>
        <v>22215</v>
      </c>
      <c r="M45" s="212">
        <f>'[3]2024.07～恵愛予測'!I24+'[3]2024.7~村予測'!I24+'[3]2024.7~弁当予測'!I24+'[3]2024.7~シェアバー予測'!I24+'[3]2024.7~サウナ予測'!I24+'[3]2024.07~本部予測'!I24</f>
        <v>22215</v>
      </c>
      <c r="N45" s="212">
        <f>'[3]2024.07～恵愛予測'!J24+'[3]2024.7~村予測'!J24+'[3]2024.7~弁当予測'!J24+'[3]2024.7~シェアバー予測'!J24+'[3]2024.7~サウナ予測'!J24+'[3]2024.07~本部予測'!J24</f>
        <v>22215</v>
      </c>
      <c r="O45" s="212">
        <f>'[3]2024.07～恵愛予測'!K24+'[3]2024.7~村予測'!K24+'[3]2024.7~弁当予測'!K24+'[3]2024.7~シェアバー予測'!K24+'[3]2024.7~サウナ予測'!K24+'[3]2024.07~本部予測'!K24</f>
        <v>22215</v>
      </c>
      <c r="P45" s="212">
        <f>'[2]2024.07～恵愛予測'!L24+'[2]2024.7~村予測'!L24+'[2]2024.7~弁当予測'!L24+'[2]2024.7~シェアバー予測'!L24+'[2]2024.7~サウナ予測'!L24+'[2]2024.07~本部予測'!L24</f>
        <v>22215</v>
      </c>
      <c r="Q45" s="212">
        <f>'[2]2024.07～恵愛予測'!M24+'[2]2024.7~村予測'!M24+'[2]2024.7~弁当予測'!M24+'[2]2024.7~シェアバー予測'!M24+'[2]2024.7~サウナ予測'!M24+'[2]2024.07~本部予測'!M24</f>
        <v>22215</v>
      </c>
      <c r="R45" s="212">
        <f>'[2]2024.07～恵愛予測'!N24+'[2]2024.7~村予測'!N24+'[2]2024.7~弁当予測'!N24+'[2]2024.7~シェアバー予測'!N24+'[2]2024.7~サウナ予測'!N24+'[2]2024.07~本部予測'!N24</f>
        <v>22215</v>
      </c>
      <c r="S45" s="212">
        <v>22215</v>
      </c>
      <c r="T45" s="212">
        <v>22215</v>
      </c>
      <c r="U45" s="212"/>
      <c r="V45" s="212"/>
      <c r="W45" s="212"/>
      <c r="X45" s="212"/>
      <c r="Y45" s="212"/>
      <c r="Z45" s="212"/>
    </row>
    <row r="46" spans="1:26" ht="14.65" customHeight="1">
      <c r="A46" s="231"/>
      <c r="B46" s="228"/>
      <c r="C46" s="228"/>
      <c r="E46" s="543"/>
      <c r="F46" s="292" t="s">
        <v>294</v>
      </c>
      <c r="G46" s="212">
        <f>'[1]2024.07～恵愛予測'!C25+'[1]2024.7~村予測'!C25+'[1]2024.7~弁当予測'!C25+'[1]2024.7~シェアバー予測'!C25+'[1]2024.7~サウナ予測'!C25+'[1]2024.07~本部予測'!C25</f>
        <v>860000</v>
      </c>
      <c r="H46" s="212">
        <f>'[1]2024.07～恵愛予測'!D25+'[1]2024.7~村予測'!D25+'[1]2024.7~弁当予測'!D25+'[1]2024.7~シェアバー予測'!D25+'[1]2024.7~サウナ予測'!D25+'[1]2024.07~本部予測'!D25</f>
        <v>860000</v>
      </c>
      <c r="I46" s="212">
        <v>860000</v>
      </c>
      <c r="J46" s="212">
        <v>860000</v>
      </c>
      <c r="K46" s="212">
        <f>'[3]2024.07～恵愛予測'!G25+'[3]2024.7~村予測'!G25+'[3]2024.7~弁当予測'!G25+'[3]2024.7~シェアバー予測'!G25+'[3]2024.7~サウナ予測'!G25+'[3]2024.07~本部予測'!G25</f>
        <v>860000</v>
      </c>
      <c r="L46" s="212">
        <f>'[3]2024.07～恵愛予測'!H25+'[3]2024.7~村予測'!H25+'[3]2024.7~弁当予測'!H25+'[3]2024.7~シェアバー予測'!H25+'[3]2024.7~サウナ予測'!H25+'[3]2024.07~本部予測'!H25</f>
        <v>1060000</v>
      </c>
      <c r="M46" s="212">
        <f>'[3]2024.07～恵愛予測'!I25+'[3]2024.7~村予測'!I25+'[3]2024.7~弁当予測'!I25+'[3]2024.7~シェアバー予測'!I25+'[3]2024.7~サウナ予測'!I25+'[3]2024.07~本部予測'!I25</f>
        <v>860000</v>
      </c>
      <c r="N46" s="212">
        <f>'[3]2024.07～恵愛予測'!J25+'[3]2024.7~村予測'!J25+'[3]2024.7~弁当予測'!J25+'[3]2024.7~シェアバー予測'!J25+'[3]2024.7~サウナ予測'!J25+'[3]2024.07~本部予測'!J25</f>
        <v>860000</v>
      </c>
      <c r="O46" s="212">
        <f>'[3]2024.07～恵愛予測'!K25+'[3]2024.7~村予測'!K25+'[3]2024.7~弁当予測'!K25+'[3]2024.7~シェアバー予測'!K25+'[3]2024.7~サウナ予測'!K25+'[3]2024.07~本部予測'!K25</f>
        <v>980000</v>
      </c>
      <c r="P46" s="212">
        <f>'[2]2024.07～恵愛予測'!L25+'[2]2024.7~村予測'!L25+'[2]2024.7~弁当予測'!L25+'[2]2024.7~シェアバー予測'!L25+'[2]2024.7~サウナ予測'!L25+'[2]2024.07~本部予測'!L25</f>
        <v>860000</v>
      </c>
      <c r="Q46" s="212">
        <f>'[2]2024.07～恵愛予測'!M25+'[2]2024.7~村予測'!M25+'[2]2024.7~弁当予測'!M25+'[2]2024.7~シェアバー予測'!M25+'[2]2024.7~サウナ予測'!M25+'[2]2024.07~本部予測'!M25</f>
        <v>860000</v>
      </c>
      <c r="R46" s="212">
        <f>'[2]2024.07～恵愛予測'!N25+'[2]2024.7~村予測'!N25+'[2]2024.7~弁当予測'!N25+'[2]2024.7~シェアバー予測'!N25+'[2]2024.7~サウナ予測'!N25+'[2]2024.07~本部予測'!N25</f>
        <v>860000</v>
      </c>
      <c r="S46" s="212">
        <v>860000</v>
      </c>
      <c r="T46" s="212">
        <v>860000</v>
      </c>
      <c r="U46" s="212"/>
      <c r="V46" s="212"/>
      <c r="W46" s="212"/>
      <c r="X46" s="212"/>
      <c r="Y46" s="212"/>
      <c r="Z46" s="212"/>
    </row>
    <row r="47" spans="1:26" ht="14.65" customHeight="1">
      <c r="A47" s="231"/>
      <c r="B47" s="228"/>
      <c r="C47" s="228"/>
      <c r="E47" s="543"/>
      <c r="F47" s="292" t="s">
        <v>295</v>
      </c>
      <c r="G47" s="212">
        <f>'[1]2024.07～恵愛予測'!C26+'[1]2024.7~村予測'!C26+'[1]2024.7~弁当予測'!C26+'[1]2024.7~シェアバー予測'!C26+'[1]2024.7~サウナ予測'!C26+'[1]2024.07~本部予測'!C26</f>
        <v>200000</v>
      </c>
      <c r="H47" s="212">
        <f>'[1]2024.07～恵愛予測'!D26+'[1]2024.7~村予測'!D26+'[1]2024.7~弁当予測'!D26+'[1]2024.7~シェアバー予測'!D26+'[1]2024.7~サウナ予測'!D26+'[1]2024.07~本部予測'!D26</f>
        <v>200000</v>
      </c>
      <c r="I47" s="212">
        <v>200000</v>
      </c>
      <c r="J47" s="212">
        <v>200000</v>
      </c>
      <c r="K47" s="212">
        <f>'[3]2024.07～恵愛予測'!G26+'[3]2024.7~村予測'!G26+'[3]2024.7~弁当予測'!G26+'[3]2024.7~シェアバー予測'!G26+'[3]2024.7~サウナ予測'!G26+'[3]2024.07~本部予測'!G26</f>
        <v>200000</v>
      </c>
      <c r="L47" s="212">
        <f>'[3]2024.07～恵愛予測'!H26+'[3]2024.7~村予測'!H26+'[3]2024.7~弁当予測'!H26+'[3]2024.7~シェアバー予測'!H26+'[3]2024.7~サウナ予測'!H26+'[3]2024.07~本部予測'!H26</f>
        <v>250000</v>
      </c>
      <c r="M47" s="212">
        <f>'[3]2024.07～恵愛予測'!I26+'[3]2024.7~村予測'!I26+'[3]2024.7~弁当予測'!I26+'[3]2024.7~シェアバー予測'!I26+'[3]2024.7~サウナ予測'!I26+'[3]2024.07~本部予測'!I26</f>
        <v>200000</v>
      </c>
      <c r="N47" s="212">
        <f>'[3]2024.07～恵愛予測'!J26+'[3]2024.7~村予測'!J26+'[3]2024.7~弁当予測'!J26+'[3]2024.7~シェアバー予測'!J26+'[3]2024.7~サウナ予測'!J26+'[3]2024.07~本部予測'!J26</f>
        <v>200000</v>
      </c>
      <c r="O47" s="212">
        <f>'[3]2024.07～恵愛予測'!K26+'[3]2024.7~村予測'!K26+'[3]2024.7~弁当予測'!K26+'[3]2024.7~シェアバー予測'!K26+'[3]2024.7~サウナ予測'!K26+'[3]2024.07~本部予測'!K26</f>
        <v>230000</v>
      </c>
      <c r="P47" s="212">
        <f>'[2]2024.07～恵愛予測'!L26+'[2]2024.7~村予測'!L26+'[2]2024.7~弁当予測'!L26+'[2]2024.7~シェアバー予測'!L26+'[2]2024.7~サウナ予測'!L26+'[2]2024.07~本部予測'!L26</f>
        <v>200000</v>
      </c>
      <c r="Q47" s="212">
        <f>'[2]2024.07～恵愛予測'!M26+'[2]2024.7~村予測'!M26+'[2]2024.7~弁当予測'!M26+'[2]2024.7~シェアバー予測'!M26+'[2]2024.7~サウナ予測'!M26+'[2]2024.07~本部予測'!M26</f>
        <v>200000</v>
      </c>
      <c r="R47" s="212">
        <f>'[2]2024.07～恵愛予測'!N26+'[2]2024.7~村予測'!N26+'[2]2024.7~弁当予測'!N26+'[2]2024.7~シェアバー予測'!N26+'[2]2024.7~サウナ予測'!N26+'[2]2024.07~本部予測'!N26</f>
        <v>200000</v>
      </c>
      <c r="S47" s="212">
        <v>200000</v>
      </c>
      <c r="T47" s="212">
        <v>200000</v>
      </c>
      <c r="U47" s="212"/>
      <c r="V47" s="212"/>
      <c r="W47" s="212"/>
      <c r="X47" s="212"/>
      <c r="Y47" s="212"/>
      <c r="Z47" s="212"/>
    </row>
    <row r="48" spans="1:26" ht="14.65" customHeight="1">
      <c r="A48" s="231"/>
      <c r="B48" s="228"/>
      <c r="C48" s="228"/>
      <c r="E48" s="543"/>
      <c r="F48" s="292" t="s">
        <v>296</v>
      </c>
      <c r="G48" s="212">
        <f>'[1]2024.07～恵愛予測'!C27+'[1]2024.7~村予測'!C27+'[1]2024.7~弁当予測'!C27+'[1]2024.7~シェアバー予測'!C27+'[1]2024.7~サウナ予測'!C27+'[1]2024.07~本部予測'!C27</f>
        <v>131000</v>
      </c>
      <c r="H48" s="212">
        <f>'[1]2024.07～恵愛予測'!D27+'[1]2024.7~村予測'!D27+'[1]2024.7~弁当予測'!D27+'[1]2024.7~シェアバー予測'!D27+'[1]2024.7~サウナ予測'!D27+'[1]2024.07~本部予測'!D27</f>
        <v>1000</v>
      </c>
      <c r="I48" s="212">
        <v>131000</v>
      </c>
      <c r="J48" s="212">
        <v>1000</v>
      </c>
      <c r="K48" s="212">
        <f>'[3]2024.07～恵愛予測'!G27+'[3]2024.7~村予測'!G27+'[3]2024.7~弁当予測'!G27+'[3]2024.7~シェアバー予測'!G27+'[3]2024.7~サウナ予測'!G27+'[3]2024.07~本部予測'!G27</f>
        <v>1000</v>
      </c>
      <c r="L48" s="212">
        <f>'[3]2024.07～恵愛予測'!H27+'[3]2024.7~村予測'!H27+'[3]2024.7~弁当予測'!H27+'[3]2024.7~シェアバー予測'!H27+'[3]2024.7~サウナ予測'!H27+'[3]2024.07~本部予測'!H27</f>
        <v>131000</v>
      </c>
      <c r="M48" s="212">
        <f>'[3]2024.07～恵愛予測'!I27+'[3]2024.7~村予測'!I27+'[3]2024.7~弁当予測'!I27+'[3]2024.7~シェアバー予測'!I27+'[3]2024.7~サウナ予測'!I27+'[3]2024.07~本部予測'!I27</f>
        <v>1000</v>
      </c>
      <c r="N48" s="212">
        <f>'[3]2024.07～恵愛予測'!J27+'[3]2024.7~村予測'!J27+'[3]2024.7~弁当予測'!J27+'[3]2024.7~シェアバー予測'!J27+'[3]2024.7~サウナ予測'!J27+'[3]2024.07~本部予測'!J27</f>
        <v>1000</v>
      </c>
      <c r="O48" s="212">
        <f>'[3]2024.07～恵愛予測'!K27+'[3]2024.7~村予測'!K27+'[3]2024.7~弁当予測'!K27+'[3]2024.7~シェアバー予測'!K27+'[3]2024.7~サウナ予測'!K27+'[3]2024.07~本部予測'!K27</f>
        <v>1000</v>
      </c>
      <c r="P48" s="212">
        <f>'[2]2024.07～恵愛予測'!L27+'[2]2024.7~村予測'!L27+'[2]2024.7~弁当予測'!L27+'[2]2024.7~シェアバー予測'!L27+'[2]2024.7~サウナ予測'!L27+'[2]2024.07~本部予測'!L27</f>
        <v>131000</v>
      </c>
      <c r="Q48" s="212">
        <f>'[2]2024.07～恵愛予測'!M27+'[2]2024.7~村予測'!M27+'[2]2024.7~弁当予測'!M27+'[2]2024.7~シェアバー予測'!M27+'[2]2024.7~サウナ予測'!M27+'[2]2024.07~本部予測'!M27</f>
        <v>1000</v>
      </c>
      <c r="R48" s="212">
        <f>'[2]2024.07～恵愛予測'!N27+'[2]2024.7~村予測'!N27+'[2]2024.7~弁当予測'!N27+'[2]2024.7~シェアバー予測'!N27+'[2]2024.7~サウナ予測'!N27+'[2]2024.07~本部予測'!N27</f>
        <v>1000</v>
      </c>
      <c r="S48" s="212">
        <v>1000</v>
      </c>
      <c r="T48" s="212">
        <v>1000</v>
      </c>
      <c r="U48" s="212"/>
      <c r="V48" s="212"/>
      <c r="W48" s="212"/>
      <c r="X48" s="212"/>
      <c r="Y48" s="212"/>
      <c r="Z48" s="212"/>
    </row>
    <row r="49" spans="1:26" ht="14.65" customHeight="1">
      <c r="A49" s="236">
        <v>1750</v>
      </c>
      <c r="B49" s="228"/>
      <c r="C49" s="228"/>
      <c r="E49" s="543"/>
      <c r="F49" s="292" t="s">
        <v>297</v>
      </c>
      <c r="G49" s="212">
        <f>'[1]2024.07～恵愛予測'!C28+'[1]2024.7~村予測'!C28+'[1]2024.7~弁当予測'!C28+'[1]2024.7~シェアバー予測'!C28+'[1]2024.7~サウナ予測'!C28+'[1]2024.07~本部予測'!C28</f>
        <v>165000</v>
      </c>
      <c r="H49" s="212">
        <f>'[1]2024.07～恵愛予測'!D28+'[1]2024.7~村予測'!D28+'[1]2024.7~弁当予測'!D28+'[1]2024.7~シェアバー予測'!D28+'[1]2024.7~サウナ予測'!D28+'[1]2024.07~本部予測'!D28</f>
        <v>165000</v>
      </c>
      <c r="I49" s="212">
        <v>165000</v>
      </c>
      <c r="J49" s="212">
        <v>165000</v>
      </c>
      <c r="K49" s="212">
        <f>'[3]2024.07～恵愛予測'!G28+'[3]2024.7~村予測'!G28+'[3]2024.7~弁当予測'!G28+'[3]2024.7~シェアバー予測'!G28+'[3]2024.7~サウナ予測'!G28+'[3]2024.07~本部予測'!G28</f>
        <v>165000</v>
      </c>
      <c r="L49" s="212">
        <f>'[3]2024.07～恵愛予測'!H28+'[3]2024.7~村予測'!H28+'[3]2024.7~弁当予測'!H28+'[3]2024.7~シェアバー予測'!H28+'[3]2024.7~サウナ予測'!H28+'[3]2024.07~本部予測'!H28</f>
        <v>165000</v>
      </c>
      <c r="M49" s="212">
        <f>'[3]2024.07～恵愛予測'!I28+'[3]2024.7~村予測'!I28+'[3]2024.7~弁当予測'!I28+'[3]2024.7~シェアバー予測'!I28+'[3]2024.7~サウナ予測'!I28+'[3]2024.07~本部予測'!I28</f>
        <v>165000</v>
      </c>
      <c r="N49" s="212">
        <f>'[3]2024.07～恵愛予測'!J28+'[3]2024.7~村予測'!J28+'[3]2024.7~弁当予測'!J28+'[3]2024.7~シェアバー予測'!J28+'[3]2024.7~サウナ予測'!J28+'[3]2024.07~本部予測'!J28</f>
        <v>165000</v>
      </c>
      <c r="O49" s="212">
        <f>'[3]2024.07～恵愛予測'!K28+'[3]2024.7~村予測'!K28+'[3]2024.7~弁当予測'!K28+'[3]2024.7~シェアバー予測'!K28+'[3]2024.7~サウナ予測'!K28+'[3]2024.07~本部予測'!K28</f>
        <v>165000</v>
      </c>
      <c r="P49" s="212">
        <f>'[2]2024.07～恵愛予測'!L28+'[2]2024.7~村予測'!L28+'[2]2024.7~弁当予測'!L28+'[2]2024.7~シェアバー予測'!L28+'[2]2024.7~サウナ予測'!L28+'[2]2024.07~本部予測'!L28</f>
        <v>165000</v>
      </c>
      <c r="Q49" s="212">
        <f>'[2]2024.07～恵愛予測'!M28+'[2]2024.7~村予測'!M28+'[2]2024.7~弁当予測'!M28+'[2]2024.7~シェアバー予測'!M28+'[2]2024.7~サウナ予測'!M28+'[2]2024.07~本部予測'!M28</f>
        <v>165000</v>
      </c>
      <c r="R49" s="212">
        <f>'[2]2024.07～恵愛予測'!N28+'[2]2024.7~村予測'!N28+'[2]2024.7~弁当予測'!N28+'[2]2024.7~シェアバー予測'!N28+'[2]2024.7~サウナ予測'!N28+'[2]2024.07~本部予測'!N28</f>
        <v>165000</v>
      </c>
      <c r="S49" s="212">
        <v>165000</v>
      </c>
      <c r="T49" s="212">
        <v>165000</v>
      </c>
      <c r="U49" s="212"/>
      <c r="V49" s="212"/>
      <c r="W49" s="212"/>
      <c r="X49" s="212"/>
      <c r="Y49" s="212"/>
      <c r="Z49" s="212"/>
    </row>
    <row r="50" spans="1:26" ht="14.65" customHeight="1">
      <c r="A50" s="236"/>
      <c r="B50" s="228"/>
      <c r="C50" s="228"/>
      <c r="E50" s="543"/>
      <c r="F50" s="292" t="s">
        <v>298</v>
      </c>
      <c r="G50" s="212">
        <f>'[1]2024.07～恵愛予測'!C29+'[1]2024.7~村予測'!C29+'[1]2024.7~弁当予測'!C29+'[1]2024.7~シェアバー予測'!C29+'[1]2024.7~サウナ予測'!C29+'[1]2024.07~本部予測'!C29</f>
        <v>281500</v>
      </c>
      <c r="H50" s="212">
        <f>'[1]2024.07～恵愛予測'!D29+'[1]2024.7~村予測'!D29+'[1]2024.7~弁当予測'!D29+'[1]2024.7~シェアバー予測'!D29+'[1]2024.7~サウナ予測'!D29+'[1]2024.07~本部予測'!D29</f>
        <v>281500</v>
      </c>
      <c r="I50" s="212">
        <v>281500</v>
      </c>
      <c r="J50" s="212">
        <v>281500</v>
      </c>
      <c r="K50" s="212">
        <f>'[3]2024.07～恵愛予測'!G29+'[3]2024.7~村予測'!G29+'[3]2024.7~弁当予測'!G29+'[3]2024.7~シェアバー予測'!G29+'[3]2024.7~サウナ予測'!G29+'[3]2024.07~本部予測'!G29</f>
        <v>281500</v>
      </c>
      <c r="L50" s="212">
        <f>'[3]2024.07～恵愛予測'!H29+'[3]2024.7~村予測'!H29+'[3]2024.7~弁当予測'!H29+'[3]2024.7~シェアバー予測'!H29+'[3]2024.7~サウナ予測'!H29+'[3]2024.07~本部予測'!H29</f>
        <v>334000</v>
      </c>
      <c r="M50" s="212">
        <f>'[3]2024.07～恵愛予測'!I29+'[3]2024.7~村予測'!I29+'[3]2024.7~弁当予測'!I29+'[3]2024.7~シェアバー予測'!I29+'[3]2024.7~サウナ予測'!I29+'[3]2024.07~本部予測'!I29</f>
        <v>281500</v>
      </c>
      <c r="N50" s="212">
        <f>'[3]2024.07～恵愛予測'!J29+'[3]2024.7~村予測'!J29+'[3]2024.7~弁当予測'!J29+'[3]2024.7~シェアバー予測'!J29+'[3]2024.7~サウナ予測'!J29+'[3]2024.07~本部予測'!J29</f>
        <v>281500</v>
      </c>
      <c r="O50" s="212">
        <f>'[3]2024.07～恵愛予測'!K29+'[3]2024.7~村予測'!K29+'[3]2024.7~弁当予測'!K29+'[3]2024.7~シェアバー予測'!K29+'[3]2024.7~サウナ予測'!K29+'[3]2024.07~本部予測'!K29</f>
        <v>313000</v>
      </c>
      <c r="P50" s="212">
        <f>'[2]2024.07～恵愛予測'!L29+'[2]2024.7~村予測'!L29+'[2]2024.7~弁当予測'!L29+'[2]2024.7~シェアバー予測'!L29+'[2]2024.7~サウナ予測'!L29+'[2]2024.07~本部予測'!L29</f>
        <v>341500</v>
      </c>
      <c r="Q50" s="212">
        <f>'[2]2024.07～恵愛予測'!M29+'[2]2024.7~村予測'!M29+'[2]2024.7~弁当予測'!M29+'[2]2024.7~シェアバー予測'!M29+'[2]2024.7~サウナ予測'!M29+'[2]2024.07~本部予測'!M29</f>
        <v>281500</v>
      </c>
      <c r="R50" s="212">
        <f>'[2]2024.07～恵愛予測'!N29+'[2]2024.7~村予測'!N29+'[2]2024.7~弁当予測'!N29+'[2]2024.7~シェアバー予測'!N29+'[2]2024.7~サウナ予測'!N29+'[2]2024.07~本部予測'!N29</f>
        <v>331500</v>
      </c>
      <c r="S50" s="212">
        <v>331500</v>
      </c>
      <c r="T50" s="212">
        <v>331500</v>
      </c>
      <c r="U50" s="212"/>
      <c r="V50" s="212"/>
      <c r="W50" s="212"/>
      <c r="X50" s="212"/>
      <c r="Y50" s="212"/>
      <c r="Z50" s="212"/>
    </row>
    <row r="51" spans="1:26" ht="14.65" customHeight="1">
      <c r="A51" s="236"/>
      <c r="B51" s="228"/>
      <c r="C51" s="228"/>
      <c r="E51" s="543"/>
      <c r="F51" s="292" t="s">
        <v>299</v>
      </c>
      <c r="G51" s="212">
        <f>'[1]2024.07～恵愛予測'!C30+'[1]2024.7~村予測'!C30+'[1]2024.7~弁当予測'!C30+'[1]2024.7~シェアバー予測'!C30+'[1]2024.7~サウナ予測'!C30+'[1]2024.07~本部予測'!C30</f>
        <v>0</v>
      </c>
      <c r="H51" s="212">
        <f>'[1]2024.07～恵愛予測'!D30+'[1]2024.7~村予測'!D30+'[1]2024.7~弁当予測'!D30+'[1]2024.7~シェアバー予測'!D30+'[1]2024.7~サウナ予測'!D30+'[1]2024.07~本部予測'!D30</f>
        <v>0</v>
      </c>
      <c r="I51" s="212">
        <v>0</v>
      </c>
      <c r="J51" s="212">
        <v>0</v>
      </c>
      <c r="K51" s="212">
        <f>'[3]2024.07～恵愛予測'!G30+'[3]2024.7~村予測'!G30+'[3]2024.7~弁当予測'!G30+'[3]2024.7~シェアバー予測'!G30+'[3]2024.7~サウナ予測'!G30+'[3]2024.07~本部予測'!G30</f>
        <v>0</v>
      </c>
      <c r="L51" s="212">
        <f>'[3]2024.07～恵愛予測'!H30+'[3]2024.7~村予測'!H30+'[3]2024.7~弁当予測'!H30+'[3]2024.7~シェアバー予測'!H30+'[3]2024.7~サウナ予測'!H30+'[3]2024.07~本部予測'!H30</f>
        <v>0</v>
      </c>
      <c r="M51" s="212">
        <f>'[3]2024.07～恵愛予測'!I30+'[3]2024.7~村予測'!I30+'[3]2024.7~弁当予測'!I30+'[3]2024.7~シェアバー予測'!I30+'[3]2024.7~サウナ予測'!I30+'[3]2024.07~本部予測'!I30</f>
        <v>0</v>
      </c>
      <c r="N51" s="212">
        <f>'[3]2024.07～恵愛予測'!J30+'[3]2024.7~村予測'!J30+'[3]2024.7~弁当予測'!J30+'[3]2024.7~シェアバー予測'!J30+'[3]2024.7~サウナ予測'!J30+'[3]2024.07~本部予測'!J30</f>
        <v>0</v>
      </c>
      <c r="O51" s="212">
        <f>'[3]2024.07～恵愛予測'!K30+'[3]2024.7~村予測'!K30+'[3]2024.7~弁当予測'!K30+'[3]2024.7~シェアバー予測'!K30+'[3]2024.7~サウナ予測'!K30+'[3]2024.07~本部予測'!K30</f>
        <v>0</v>
      </c>
      <c r="P51" s="212">
        <f>'[2]2024.07～恵愛予測'!L30+'[2]2024.7~村予測'!L30+'[2]2024.7~弁当予測'!L30+'[2]2024.7~シェアバー予測'!L30+'[2]2024.7~サウナ予測'!L30+'[2]2024.07~本部予測'!L30</f>
        <v>0</v>
      </c>
      <c r="Q51" s="212">
        <f>'[2]2024.07～恵愛予測'!M30+'[2]2024.7~村予測'!M30+'[2]2024.7~弁当予測'!M30+'[2]2024.7~シェアバー予測'!M30+'[2]2024.7~サウナ予測'!M30+'[2]2024.07~本部予測'!M30</f>
        <v>0</v>
      </c>
      <c r="R51" s="212">
        <f>'[2]2024.07～恵愛予測'!N30+'[2]2024.7~村予測'!N30+'[2]2024.7~弁当予測'!N30+'[2]2024.7~シェアバー予測'!N30+'[2]2024.7~サウナ予測'!N30+'[2]2024.07~本部予測'!N30</f>
        <v>0</v>
      </c>
      <c r="S51" s="212">
        <v>5000</v>
      </c>
      <c r="T51" s="212">
        <v>5000</v>
      </c>
      <c r="U51" s="212"/>
      <c r="V51" s="212"/>
      <c r="W51" s="212"/>
      <c r="X51" s="212"/>
      <c r="Y51" s="212"/>
      <c r="Z51" s="212"/>
    </row>
    <row r="52" spans="1:26" ht="14.65" customHeight="1">
      <c r="A52" s="236"/>
      <c r="B52" s="228"/>
      <c r="C52" s="228"/>
      <c r="E52" s="543"/>
      <c r="F52" s="292" t="s">
        <v>300</v>
      </c>
      <c r="G52" s="212">
        <f>'[1]2024.07～恵愛予測'!C31+'[1]2024.7~村予測'!C31+'[1]2024.7~弁当予測'!C31+'[1]2024.7~シェアバー予測'!C31+'[1]2024.7~サウナ予測'!C31+'[1]2024.07~本部予測'!C31</f>
        <v>70000</v>
      </c>
      <c r="H52" s="212">
        <f>'[1]2024.07～恵愛予測'!D31+'[1]2024.7~村予測'!D31+'[1]2024.7~弁当予測'!D31+'[1]2024.7~シェアバー予測'!D31+'[1]2024.7~サウナ予測'!D31+'[1]2024.07~本部予測'!D31</f>
        <v>70000</v>
      </c>
      <c r="I52" s="212">
        <v>280000</v>
      </c>
      <c r="J52" s="212">
        <v>70000</v>
      </c>
      <c r="K52" s="212">
        <f>'[3]2024.07～恵愛予測'!G31+'[3]2024.7~村予測'!G31+'[3]2024.7~弁当予測'!G31+'[3]2024.7~シェアバー予測'!G31+'[3]2024.7~サウナ予測'!G31+'[3]2024.07~本部予測'!G31</f>
        <v>70000</v>
      </c>
      <c r="L52" s="212">
        <f>'[3]2024.07～恵愛予測'!H31+'[3]2024.7~村予測'!H31+'[3]2024.7~弁当予測'!H31+'[3]2024.7~シェアバー予測'!H31+'[3]2024.7~サウナ予測'!H31+'[3]2024.07~本部予測'!H31</f>
        <v>70000</v>
      </c>
      <c r="M52" s="212">
        <f>'[3]2024.07～恵愛予測'!I31+'[3]2024.7~村予測'!I31+'[3]2024.7~弁当予測'!I31+'[3]2024.7~シェアバー予測'!I31+'[3]2024.7~サウナ予測'!I31+'[3]2024.07~本部予測'!I31</f>
        <v>70000</v>
      </c>
      <c r="N52" s="212">
        <f>'[3]2024.07～恵愛予測'!J31+'[3]2024.7~村予測'!J31+'[3]2024.7~弁当予測'!J31+'[3]2024.7~シェアバー予測'!J31+'[3]2024.7~サウナ予測'!J31+'[3]2024.07~本部予測'!J31</f>
        <v>70000</v>
      </c>
      <c r="O52" s="212">
        <f>'[3]2024.07～恵愛予測'!K31+'[3]2024.7~村予測'!K31+'[3]2024.7~弁当予測'!K31+'[3]2024.7~シェアバー予測'!K31+'[3]2024.7~サウナ予測'!K31+'[3]2024.07~本部予測'!K31</f>
        <v>70000</v>
      </c>
      <c r="P52" s="212">
        <f>'[2]2024.07～恵愛予測'!L31+'[2]2024.7~村予測'!L31+'[2]2024.7~弁当予測'!L31+'[2]2024.7~シェアバー予測'!L31+'[2]2024.7~サウナ予測'!L31+'[2]2024.07~本部予測'!L31</f>
        <v>70000</v>
      </c>
      <c r="Q52" s="212">
        <f>'[2]2024.07～恵愛予測'!M31+'[2]2024.7~村予測'!M31+'[2]2024.7~弁当予測'!M31+'[2]2024.7~シェアバー予測'!M31+'[2]2024.7~サウナ予測'!M31+'[2]2024.07~本部予測'!M31</f>
        <v>70000</v>
      </c>
      <c r="R52" s="212">
        <f>'[2]2024.07～恵愛予測'!N31+'[2]2024.7~村予測'!N31+'[2]2024.7~弁当予測'!N31+'[2]2024.7~シェアバー予測'!N31+'[2]2024.7~サウナ予測'!N31+'[2]2024.07~本部予測'!N31</f>
        <v>70000</v>
      </c>
      <c r="S52" s="212">
        <v>70000</v>
      </c>
      <c r="T52" s="212">
        <v>70000</v>
      </c>
      <c r="U52" s="212"/>
      <c r="V52" s="212"/>
      <c r="W52" s="212"/>
      <c r="X52" s="212"/>
      <c r="Y52" s="212"/>
      <c r="Z52" s="212"/>
    </row>
    <row r="53" spans="1:26" ht="14.65" customHeight="1">
      <c r="A53" s="236"/>
      <c r="B53" s="228"/>
      <c r="C53" s="228"/>
      <c r="E53" s="543"/>
      <c r="F53" s="292" t="s">
        <v>301</v>
      </c>
      <c r="G53" s="212">
        <f>'[1]2024.07～恵愛予測'!C32+'[1]2024.7~村予測'!C32+'[1]2024.7~弁当予測'!C32+'[1]2024.7~シェアバー予測'!C32+'[1]2024.7~サウナ予測'!C32+'[1]2024.07~本部予測'!C32</f>
        <v>50000</v>
      </c>
      <c r="H53" s="212">
        <f>'[1]2024.07～恵愛予測'!D32+'[1]2024.7~村予測'!D32+'[1]2024.7~弁当予測'!D32+'[1]2024.7~シェアバー予測'!D32+'[1]2024.7~サウナ予測'!D32+'[1]2024.07~本部予測'!D32</f>
        <v>50000</v>
      </c>
      <c r="I53" s="212">
        <v>50000</v>
      </c>
      <c r="J53" s="212">
        <v>50000</v>
      </c>
      <c r="K53" s="212">
        <f>'[3]2024.07～恵愛予測'!G32+'[3]2024.7~村予測'!G32+'[3]2024.7~弁当予測'!G32+'[3]2024.7~シェアバー予測'!G32+'[3]2024.7~サウナ予測'!G32+'[3]2024.07~本部予測'!G32</f>
        <v>50000</v>
      </c>
      <c r="L53" s="212">
        <f>'[3]2024.07～恵愛予測'!H32+'[3]2024.7~村予測'!H32+'[3]2024.7~弁当予測'!H32+'[3]2024.7~シェアバー予測'!H32+'[3]2024.7~サウナ予測'!H32+'[3]2024.07~本部予測'!H32</f>
        <v>50000</v>
      </c>
      <c r="M53" s="212">
        <f>'[3]2024.07～恵愛予測'!I32+'[3]2024.7~村予測'!I32+'[3]2024.7~弁当予測'!I32+'[3]2024.7~シェアバー予測'!I32+'[3]2024.7~サウナ予測'!I32+'[3]2024.07~本部予測'!I32</f>
        <v>50000</v>
      </c>
      <c r="N53" s="212">
        <f>'[3]2024.07～恵愛予測'!J32+'[3]2024.7~村予測'!J32+'[3]2024.7~弁当予測'!J32+'[3]2024.7~シェアバー予測'!J32+'[3]2024.7~サウナ予測'!J32+'[3]2024.07~本部予測'!J32</f>
        <v>50000</v>
      </c>
      <c r="O53" s="212">
        <f>'[3]2024.07～恵愛予測'!K32+'[3]2024.7~村予測'!K32+'[3]2024.7~弁当予測'!K32+'[3]2024.7~シェアバー予測'!K32+'[3]2024.7~サウナ予測'!K32+'[3]2024.07~本部予測'!K32</f>
        <v>74000</v>
      </c>
      <c r="P53" s="212">
        <f>'[2]2024.07～恵愛予測'!L32+'[2]2024.7~村予測'!L32+'[2]2024.7~弁当予測'!L32+'[2]2024.7~シェアバー予測'!L32+'[2]2024.7~サウナ予測'!L32+'[2]2024.07~本部予測'!L32</f>
        <v>87000</v>
      </c>
      <c r="Q53" s="212">
        <f>'[2]2024.07～恵愛予測'!M32+'[2]2024.7~村予測'!M32+'[2]2024.7~弁当予測'!M32+'[2]2024.7~シェアバー予測'!M32+'[2]2024.7~サウナ予測'!M32+'[2]2024.07~本部予測'!M32</f>
        <v>50000</v>
      </c>
      <c r="R53" s="212">
        <f>'[2]2024.07～恵愛予測'!N32+'[2]2024.7~村予測'!N32+'[2]2024.7~弁当予測'!N32+'[2]2024.7~シェアバー予測'!N32+'[2]2024.7~サウナ予測'!N32+'[2]2024.07~本部予測'!N32</f>
        <v>50000</v>
      </c>
      <c r="S53" s="212">
        <v>50000</v>
      </c>
      <c r="T53" s="212">
        <v>50000</v>
      </c>
      <c r="U53" s="212"/>
      <c r="V53" s="212"/>
      <c r="W53" s="212"/>
      <c r="X53" s="212"/>
      <c r="Y53" s="212"/>
      <c r="Z53" s="212"/>
    </row>
    <row r="54" spans="1:26" ht="14.65" customHeight="1">
      <c r="A54" s="236">
        <v>2758</v>
      </c>
      <c r="B54" s="228"/>
      <c r="C54" s="228"/>
      <c r="E54" s="543"/>
      <c r="F54" s="292"/>
      <c r="G54" s="453"/>
      <c r="H54" s="453"/>
      <c r="I54" s="453"/>
      <c r="J54" s="453"/>
      <c r="K54" s="453"/>
      <c r="L54" s="453"/>
      <c r="M54" s="218"/>
      <c r="N54" s="218"/>
      <c r="O54" s="218"/>
      <c r="P54" s="218"/>
      <c r="Q54" s="218"/>
      <c r="R54" s="218"/>
      <c r="S54" s="218"/>
      <c r="T54" s="218"/>
      <c r="U54" s="212"/>
      <c r="V54" s="212"/>
      <c r="W54" s="212"/>
      <c r="X54" s="212"/>
      <c r="Y54" s="212"/>
      <c r="Z54" s="212"/>
    </row>
    <row r="55" spans="1:26" ht="14.65" customHeight="1">
      <c r="A55" s="237"/>
      <c r="B55" s="228"/>
      <c r="C55" s="228"/>
      <c r="E55" s="544"/>
      <c r="F55" s="452" t="s">
        <v>281</v>
      </c>
      <c r="G55" s="238">
        <f t="shared" ref="G55:Z55" si="7">SUM(G35:G54)</f>
        <v>4388080</v>
      </c>
      <c r="H55" s="238">
        <f t="shared" si="7"/>
        <v>4248080</v>
      </c>
      <c r="I55" s="238">
        <f t="shared" si="7"/>
        <v>4528715</v>
      </c>
      <c r="J55" s="238">
        <f t="shared" si="7"/>
        <v>4188715</v>
      </c>
      <c r="K55" s="238">
        <f t="shared" si="7"/>
        <v>4190195</v>
      </c>
      <c r="L55" s="238">
        <f t="shared" si="7"/>
        <v>4647695</v>
      </c>
      <c r="M55" s="238">
        <f t="shared" si="7"/>
        <v>4195195</v>
      </c>
      <c r="N55" s="238">
        <f t="shared" si="7"/>
        <v>4195195</v>
      </c>
      <c r="O55" s="238">
        <f t="shared" si="7"/>
        <v>4420695</v>
      </c>
      <c r="P55" s="238">
        <f t="shared" si="7"/>
        <v>4417195</v>
      </c>
      <c r="Q55" s="238">
        <f t="shared" si="7"/>
        <v>4190195</v>
      </c>
      <c r="R55" s="238">
        <f t="shared" si="7"/>
        <v>4240195</v>
      </c>
      <c r="S55" s="238">
        <f t="shared" si="7"/>
        <v>4359081</v>
      </c>
      <c r="T55" s="238">
        <f t="shared" si="7"/>
        <v>4359081</v>
      </c>
      <c r="U55" s="238">
        <f t="shared" si="7"/>
        <v>0</v>
      </c>
      <c r="V55" s="238">
        <f t="shared" si="7"/>
        <v>0</v>
      </c>
      <c r="W55" s="238">
        <f t="shared" si="7"/>
        <v>0</v>
      </c>
      <c r="X55" s="238">
        <f t="shared" si="7"/>
        <v>0</v>
      </c>
      <c r="Y55" s="238">
        <f t="shared" si="7"/>
        <v>0</v>
      </c>
      <c r="Z55" s="238">
        <f t="shared" si="7"/>
        <v>0</v>
      </c>
    </row>
    <row r="56" spans="1:26" ht="14.65" customHeight="1" thickBot="1">
      <c r="A56" s="237"/>
      <c r="B56" s="228"/>
      <c r="C56" s="228"/>
      <c r="E56" s="545" t="s">
        <v>302</v>
      </c>
      <c r="F56" s="546"/>
      <c r="G56" s="239">
        <f t="shared" ref="G56:Z56" si="8">G34+G55</f>
        <v>7110399</v>
      </c>
      <c r="H56" s="239">
        <f t="shared" si="8"/>
        <v>6970399</v>
      </c>
      <c r="I56" s="239">
        <f t="shared" si="8"/>
        <v>7236034</v>
      </c>
      <c r="J56" s="239">
        <f t="shared" si="8"/>
        <v>6896034</v>
      </c>
      <c r="K56" s="239">
        <f t="shared" si="8"/>
        <v>6784514</v>
      </c>
      <c r="L56" s="239">
        <f t="shared" si="8"/>
        <v>7667014</v>
      </c>
      <c r="M56" s="239">
        <f t="shared" si="8"/>
        <v>6789514</v>
      </c>
      <c r="N56" s="239">
        <f t="shared" si="8"/>
        <v>6789514</v>
      </c>
      <c r="O56" s="239">
        <f t="shared" si="8"/>
        <v>7270014</v>
      </c>
      <c r="P56" s="239">
        <f t="shared" si="8"/>
        <v>7019014</v>
      </c>
      <c r="Q56" s="239">
        <f t="shared" si="8"/>
        <v>6792014</v>
      </c>
      <c r="R56" s="239">
        <f t="shared" si="8"/>
        <v>6842014</v>
      </c>
      <c r="S56" s="239">
        <f t="shared" si="8"/>
        <v>7106400</v>
      </c>
      <c r="T56" s="239">
        <f t="shared" si="8"/>
        <v>7106400</v>
      </c>
      <c r="U56" s="239">
        <f t="shared" si="8"/>
        <v>0</v>
      </c>
      <c r="V56" s="239">
        <f t="shared" si="8"/>
        <v>0</v>
      </c>
      <c r="W56" s="239">
        <f t="shared" si="8"/>
        <v>0</v>
      </c>
      <c r="X56" s="239">
        <f t="shared" si="8"/>
        <v>0</v>
      </c>
      <c r="Y56" s="239">
        <f t="shared" si="8"/>
        <v>0</v>
      </c>
      <c r="Z56" s="239">
        <f t="shared" si="8"/>
        <v>0</v>
      </c>
    </row>
    <row r="57" spans="1:26" ht="14.65" customHeight="1" thickTop="1" thickBot="1">
      <c r="A57" s="227" t="s">
        <v>271</v>
      </c>
      <c r="B57" s="228"/>
      <c r="C57" s="228"/>
      <c r="E57" s="538" t="s">
        <v>303</v>
      </c>
      <c r="F57" s="539"/>
      <c r="G57" s="240">
        <f t="shared" ref="G57:Z57" si="9">G25-G56</f>
        <v>289601</v>
      </c>
      <c r="H57" s="240">
        <f t="shared" si="9"/>
        <v>2049601</v>
      </c>
      <c r="I57" s="240">
        <f t="shared" si="9"/>
        <v>163966</v>
      </c>
      <c r="J57" s="240">
        <f t="shared" si="9"/>
        <v>503966</v>
      </c>
      <c r="K57" s="240">
        <f t="shared" si="9"/>
        <v>615486</v>
      </c>
      <c r="L57" s="240">
        <f t="shared" si="9"/>
        <v>1595486</v>
      </c>
      <c r="M57" s="240">
        <f t="shared" si="9"/>
        <v>610486</v>
      </c>
      <c r="N57" s="240">
        <f t="shared" si="9"/>
        <v>610486</v>
      </c>
      <c r="O57" s="240">
        <f t="shared" si="9"/>
        <v>1247486</v>
      </c>
      <c r="P57" s="240">
        <f t="shared" si="9"/>
        <v>398486</v>
      </c>
      <c r="Q57" s="240">
        <f t="shared" si="9"/>
        <v>625486</v>
      </c>
      <c r="R57" s="240">
        <f t="shared" si="9"/>
        <v>575486</v>
      </c>
      <c r="S57" s="240">
        <f t="shared" si="9"/>
        <v>328600</v>
      </c>
      <c r="T57" s="240">
        <f t="shared" si="9"/>
        <v>328600</v>
      </c>
      <c r="U57" s="240">
        <f t="shared" si="9"/>
        <v>0</v>
      </c>
      <c r="V57" s="240">
        <f t="shared" si="9"/>
        <v>0</v>
      </c>
      <c r="W57" s="240">
        <f t="shared" si="9"/>
        <v>0</v>
      </c>
      <c r="X57" s="240">
        <f t="shared" si="9"/>
        <v>0</v>
      </c>
      <c r="Y57" s="240">
        <f t="shared" si="9"/>
        <v>0</v>
      </c>
      <c r="Z57" s="240">
        <f t="shared" si="9"/>
        <v>0</v>
      </c>
    </row>
    <row r="58" spans="1:26" ht="14.65" customHeight="1" thickTop="1">
      <c r="A58" s="236"/>
      <c r="B58" s="228"/>
      <c r="C58" s="228"/>
      <c r="E58" s="547" t="s">
        <v>304</v>
      </c>
      <c r="F58" s="548"/>
      <c r="G58" s="208">
        <f>'[1]2024.07～恵愛予測'!C38+'[1]2024.7~村予測'!C38+'[1]2024.7~弁当予測'!C38+'[1]2024.7~シェアバー予測'!C38+'[1]2024.7~サウナ予測'!C38+'[1]2024.07~本部予測'!C38</f>
        <v>200000</v>
      </c>
      <c r="H58" s="208">
        <f>'[1]2024.07～恵愛予測'!D38+'[1]2024.7~村予測'!D38+'[1]2024.7~弁当予測'!D38+'[1]2024.7~シェアバー予測'!D38+'[1]2024.7~サウナ予測'!D38+'[1]2024.07~本部予測'!D38</f>
        <v>0</v>
      </c>
      <c r="I58" s="208">
        <v>0</v>
      </c>
      <c r="J58" s="208">
        <v>0</v>
      </c>
      <c r="K58" s="208">
        <v>0</v>
      </c>
      <c r="L58" s="208">
        <v>200000</v>
      </c>
      <c r="M58" s="208">
        <v>0</v>
      </c>
      <c r="N58" s="208">
        <v>0</v>
      </c>
      <c r="O58" s="208">
        <v>0</v>
      </c>
      <c r="P58" s="208">
        <f>'[2]2024.07～恵愛予測'!L38+'[2]2024.7~村予測'!L38+'[2]2024.7~弁当予測'!L38+'[2]2024.7~シェアバー予測'!L38+'[2]2024.7~サウナ予測'!L38+'[2]2024.07~本部予測'!L38</f>
        <v>0</v>
      </c>
      <c r="Q58" s="208">
        <f>'[2]2024.07～恵愛予測'!M38+'[2]2024.7~村予測'!M38+'[2]2024.7~弁当予測'!M38+'[2]2024.7~シェアバー予測'!M38+'[2]2024.7~サウナ予測'!M38+'[2]2024.07~本部予測'!M38</f>
        <v>0</v>
      </c>
      <c r="R58" s="208">
        <f>'[2]2024.07～恵愛予測'!N38+'[2]2024.7~村予測'!N38+'[2]2024.7~弁当予測'!N38+'[2]2024.7~シェアバー予測'!N38+'[2]2024.7~サウナ予測'!N38+'[2]2024.07~本部予測'!N38</f>
        <v>0</v>
      </c>
      <c r="S58" s="208"/>
      <c r="T58" s="208"/>
      <c r="U58" s="208"/>
      <c r="V58" s="208"/>
      <c r="W58" s="208"/>
      <c r="X58" s="208"/>
      <c r="Y58" s="208"/>
      <c r="Z58" s="208"/>
    </row>
    <row r="59" spans="1:26" ht="14.65" customHeight="1" thickBot="1">
      <c r="A59" s="241">
        <v>76</v>
      </c>
      <c r="B59" s="228"/>
      <c r="C59" s="228"/>
      <c r="E59" s="549" t="s">
        <v>305</v>
      </c>
      <c r="F59" s="550"/>
      <c r="G59" s="242">
        <f>'[1]2024.07～恵愛予測'!C36+'[1]2024.07～恵愛予測'!C37+'[1]2024.7~村予測'!C36+'[1]2024.7~村予測'!C37+'[1]2024.7~弁当予測'!C36+'[1]2024.7~弁当予測'!C37+'[1]2024.7~シェアバー予測'!C36+'[1]2024.7~シェアバー予測'!C37+'[1]2024.7~サウナ予測'!C36+'[1]2024.7~サウナ予測'!C37+'[1]2024.07~本部予測'!C36+'[1]2024.07~本部予測'!C37</f>
        <v>120000</v>
      </c>
      <c r="H59" s="242">
        <f>'[1]2024.07～恵愛予測'!D36+'[1]2024.07～恵愛予測'!D37+'[1]2024.7~村予測'!D36+'[1]2024.7~村予測'!D37+'[1]2024.7~弁当予測'!D36+'[1]2024.7~弁当予測'!D37+'[1]2024.7~シェアバー予測'!D36+'[1]2024.7~シェアバー予測'!D37+'[1]2024.7~サウナ予測'!D36+'[1]2024.7~サウナ予測'!D37+'[1]2024.07~本部予測'!D36+'[1]2024.07~本部予測'!D37</f>
        <v>120000</v>
      </c>
      <c r="I59" s="242">
        <v>120000</v>
      </c>
      <c r="J59" s="242">
        <v>120000</v>
      </c>
      <c r="K59" s="242">
        <v>120000</v>
      </c>
      <c r="L59" s="242">
        <v>120000</v>
      </c>
      <c r="M59" s="242">
        <v>120000</v>
      </c>
      <c r="N59" s="242">
        <v>120000</v>
      </c>
      <c r="O59" s="242">
        <v>120000</v>
      </c>
      <c r="P59" s="242">
        <f>'[2]2024.07～恵愛予測'!L36+'[2]2024.07～恵愛予測'!L37+'[2]2024.7~村予測'!L36+'[2]2024.7~村予測'!L37+'[2]2024.7~弁当予測'!L36+'[2]2024.7~弁当予測'!L37+'[2]2024.7~シェアバー予測'!L36+'[2]2024.7~シェアバー予測'!L37+'[2]2024.7~サウナ予測'!L36+'[2]2024.7~サウナ予測'!L37+'[2]2024.07~本部予測'!L36+'[2]2024.07~本部予測'!L37</f>
        <v>120000</v>
      </c>
      <c r="Q59" s="242">
        <f>'[2]2024.07～恵愛予測'!M36+'[2]2024.07～恵愛予測'!M37+'[2]2024.7~村予測'!M36+'[2]2024.7~村予測'!M37+'[2]2024.7~弁当予測'!M36+'[2]2024.7~弁当予測'!M37+'[2]2024.7~シェアバー予測'!M36+'[2]2024.7~シェアバー予測'!M37+'[2]2024.7~サウナ予測'!M36+'[2]2024.7~サウナ予測'!M37+'[2]2024.07~本部予測'!M36+'[2]2024.07~本部予測'!M37</f>
        <v>120000</v>
      </c>
      <c r="R59" s="242">
        <f>'[2]2024.07～恵愛予測'!N36+'[2]2024.07～恵愛予測'!N37+'[2]2024.7~村予測'!N36+'[2]2024.7~村予測'!N37+'[2]2024.7~弁当予測'!N36+'[2]2024.7~弁当予測'!N37+'[2]2024.7~シェアバー予測'!N36+'[2]2024.7~シェアバー予測'!N37+'[2]2024.7~サウナ予測'!N36+'[2]2024.7~サウナ予測'!N37+'[2]2024.07~本部予測'!N36+'[2]2024.07~本部予測'!N37</f>
        <v>120000</v>
      </c>
      <c r="S59" s="242">
        <v>120000</v>
      </c>
      <c r="T59" s="242">
        <v>120000</v>
      </c>
      <c r="U59" s="242"/>
      <c r="V59" s="242"/>
      <c r="W59" s="242"/>
      <c r="X59" s="242"/>
      <c r="Y59" s="242"/>
      <c r="Z59" s="242"/>
    </row>
    <row r="60" spans="1:26" ht="14.65" customHeight="1" thickTop="1" thickBot="1">
      <c r="A60" s="227" t="s">
        <v>271</v>
      </c>
      <c r="B60" s="228"/>
      <c r="C60" s="228"/>
      <c r="E60" s="538" t="s">
        <v>306</v>
      </c>
      <c r="F60" s="539"/>
      <c r="G60" s="240">
        <f t="shared" ref="G60:Z60" si="10">G57+G58-G59</f>
        <v>369601</v>
      </c>
      <c r="H60" s="240">
        <f t="shared" si="10"/>
        <v>1929601</v>
      </c>
      <c r="I60" s="240">
        <f t="shared" si="10"/>
        <v>43966</v>
      </c>
      <c r="J60" s="240">
        <f t="shared" si="10"/>
        <v>383966</v>
      </c>
      <c r="K60" s="240">
        <f t="shared" si="10"/>
        <v>495486</v>
      </c>
      <c r="L60" s="240">
        <f t="shared" si="10"/>
        <v>1675486</v>
      </c>
      <c r="M60" s="240">
        <f t="shared" si="10"/>
        <v>490486</v>
      </c>
      <c r="N60" s="240">
        <f t="shared" si="10"/>
        <v>490486</v>
      </c>
      <c r="O60" s="240">
        <f t="shared" si="10"/>
        <v>1127486</v>
      </c>
      <c r="P60" s="240">
        <f t="shared" si="10"/>
        <v>278486</v>
      </c>
      <c r="Q60" s="240">
        <f t="shared" si="10"/>
        <v>505486</v>
      </c>
      <c r="R60" s="240">
        <f t="shared" si="10"/>
        <v>455486</v>
      </c>
      <c r="S60" s="240">
        <f t="shared" si="10"/>
        <v>208600</v>
      </c>
      <c r="T60" s="240">
        <f t="shared" si="10"/>
        <v>208600</v>
      </c>
      <c r="U60" s="240">
        <f t="shared" si="10"/>
        <v>0</v>
      </c>
      <c r="V60" s="240">
        <f t="shared" si="10"/>
        <v>0</v>
      </c>
      <c r="W60" s="240">
        <f t="shared" si="10"/>
        <v>0</v>
      </c>
      <c r="X60" s="240">
        <f t="shared" si="10"/>
        <v>0</v>
      </c>
      <c r="Y60" s="240">
        <f t="shared" si="10"/>
        <v>0</v>
      </c>
      <c r="Z60" s="240">
        <f t="shared" si="10"/>
        <v>0</v>
      </c>
    </row>
    <row r="61" spans="1:26" ht="14.65" customHeight="1" thickTop="1">
      <c r="A61" s="236"/>
      <c r="B61" s="228"/>
      <c r="C61" s="228"/>
      <c r="E61" s="540" t="s">
        <v>307</v>
      </c>
      <c r="F61" s="541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</row>
    <row r="62" spans="1:26" ht="14.65" customHeight="1" thickBot="1">
      <c r="A62" s="241"/>
      <c r="B62" s="228"/>
      <c r="C62" s="228"/>
      <c r="E62" s="569" t="s">
        <v>308</v>
      </c>
      <c r="F62" s="570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</row>
    <row r="63" spans="1:26" ht="14.65" customHeight="1" thickTop="1" thickBot="1">
      <c r="B63" s="228"/>
      <c r="C63" s="228"/>
      <c r="E63" s="538" t="s">
        <v>309</v>
      </c>
      <c r="F63" s="539"/>
      <c r="G63" s="240">
        <f t="shared" ref="G63:Z63" si="11">G60+G61-G62</f>
        <v>369601</v>
      </c>
      <c r="H63" s="240">
        <f t="shared" si="11"/>
        <v>1929601</v>
      </c>
      <c r="I63" s="240">
        <f t="shared" si="11"/>
        <v>43966</v>
      </c>
      <c r="J63" s="240">
        <f t="shared" si="11"/>
        <v>383966</v>
      </c>
      <c r="K63" s="240">
        <f t="shared" si="11"/>
        <v>495486</v>
      </c>
      <c r="L63" s="240">
        <f t="shared" si="11"/>
        <v>1675486</v>
      </c>
      <c r="M63" s="240">
        <f t="shared" si="11"/>
        <v>490486</v>
      </c>
      <c r="N63" s="240">
        <f t="shared" si="11"/>
        <v>490486</v>
      </c>
      <c r="O63" s="240">
        <f t="shared" si="11"/>
        <v>1127486</v>
      </c>
      <c r="P63" s="240">
        <f t="shared" si="11"/>
        <v>278486</v>
      </c>
      <c r="Q63" s="240">
        <f t="shared" si="11"/>
        <v>505486</v>
      </c>
      <c r="R63" s="240">
        <f t="shared" si="11"/>
        <v>455486</v>
      </c>
      <c r="S63" s="240">
        <f t="shared" si="11"/>
        <v>208600</v>
      </c>
      <c r="T63" s="240">
        <f t="shared" si="11"/>
        <v>208600</v>
      </c>
      <c r="U63" s="240">
        <f t="shared" si="11"/>
        <v>0</v>
      </c>
      <c r="V63" s="240">
        <f t="shared" si="11"/>
        <v>0</v>
      </c>
      <c r="W63" s="240">
        <f t="shared" si="11"/>
        <v>0</v>
      </c>
      <c r="X63" s="240">
        <f t="shared" si="11"/>
        <v>0</v>
      </c>
      <c r="Y63" s="240">
        <f t="shared" si="11"/>
        <v>0</v>
      </c>
      <c r="Z63" s="240">
        <f t="shared" si="11"/>
        <v>0</v>
      </c>
    </row>
    <row r="64" spans="1:26" ht="14.65" customHeight="1" thickTop="1" thickBot="1">
      <c r="E64" s="571" t="s">
        <v>310</v>
      </c>
      <c r="F64" s="572"/>
      <c r="G64" s="245">
        <f>G63</f>
        <v>369601</v>
      </c>
      <c r="H64" s="245">
        <f t="shared" ref="H64:R64" si="12">+G64+H63</f>
        <v>2299202</v>
      </c>
      <c r="I64" s="245">
        <f t="shared" si="12"/>
        <v>2343168</v>
      </c>
      <c r="J64" s="245">
        <f t="shared" si="12"/>
        <v>2727134</v>
      </c>
      <c r="K64" s="245">
        <f t="shared" si="12"/>
        <v>3222620</v>
      </c>
      <c r="L64" s="245">
        <f t="shared" si="12"/>
        <v>4898106</v>
      </c>
      <c r="M64" s="245">
        <f t="shared" si="12"/>
        <v>5388592</v>
      </c>
      <c r="N64" s="245">
        <f t="shared" si="12"/>
        <v>5879078</v>
      </c>
      <c r="O64" s="245">
        <f t="shared" si="12"/>
        <v>7006564</v>
      </c>
      <c r="P64" s="245">
        <f t="shared" si="12"/>
        <v>7285050</v>
      </c>
      <c r="Q64" s="245">
        <f t="shared" si="12"/>
        <v>7790536</v>
      </c>
      <c r="R64" s="245">
        <f t="shared" si="12"/>
        <v>8246022</v>
      </c>
      <c r="S64" s="245">
        <f>S63</f>
        <v>208600</v>
      </c>
      <c r="T64" s="245">
        <f t="shared" ref="T64:Z64" si="13">+S64+T63</f>
        <v>417200</v>
      </c>
      <c r="U64" s="245">
        <f t="shared" si="13"/>
        <v>417200</v>
      </c>
      <c r="V64" s="245">
        <f t="shared" si="13"/>
        <v>417200</v>
      </c>
      <c r="W64" s="245">
        <f t="shared" si="13"/>
        <v>417200</v>
      </c>
      <c r="X64" s="245">
        <f t="shared" si="13"/>
        <v>417200</v>
      </c>
      <c r="Y64" s="245">
        <f t="shared" si="13"/>
        <v>417200</v>
      </c>
      <c r="Z64" s="245">
        <f t="shared" si="13"/>
        <v>417200</v>
      </c>
    </row>
    <row r="65" spans="5:26" ht="6" customHeight="1" thickBot="1">
      <c r="E65" s="246"/>
      <c r="F65" s="246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</row>
    <row r="66" spans="5:26" ht="13.15" thickTop="1">
      <c r="E66" s="573" t="s">
        <v>311</v>
      </c>
      <c r="F66" s="574"/>
      <c r="G66" s="248">
        <f t="shared" ref="G66:Z66" si="14">+G24+G34</f>
        <v>4922319</v>
      </c>
      <c r="H66" s="248">
        <f t="shared" si="14"/>
        <v>4922319</v>
      </c>
      <c r="I66" s="248">
        <f t="shared" si="14"/>
        <v>4907319</v>
      </c>
      <c r="J66" s="248">
        <f t="shared" si="14"/>
        <v>4907319</v>
      </c>
      <c r="K66" s="248">
        <f t="shared" si="14"/>
        <v>4794319</v>
      </c>
      <c r="L66" s="248">
        <f t="shared" si="14"/>
        <v>5856819</v>
      </c>
      <c r="M66" s="248">
        <f t="shared" si="14"/>
        <v>4794319</v>
      </c>
      <c r="N66" s="248">
        <f t="shared" si="14"/>
        <v>4794319</v>
      </c>
      <c r="O66" s="248">
        <f t="shared" si="14"/>
        <v>5431819</v>
      </c>
      <c r="P66" s="248">
        <f t="shared" si="14"/>
        <v>4784319</v>
      </c>
      <c r="Q66" s="248">
        <f t="shared" si="14"/>
        <v>4784319</v>
      </c>
      <c r="R66" s="248">
        <f t="shared" si="14"/>
        <v>4784319</v>
      </c>
      <c r="S66" s="248">
        <f t="shared" si="14"/>
        <v>4912319</v>
      </c>
      <c r="T66" s="248">
        <f t="shared" si="14"/>
        <v>4912319</v>
      </c>
      <c r="U66" s="248">
        <f t="shared" si="14"/>
        <v>0</v>
      </c>
      <c r="V66" s="248">
        <f t="shared" si="14"/>
        <v>0</v>
      </c>
      <c r="W66" s="248">
        <f t="shared" si="14"/>
        <v>0</v>
      </c>
      <c r="X66" s="248">
        <f t="shared" si="14"/>
        <v>0</v>
      </c>
      <c r="Y66" s="248">
        <f t="shared" si="14"/>
        <v>0</v>
      </c>
      <c r="Z66" s="248">
        <f t="shared" si="14"/>
        <v>0</v>
      </c>
    </row>
    <row r="67" spans="5:26" ht="13.15" thickBot="1">
      <c r="E67" s="575"/>
      <c r="F67" s="576"/>
      <c r="G67" s="249">
        <f t="shared" ref="G67:Z67" si="15">+G66/G17</f>
        <v>0.51274156250000003</v>
      </c>
      <c r="H67" s="249">
        <f t="shared" si="15"/>
        <v>0.43870935828877006</v>
      </c>
      <c r="I67" s="249">
        <f t="shared" si="15"/>
        <v>0.5111790625</v>
      </c>
      <c r="J67" s="249">
        <f t="shared" si="15"/>
        <v>0.5111790625</v>
      </c>
      <c r="K67" s="249">
        <f t="shared" si="15"/>
        <v>0.49940822916666666</v>
      </c>
      <c r="L67" s="249">
        <f t="shared" si="15"/>
        <v>0.48403462809917358</v>
      </c>
      <c r="M67" s="249">
        <f t="shared" si="15"/>
        <v>0.49940822916666666</v>
      </c>
      <c r="N67" s="249">
        <f t="shared" si="15"/>
        <v>0.49940822916666666</v>
      </c>
      <c r="O67" s="249">
        <f t="shared" si="15"/>
        <v>0.48935306306306309</v>
      </c>
      <c r="P67" s="249">
        <f t="shared" si="15"/>
        <v>0.4983665625</v>
      </c>
      <c r="Q67" s="249">
        <f t="shared" si="15"/>
        <v>0.4983665625</v>
      </c>
      <c r="R67" s="249">
        <f t="shared" si="15"/>
        <v>0.4983665625</v>
      </c>
      <c r="S67" s="249">
        <f t="shared" si="15"/>
        <v>0.51169989583333331</v>
      </c>
      <c r="T67" s="249">
        <f t="shared" si="15"/>
        <v>0.51169989583333331</v>
      </c>
      <c r="U67" s="249" t="e">
        <f t="shared" si="15"/>
        <v>#DIV/0!</v>
      </c>
      <c r="V67" s="249" t="e">
        <f t="shared" si="15"/>
        <v>#DIV/0!</v>
      </c>
      <c r="W67" s="249" t="e">
        <f t="shared" si="15"/>
        <v>#DIV/0!</v>
      </c>
      <c r="X67" s="249" t="e">
        <f t="shared" si="15"/>
        <v>#DIV/0!</v>
      </c>
      <c r="Y67" s="249" t="e">
        <f t="shared" si="15"/>
        <v>#DIV/0!</v>
      </c>
      <c r="Z67" s="249" t="e">
        <f t="shared" si="15"/>
        <v>#DIV/0!</v>
      </c>
    </row>
    <row r="68" spans="5:26" s="268" customFormat="1" ht="13.5" customHeight="1" thickTop="1">
      <c r="E68" s="446"/>
      <c r="F68" s="447" t="s">
        <v>441</v>
      </c>
      <c r="G68" s="446">
        <f>+G66-G22</f>
        <v>4822319</v>
      </c>
      <c r="H68" s="446">
        <f>+H66-H22</f>
        <v>4822319</v>
      </c>
      <c r="I68" s="446">
        <f>+I66-I22</f>
        <v>4807319</v>
      </c>
      <c r="J68" s="446">
        <f t="shared" ref="J68:T68" si="16">+J66-J22</f>
        <v>4807319</v>
      </c>
      <c r="K68" s="446">
        <f t="shared" si="16"/>
        <v>4694319</v>
      </c>
      <c r="L68" s="446">
        <f t="shared" si="16"/>
        <v>5756819</v>
      </c>
      <c r="M68" s="446">
        <f t="shared" si="16"/>
        <v>4694319</v>
      </c>
      <c r="N68" s="446">
        <f t="shared" si="16"/>
        <v>4694319</v>
      </c>
      <c r="O68" s="446">
        <f t="shared" si="16"/>
        <v>5331819</v>
      </c>
      <c r="P68" s="446"/>
      <c r="Q68" s="446"/>
      <c r="R68" s="446"/>
      <c r="S68" s="446">
        <f t="shared" si="16"/>
        <v>4812319</v>
      </c>
      <c r="T68" s="446">
        <f t="shared" si="16"/>
        <v>4812319</v>
      </c>
      <c r="U68" s="446"/>
      <c r="V68" s="446"/>
      <c r="W68" s="446"/>
      <c r="X68" s="446"/>
      <c r="Y68" s="446"/>
      <c r="Z68" s="446"/>
    </row>
    <row r="69" spans="5:26" s="448" customFormat="1" ht="13.5" customHeight="1">
      <c r="E69" s="220"/>
      <c r="F69" s="220"/>
      <c r="G69" s="220">
        <f>+G68/(G17-G15)</f>
        <v>0.56073476744186046</v>
      </c>
      <c r="H69" s="220">
        <f>+H68/(H17-H15)</f>
        <v>0.56073476744186046</v>
      </c>
      <c r="I69" s="220">
        <f>+I68/(I17-I15)</f>
        <v>0.55899058139534885</v>
      </c>
      <c r="J69" s="220">
        <f t="shared" ref="J69:T69" si="17">+J68/(J17-J15)</f>
        <v>0.55899058139534885</v>
      </c>
      <c r="K69" s="220">
        <f t="shared" si="17"/>
        <v>0.54585104651162786</v>
      </c>
      <c r="L69" s="220">
        <f t="shared" si="17"/>
        <v>0.51863234234234235</v>
      </c>
      <c r="M69" s="220">
        <f t="shared" si="17"/>
        <v>0.54585104651162786</v>
      </c>
      <c r="N69" s="220">
        <f t="shared" si="17"/>
        <v>0.54585104651162786</v>
      </c>
      <c r="O69" s="220">
        <f t="shared" si="17"/>
        <v>0.52790287128712876</v>
      </c>
      <c r="P69" s="220"/>
      <c r="Q69" s="220"/>
      <c r="R69" s="220"/>
      <c r="S69" s="220">
        <f t="shared" si="17"/>
        <v>0.55957197674418602</v>
      </c>
      <c r="T69" s="220">
        <f t="shared" si="17"/>
        <v>0.55957197674418602</v>
      </c>
      <c r="U69" s="220"/>
      <c r="V69" s="220"/>
      <c r="W69" s="220"/>
      <c r="X69" s="220"/>
      <c r="Y69" s="220"/>
      <c r="Z69" s="220"/>
    </row>
    <row r="70" spans="5:26" ht="13.5" customHeight="1">
      <c r="E70" s="204"/>
      <c r="F70" s="204"/>
      <c r="G70" s="489">
        <f>+G68</f>
        <v>4822319</v>
      </c>
      <c r="H70" s="489">
        <f>+G70+H68</f>
        <v>9644638</v>
      </c>
      <c r="I70" s="489">
        <f t="shared" ref="I70:O70" si="18">+H70+I68</f>
        <v>14451957</v>
      </c>
      <c r="J70" s="489">
        <f t="shared" si="18"/>
        <v>19259276</v>
      </c>
      <c r="K70" s="489">
        <f t="shared" si="18"/>
        <v>23953595</v>
      </c>
      <c r="L70" s="489">
        <f t="shared" si="18"/>
        <v>29710414</v>
      </c>
      <c r="M70" s="489">
        <f t="shared" si="18"/>
        <v>34404733</v>
      </c>
      <c r="N70" s="489">
        <f t="shared" si="18"/>
        <v>39099052</v>
      </c>
      <c r="O70" s="489">
        <f t="shared" si="18"/>
        <v>44430871</v>
      </c>
      <c r="P70" s="489"/>
      <c r="Q70" s="489"/>
      <c r="R70" s="489"/>
      <c r="S70" s="204"/>
      <c r="T70" s="204"/>
      <c r="U70" s="204"/>
      <c r="V70" s="204"/>
      <c r="W70" s="204"/>
      <c r="X70" s="204"/>
      <c r="Y70" s="204"/>
      <c r="Z70" s="204"/>
    </row>
    <row r="71" spans="5:26" ht="13.5" customHeight="1">
      <c r="E71" s="204"/>
      <c r="F71" s="204"/>
      <c r="G71" s="489">
        <f>+G17-G15</f>
        <v>8600000</v>
      </c>
      <c r="H71" s="489">
        <f>+G71+H17-H15</f>
        <v>17200000</v>
      </c>
      <c r="I71" s="489">
        <f t="shared" ref="I71:O71" si="19">+H71+I17-I15</f>
        <v>25800000</v>
      </c>
      <c r="J71" s="489">
        <f t="shared" si="19"/>
        <v>34400000</v>
      </c>
      <c r="K71" s="489">
        <f t="shared" si="19"/>
        <v>43000000</v>
      </c>
      <c r="L71" s="489">
        <f t="shared" si="19"/>
        <v>54100000</v>
      </c>
      <c r="M71" s="489">
        <f t="shared" si="19"/>
        <v>62700000</v>
      </c>
      <c r="N71" s="489">
        <f t="shared" si="19"/>
        <v>71300000</v>
      </c>
      <c r="O71" s="489">
        <f t="shared" si="19"/>
        <v>81400000</v>
      </c>
      <c r="P71" s="489"/>
      <c r="Q71" s="489"/>
      <c r="R71" s="489"/>
      <c r="S71" s="204"/>
      <c r="T71" s="204"/>
      <c r="U71" s="204"/>
      <c r="V71" s="204"/>
      <c r="W71" s="204"/>
      <c r="X71" s="204"/>
      <c r="Y71" s="204"/>
      <c r="Z71" s="204"/>
    </row>
    <row r="72" spans="5:26" s="448" customFormat="1" ht="13.5" customHeight="1">
      <c r="E72" s="220"/>
      <c r="F72" s="220"/>
      <c r="G72" s="220">
        <f>+G70/G71</f>
        <v>0.56073476744186046</v>
      </c>
      <c r="H72" s="220">
        <f t="shared" ref="H72:O72" si="20">+H70/H71</f>
        <v>0.56073476744186046</v>
      </c>
      <c r="I72" s="220">
        <f t="shared" si="20"/>
        <v>0.56015337209302329</v>
      </c>
      <c r="J72" s="220">
        <f t="shared" si="20"/>
        <v>0.5598626744186046</v>
      </c>
      <c r="K72" s="220">
        <f t="shared" si="20"/>
        <v>0.55706034883720934</v>
      </c>
      <c r="L72" s="220">
        <f t="shared" si="20"/>
        <v>0.5491758595194085</v>
      </c>
      <c r="M72" s="220">
        <f t="shared" si="20"/>
        <v>0.54871982456140356</v>
      </c>
      <c r="N72" s="220">
        <f t="shared" si="20"/>
        <v>0.54837380084151477</v>
      </c>
      <c r="O72" s="220">
        <f t="shared" si="20"/>
        <v>0.54583379606879612</v>
      </c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 spans="5:26" ht="17.25" customHeight="1" thickBot="1">
      <c r="E73" s="250" t="s">
        <v>312</v>
      </c>
      <c r="F73" s="250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 spans="5:26" ht="18" customHeight="1">
      <c r="E74" s="565" t="s">
        <v>313</v>
      </c>
      <c r="F74" s="566"/>
      <c r="G74" s="251">
        <f t="shared" ref="G74:Z74" si="21">+G9</f>
        <v>0</v>
      </c>
      <c r="H74" s="251">
        <f t="shared" si="21"/>
        <v>0</v>
      </c>
      <c r="I74" s="251">
        <f t="shared" si="21"/>
        <v>0</v>
      </c>
      <c r="J74" s="251">
        <f t="shared" si="21"/>
        <v>0</v>
      </c>
      <c r="K74" s="251">
        <f t="shared" si="21"/>
        <v>0</v>
      </c>
      <c r="L74" s="251">
        <f t="shared" si="21"/>
        <v>0</v>
      </c>
      <c r="M74" s="251">
        <f t="shared" si="21"/>
        <v>0</v>
      </c>
      <c r="N74" s="251">
        <f t="shared" si="21"/>
        <v>0</v>
      </c>
      <c r="O74" s="251">
        <f t="shared" si="21"/>
        <v>0</v>
      </c>
      <c r="P74" s="251">
        <f t="shared" si="21"/>
        <v>0</v>
      </c>
      <c r="Q74" s="251">
        <f t="shared" si="21"/>
        <v>0</v>
      </c>
      <c r="R74" s="251">
        <f t="shared" si="21"/>
        <v>0</v>
      </c>
      <c r="S74" s="251" t="str">
        <f t="shared" si="21"/>
        <v>手入力</v>
      </c>
      <c r="T74" s="251" t="str">
        <f t="shared" si="21"/>
        <v>手入力</v>
      </c>
      <c r="U74" s="251">
        <f t="shared" si="21"/>
        <v>0</v>
      </c>
      <c r="V74" s="251">
        <f t="shared" si="21"/>
        <v>0</v>
      </c>
      <c r="W74" s="251">
        <f t="shared" si="21"/>
        <v>0</v>
      </c>
      <c r="X74" s="251">
        <f t="shared" si="21"/>
        <v>0</v>
      </c>
      <c r="Y74" s="251">
        <f t="shared" si="21"/>
        <v>0</v>
      </c>
      <c r="Z74" s="251">
        <f t="shared" si="21"/>
        <v>0</v>
      </c>
    </row>
    <row r="75" spans="5:26" ht="18" customHeight="1" thickBot="1">
      <c r="E75" s="567"/>
      <c r="F75" s="568"/>
      <c r="G75" s="252" t="str">
        <f t="shared" ref="G75:Z75" si="22">G10</f>
        <v>R7.07</v>
      </c>
      <c r="H75" s="252" t="str">
        <f t="shared" si="22"/>
        <v>R7.08</v>
      </c>
      <c r="I75" s="252" t="str">
        <f t="shared" si="22"/>
        <v>R7.09</v>
      </c>
      <c r="J75" s="252" t="str">
        <f t="shared" si="22"/>
        <v>R7.10</v>
      </c>
      <c r="K75" s="252" t="str">
        <f t="shared" si="22"/>
        <v>R7.11</v>
      </c>
      <c r="L75" s="252" t="str">
        <f t="shared" si="22"/>
        <v>R7.12</v>
      </c>
      <c r="M75" s="252" t="str">
        <f t="shared" si="22"/>
        <v>R8.01</v>
      </c>
      <c r="N75" s="252" t="str">
        <f t="shared" si="22"/>
        <v>R8.02</v>
      </c>
      <c r="O75" s="252" t="str">
        <f t="shared" si="22"/>
        <v>R8.03</v>
      </c>
      <c r="P75" s="252" t="str">
        <f t="shared" si="22"/>
        <v>R8.04</v>
      </c>
      <c r="Q75" s="252" t="str">
        <f t="shared" si="22"/>
        <v>R8.05</v>
      </c>
      <c r="R75" s="252" t="str">
        <f t="shared" si="22"/>
        <v>R8.06</v>
      </c>
      <c r="S75" s="252" t="str">
        <f t="shared" si="22"/>
        <v>R8.07</v>
      </c>
      <c r="T75" s="252" t="str">
        <f t="shared" si="22"/>
        <v>R8.08</v>
      </c>
      <c r="U75" s="252" t="str">
        <f t="shared" si="22"/>
        <v>R8.09</v>
      </c>
      <c r="V75" s="252" t="str">
        <f t="shared" si="22"/>
        <v>R8.10</v>
      </c>
      <c r="W75" s="252" t="str">
        <f t="shared" si="22"/>
        <v>R8.11</v>
      </c>
      <c r="X75" s="252" t="str">
        <f t="shared" si="22"/>
        <v>R8.12</v>
      </c>
      <c r="Y75" s="252" t="str">
        <f t="shared" si="22"/>
        <v>R9.01</v>
      </c>
      <c r="Z75" s="252" t="str">
        <f t="shared" si="22"/>
        <v>R9.02</v>
      </c>
    </row>
    <row r="76" spans="5:26" ht="18" customHeight="1" thickTop="1" thickBot="1">
      <c r="E76" s="577" t="s">
        <v>314</v>
      </c>
      <c r="F76" s="578"/>
      <c r="G76" s="253">
        <v>40400000</v>
      </c>
      <c r="H76" s="253">
        <f t="shared" ref="H76:S76" si="23">G105</f>
        <v>40344486</v>
      </c>
      <c r="I76" s="253">
        <f t="shared" si="23"/>
        <v>42235186</v>
      </c>
      <c r="J76" s="253">
        <f t="shared" si="23"/>
        <v>43477486</v>
      </c>
      <c r="K76" s="253">
        <f t="shared" si="23"/>
        <v>44103986</v>
      </c>
      <c r="L76" s="253">
        <f t="shared" si="23"/>
        <v>44939006</v>
      </c>
      <c r="M76" s="253">
        <f t="shared" si="23"/>
        <v>47278151</v>
      </c>
      <c r="N76" s="253">
        <f t="shared" si="23"/>
        <v>46633868</v>
      </c>
      <c r="O76" s="253">
        <f t="shared" si="23"/>
        <v>45980710</v>
      </c>
      <c r="P76" s="253">
        <f>O107</f>
        <v>0</v>
      </c>
      <c r="Q76" s="253">
        <f t="shared" ref="Q76:R76" si="24">P105</f>
        <v>347520</v>
      </c>
      <c r="R76" s="253">
        <f t="shared" si="24"/>
        <v>1060540</v>
      </c>
      <c r="S76" s="253">
        <f t="shared" si="23"/>
        <v>1723560</v>
      </c>
      <c r="T76" s="253">
        <f t="shared" ref="T76:Z76" si="25">S108</f>
        <v>889746</v>
      </c>
      <c r="U76" s="253">
        <f t="shared" si="25"/>
        <v>-3605414.5999999996</v>
      </c>
      <c r="V76" s="253">
        <f t="shared" si="25"/>
        <v>-6592037.5999999996</v>
      </c>
      <c r="W76" s="253">
        <f t="shared" si="25"/>
        <v>-7072037.5999999996</v>
      </c>
      <c r="X76" s="253">
        <f t="shared" si="25"/>
        <v>-8030037.5999999996</v>
      </c>
      <c r="Y76" s="253">
        <f t="shared" si="25"/>
        <v>-8510037.5999999996</v>
      </c>
      <c r="Z76" s="253">
        <f t="shared" si="25"/>
        <v>-9229037.5999999996</v>
      </c>
    </row>
    <row r="77" spans="5:26" ht="18" customHeight="1" thickTop="1">
      <c r="E77" s="579" t="s">
        <v>315</v>
      </c>
      <c r="F77" s="254" t="s">
        <v>316</v>
      </c>
      <c r="G77" s="255">
        <f t="shared" ref="G77:Z77" si="26">+G17*$C17</f>
        <v>6335999.9999999991</v>
      </c>
      <c r="H77" s="255">
        <f t="shared" si="26"/>
        <v>7405199.9999999991</v>
      </c>
      <c r="I77" s="255">
        <f t="shared" si="26"/>
        <v>6335999.9999999991</v>
      </c>
      <c r="J77" s="255">
        <f t="shared" si="26"/>
        <v>6335999.9999999991</v>
      </c>
      <c r="K77" s="255">
        <f t="shared" si="26"/>
        <v>6335999.9999999991</v>
      </c>
      <c r="L77" s="255">
        <f t="shared" si="26"/>
        <v>7985999.9999999991</v>
      </c>
      <c r="M77" s="255">
        <f t="shared" si="26"/>
        <v>6335999.9999999991</v>
      </c>
      <c r="N77" s="255">
        <f t="shared" si="26"/>
        <v>6335999.9999999991</v>
      </c>
      <c r="O77" s="255">
        <f t="shared" si="26"/>
        <v>7325999.9999999991</v>
      </c>
      <c r="P77" s="255">
        <f t="shared" si="26"/>
        <v>6335999.9999999991</v>
      </c>
      <c r="Q77" s="255">
        <f t="shared" si="26"/>
        <v>6335999.9999999991</v>
      </c>
      <c r="R77" s="255">
        <f t="shared" si="26"/>
        <v>6335999.9999999991</v>
      </c>
      <c r="S77" s="255">
        <f t="shared" si="26"/>
        <v>6335999.9999999991</v>
      </c>
      <c r="T77" s="255">
        <f t="shared" si="26"/>
        <v>6335999.9999999991</v>
      </c>
      <c r="U77" s="255">
        <f t="shared" si="26"/>
        <v>0</v>
      </c>
      <c r="V77" s="255">
        <f t="shared" si="26"/>
        <v>0</v>
      </c>
      <c r="W77" s="255">
        <f t="shared" si="26"/>
        <v>0</v>
      </c>
      <c r="X77" s="255">
        <f t="shared" si="26"/>
        <v>0</v>
      </c>
      <c r="Y77" s="255">
        <f t="shared" si="26"/>
        <v>0</v>
      </c>
      <c r="Z77" s="255">
        <f t="shared" si="26"/>
        <v>0</v>
      </c>
    </row>
    <row r="78" spans="5:26" ht="18" customHeight="1">
      <c r="E78" s="580"/>
      <c r="F78" s="256" t="s">
        <v>317</v>
      </c>
      <c r="G78" s="257">
        <v>2400000</v>
      </c>
      <c r="H78" s="257">
        <f t="shared" ref="H78:Z78" si="27">+G17*$B17</f>
        <v>3264000.0000000005</v>
      </c>
      <c r="I78" s="257">
        <f t="shared" si="27"/>
        <v>3814800.0000000005</v>
      </c>
      <c r="J78" s="257">
        <f t="shared" si="27"/>
        <v>3264000.0000000005</v>
      </c>
      <c r="K78" s="257">
        <f t="shared" si="27"/>
        <v>3264000.0000000005</v>
      </c>
      <c r="L78" s="257">
        <f t="shared" si="27"/>
        <v>3264000.0000000005</v>
      </c>
      <c r="M78" s="257">
        <f t="shared" si="27"/>
        <v>4114000.0000000005</v>
      </c>
      <c r="N78" s="257">
        <f t="shared" si="27"/>
        <v>3264000.0000000005</v>
      </c>
      <c r="O78" s="257">
        <f t="shared" si="27"/>
        <v>3264000.0000000005</v>
      </c>
      <c r="P78" s="257">
        <f t="shared" si="27"/>
        <v>3774000.0000000005</v>
      </c>
      <c r="Q78" s="257">
        <f t="shared" si="27"/>
        <v>3264000.0000000005</v>
      </c>
      <c r="R78" s="257">
        <f t="shared" si="27"/>
        <v>3264000.0000000005</v>
      </c>
      <c r="S78" s="257">
        <f t="shared" si="27"/>
        <v>3264000.0000000005</v>
      </c>
      <c r="T78" s="257">
        <f t="shared" si="27"/>
        <v>3264000.0000000005</v>
      </c>
      <c r="U78" s="257">
        <f t="shared" si="27"/>
        <v>3264000.0000000005</v>
      </c>
      <c r="V78" s="257">
        <f t="shared" si="27"/>
        <v>0</v>
      </c>
      <c r="W78" s="257">
        <f t="shared" si="27"/>
        <v>0</v>
      </c>
      <c r="X78" s="257">
        <f t="shared" si="27"/>
        <v>0</v>
      </c>
      <c r="Y78" s="257">
        <f t="shared" si="27"/>
        <v>0</v>
      </c>
      <c r="Z78" s="257">
        <f t="shared" si="27"/>
        <v>0</v>
      </c>
    </row>
    <row r="79" spans="5:26" ht="18" customHeight="1">
      <c r="E79" s="580"/>
      <c r="F79" s="258" t="s">
        <v>318</v>
      </c>
      <c r="G79" s="259">
        <f t="shared" ref="G79:Z79" si="28">+G58</f>
        <v>200000</v>
      </c>
      <c r="H79" s="259">
        <f t="shared" si="28"/>
        <v>0</v>
      </c>
      <c r="I79" s="259">
        <f t="shared" si="28"/>
        <v>0</v>
      </c>
      <c r="J79" s="259">
        <f t="shared" si="28"/>
        <v>0</v>
      </c>
      <c r="K79" s="259">
        <f t="shared" si="28"/>
        <v>0</v>
      </c>
      <c r="L79" s="259">
        <f t="shared" si="28"/>
        <v>200000</v>
      </c>
      <c r="M79" s="259">
        <f t="shared" si="28"/>
        <v>0</v>
      </c>
      <c r="N79" s="259">
        <f t="shared" si="28"/>
        <v>0</v>
      </c>
      <c r="O79" s="259">
        <f t="shared" si="28"/>
        <v>0</v>
      </c>
      <c r="P79" s="259">
        <f t="shared" si="28"/>
        <v>0</v>
      </c>
      <c r="Q79" s="259">
        <f t="shared" si="28"/>
        <v>0</v>
      </c>
      <c r="R79" s="259">
        <f t="shared" si="28"/>
        <v>0</v>
      </c>
      <c r="S79" s="259">
        <f t="shared" si="28"/>
        <v>0</v>
      </c>
      <c r="T79" s="259">
        <f t="shared" si="28"/>
        <v>0</v>
      </c>
      <c r="U79" s="259">
        <f t="shared" si="28"/>
        <v>0</v>
      </c>
      <c r="V79" s="259">
        <f t="shared" si="28"/>
        <v>0</v>
      </c>
      <c r="W79" s="259">
        <f t="shared" si="28"/>
        <v>0</v>
      </c>
      <c r="X79" s="259">
        <f t="shared" si="28"/>
        <v>0</v>
      </c>
      <c r="Y79" s="259">
        <f t="shared" si="28"/>
        <v>0</v>
      </c>
      <c r="Z79" s="259">
        <f t="shared" si="28"/>
        <v>0</v>
      </c>
    </row>
    <row r="80" spans="5:26" ht="18" customHeight="1">
      <c r="E80" s="581"/>
      <c r="F80" s="260" t="s">
        <v>319</v>
      </c>
      <c r="G80" s="261">
        <f t="shared" ref="G80:Z80" si="29">SUM(G77:G79)</f>
        <v>8936000</v>
      </c>
      <c r="H80" s="261">
        <f t="shared" si="29"/>
        <v>10669200</v>
      </c>
      <c r="I80" s="261">
        <f t="shared" si="29"/>
        <v>10150800</v>
      </c>
      <c r="J80" s="261">
        <f t="shared" si="29"/>
        <v>9600000</v>
      </c>
      <c r="K80" s="261">
        <f t="shared" si="29"/>
        <v>9600000</v>
      </c>
      <c r="L80" s="261">
        <f t="shared" si="29"/>
        <v>11450000</v>
      </c>
      <c r="M80" s="261">
        <f t="shared" si="29"/>
        <v>10450000</v>
      </c>
      <c r="N80" s="261">
        <f t="shared" si="29"/>
        <v>9600000</v>
      </c>
      <c r="O80" s="261">
        <f t="shared" si="29"/>
        <v>10590000</v>
      </c>
      <c r="P80" s="261">
        <f t="shared" si="29"/>
        <v>10110000</v>
      </c>
      <c r="Q80" s="261">
        <f t="shared" si="29"/>
        <v>9600000</v>
      </c>
      <c r="R80" s="261">
        <f t="shared" si="29"/>
        <v>9600000</v>
      </c>
      <c r="S80" s="261">
        <f t="shared" si="29"/>
        <v>9600000</v>
      </c>
      <c r="T80" s="261">
        <f t="shared" si="29"/>
        <v>9600000</v>
      </c>
      <c r="U80" s="261">
        <f t="shared" si="29"/>
        <v>3264000.0000000005</v>
      </c>
      <c r="V80" s="261">
        <f t="shared" si="29"/>
        <v>0</v>
      </c>
      <c r="W80" s="261">
        <f t="shared" si="29"/>
        <v>0</v>
      </c>
      <c r="X80" s="261">
        <f t="shared" si="29"/>
        <v>0</v>
      </c>
      <c r="Y80" s="261">
        <f t="shared" si="29"/>
        <v>0</v>
      </c>
      <c r="Z80" s="261">
        <f t="shared" si="29"/>
        <v>0</v>
      </c>
    </row>
    <row r="81" spans="2:26" ht="18" customHeight="1">
      <c r="E81" s="582" t="s">
        <v>320</v>
      </c>
      <c r="F81" s="262" t="s">
        <v>321</v>
      </c>
      <c r="G81" s="263">
        <f t="shared" ref="G81:Z81" si="30">+G24*$C24</f>
        <v>22000.000000000018</v>
      </c>
      <c r="H81" s="263">
        <f t="shared" si="30"/>
        <v>22000.000000000018</v>
      </c>
      <c r="I81" s="263">
        <f t="shared" si="30"/>
        <v>22000.000000000018</v>
      </c>
      <c r="J81" s="263">
        <f t="shared" si="30"/>
        <v>22000.000000000018</v>
      </c>
      <c r="K81" s="263">
        <f t="shared" si="30"/>
        <v>22000.000000000018</v>
      </c>
      <c r="L81" s="263">
        <f t="shared" si="30"/>
        <v>28375.000000000025</v>
      </c>
      <c r="M81" s="263">
        <f t="shared" si="30"/>
        <v>22000.000000000018</v>
      </c>
      <c r="N81" s="263">
        <f t="shared" si="30"/>
        <v>22000.000000000018</v>
      </c>
      <c r="O81" s="263">
        <f t="shared" si="30"/>
        <v>25825.000000000022</v>
      </c>
      <c r="P81" s="263">
        <f t="shared" si="30"/>
        <v>21825.000000000018</v>
      </c>
      <c r="Q81" s="263">
        <f t="shared" si="30"/>
        <v>21825.000000000018</v>
      </c>
      <c r="R81" s="263">
        <f t="shared" si="30"/>
        <v>21825.000000000018</v>
      </c>
      <c r="S81" s="263">
        <f t="shared" si="30"/>
        <v>21650.000000000018</v>
      </c>
      <c r="T81" s="263">
        <f t="shared" si="30"/>
        <v>21650.000000000018</v>
      </c>
      <c r="U81" s="263">
        <f t="shared" si="30"/>
        <v>0</v>
      </c>
      <c r="V81" s="263">
        <f t="shared" si="30"/>
        <v>0</v>
      </c>
      <c r="W81" s="263">
        <f t="shared" si="30"/>
        <v>0</v>
      </c>
      <c r="X81" s="263">
        <f t="shared" si="30"/>
        <v>0</v>
      </c>
      <c r="Y81" s="263">
        <f t="shared" si="30"/>
        <v>0</v>
      </c>
      <c r="Z81" s="263">
        <f t="shared" si="30"/>
        <v>0</v>
      </c>
    </row>
    <row r="82" spans="2:26" ht="18" customHeight="1">
      <c r="E82" s="580"/>
      <c r="F82" s="256" t="s">
        <v>322</v>
      </c>
      <c r="G82" s="257">
        <v>1500000</v>
      </c>
      <c r="H82" s="257">
        <f t="shared" ref="H82:Z82" si="31">+G24*$B24</f>
        <v>2178000</v>
      </c>
      <c r="I82" s="257">
        <f t="shared" si="31"/>
        <v>2178000</v>
      </c>
      <c r="J82" s="257">
        <f t="shared" si="31"/>
        <v>2178000</v>
      </c>
      <c r="K82" s="257">
        <f t="shared" si="31"/>
        <v>2178000</v>
      </c>
      <c r="L82" s="257">
        <f t="shared" si="31"/>
        <v>2178000</v>
      </c>
      <c r="M82" s="257">
        <f t="shared" si="31"/>
        <v>2809125</v>
      </c>
      <c r="N82" s="257">
        <f t="shared" si="31"/>
        <v>2178000</v>
      </c>
      <c r="O82" s="257">
        <f t="shared" si="31"/>
        <v>2178000</v>
      </c>
      <c r="P82" s="257">
        <f t="shared" si="31"/>
        <v>2556675</v>
      </c>
      <c r="Q82" s="257">
        <f t="shared" si="31"/>
        <v>2160675</v>
      </c>
      <c r="R82" s="257">
        <f t="shared" si="31"/>
        <v>2160675</v>
      </c>
      <c r="S82" s="257">
        <f t="shared" si="31"/>
        <v>2160675</v>
      </c>
      <c r="T82" s="257">
        <f t="shared" si="31"/>
        <v>2143350</v>
      </c>
      <c r="U82" s="257">
        <f t="shared" si="31"/>
        <v>2143350</v>
      </c>
      <c r="V82" s="257">
        <f t="shared" si="31"/>
        <v>0</v>
      </c>
      <c r="W82" s="257">
        <f t="shared" si="31"/>
        <v>0</v>
      </c>
      <c r="X82" s="257">
        <f t="shared" si="31"/>
        <v>0</v>
      </c>
      <c r="Y82" s="257">
        <f t="shared" si="31"/>
        <v>0</v>
      </c>
      <c r="Z82" s="257">
        <f t="shared" si="31"/>
        <v>0</v>
      </c>
    </row>
    <row r="83" spans="2:26" ht="18" customHeight="1">
      <c r="E83" s="580"/>
      <c r="F83" s="264" t="s">
        <v>323</v>
      </c>
      <c r="G83" s="257">
        <v>3500000</v>
      </c>
      <c r="H83" s="257">
        <f>G34+G55-G84-G40</f>
        <v>2852319</v>
      </c>
      <c r="I83" s="257">
        <f>H34+H55-H84-H40</f>
        <v>2852319</v>
      </c>
      <c r="J83" s="257">
        <f>I34+I55-I84-I40</f>
        <v>3047319</v>
      </c>
      <c r="K83" s="257">
        <f>J34+J55-J84-J40</f>
        <v>2837319</v>
      </c>
      <c r="L83" s="257">
        <f>K34+K55-K84-K40</f>
        <v>2724319</v>
      </c>
      <c r="M83" s="257">
        <f>L34+L55-L84+L40</f>
        <v>4535497</v>
      </c>
      <c r="N83" s="257">
        <f t="shared" ref="N83:U83" si="32">M34+M55-M84+N40</f>
        <v>4110497</v>
      </c>
      <c r="O83" s="257">
        <f t="shared" si="32"/>
        <v>4110497</v>
      </c>
      <c r="P83" s="257">
        <f t="shared" ref="P83:R83" si="33">O34+O55-O84-O40</f>
        <v>2984319</v>
      </c>
      <c r="Q83" s="257">
        <f t="shared" si="33"/>
        <v>2731819</v>
      </c>
      <c r="R83" s="257">
        <f t="shared" si="33"/>
        <v>2731819</v>
      </c>
      <c r="S83" s="257">
        <f t="shared" si="32"/>
        <v>4172362</v>
      </c>
      <c r="T83" s="257">
        <f t="shared" si="32"/>
        <v>4377227</v>
      </c>
      <c r="U83" s="257">
        <f t="shared" si="32"/>
        <v>3627273</v>
      </c>
      <c r="V83" s="257">
        <f>U34+U55-U84</f>
        <v>0</v>
      </c>
      <c r="W83" s="257">
        <f>V34+V55-V84</f>
        <v>0</v>
      </c>
      <c r="X83" s="257">
        <f>W34+W55-W84</f>
        <v>0</v>
      </c>
      <c r="Y83" s="257">
        <f>X34+X55-X84</f>
        <v>0</v>
      </c>
      <c r="Z83" s="257">
        <f>Y34+Y55-Y84</f>
        <v>0</v>
      </c>
    </row>
    <row r="84" spans="2:26" ht="18" customHeight="1">
      <c r="B84" s="265"/>
      <c r="E84" s="580"/>
      <c r="F84" s="266" t="s">
        <v>324</v>
      </c>
      <c r="G84" s="267">
        <f t="shared" ref="G84:Z84" si="34">G36+G54+G46+G47+G38+G49+G42+G43+G45+G41+G39+G48+G50+G51+G53</f>
        <v>3508126</v>
      </c>
      <c r="H84" s="267">
        <f t="shared" si="34"/>
        <v>3368126</v>
      </c>
      <c r="I84" s="267">
        <f t="shared" si="34"/>
        <v>3498126</v>
      </c>
      <c r="J84" s="267">
        <f t="shared" si="34"/>
        <v>3368126</v>
      </c>
      <c r="K84" s="267">
        <f t="shared" si="34"/>
        <v>3369606</v>
      </c>
      <c r="L84" s="267">
        <f t="shared" si="34"/>
        <v>3822106</v>
      </c>
      <c r="M84" s="267">
        <f t="shared" si="34"/>
        <v>3369606</v>
      </c>
      <c r="N84" s="267">
        <f t="shared" si="34"/>
        <v>3369606</v>
      </c>
      <c r="O84" s="267">
        <f t="shared" si="34"/>
        <v>3595106</v>
      </c>
      <c r="P84" s="267">
        <f t="shared" si="34"/>
        <v>3596606</v>
      </c>
      <c r="Q84" s="267">
        <f t="shared" si="34"/>
        <v>3369606</v>
      </c>
      <c r="R84" s="267">
        <f t="shared" si="34"/>
        <v>3419606</v>
      </c>
      <c r="S84" s="267">
        <f t="shared" si="34"/>
        <v>3479127</v>
      </c>
      <c r="T84" s="267">
        <f t="shared" si="34"/>
        <v>3479127</v>
      </c>
      <c r="U84" s="267">
        <f t="shared" si="34"/>
        <v>0</v>
      </c>
      <c r="V84" s="267">
        <f t="shared" si="34"/>
        <v>0</v>
      </c>
      <c r="W84" s="267">
        <f t="shared" si="34"/>
        <v>0</v>
      </c>
      <c r="X84" s="267">
        <f t="shared" si="34"/>
        <v>0</v>
      </c>
      <c r="Y84" s="267">
        <f t="shared" si="34"/>
        <v>0</v>
      </c>
      <c r="Z84" s="267">
        <f t="shared" si="34"/>
        <v>0</v>
      </c>
    </row>
    <row r="85" spans="2:26" ht="18" customHeight="1">
      <c r="C85" s="216"/>
      <c r="D85" s="268"/>
      <c r="E85" s="580"/>
      <c r="F85" s="258" t="s">
        <v>325</v>
      </c>
      <c r="G85" s="259">
        <v>223333</v>
      </c>
      <c r="H85" s="259">
        <f t="shared" ref="H85:Z85" si="35">+H59</f>
        <v>120000</v>
      </c>
      <c r="I85" s="259">
        <f t="shared" si="35"/>
        <v>120000</v>
      </c>
      <c r="J85" s="259">
        <f t="shared" si="35"/>
        <v>120000</v>
      </c>
      <c r="K85" s="259">
        <f t="shared" si="35"/>
        <v>120000</v>
      </c>
      <c r="L85" s="259">
        <f t="shared" si="35"/>
        <v>120000</v>
      </c>
      <c r="M85" s="259">
        <f t="shared" si="35"/>
        <v>120000</v>
      </c>
      <c r="N85" s="259">
        <f t="shared" si="35"/>
        <v>120000</v>
      </c>
      <c r="O85" s="259">
        <f t="shared" si="35"/>
        <v>120000</v>
      </c>
      <c r="P85" s="259">
        <f t="shared" si="35"/>
        <v>120000</v>
      </c>
      <c r="Q85" s="259">
        <f t="shared" si="35"/>
        <v>120000</v>
      </c>
      <c r="R85" s="259">
        <f t="shared" si="35"/>
        <v>120000</v>
      </c>
      <c r="S85" s="259">
        <f t="shared" si="35"/>
        <v>120000</v>
      </c>
      <c r="T85" s="259">
        <f t="shared" si="35"/>
        <v>120000</v>
      </c>
      <c r="U85" s="259">
        <f t="shared" si="35"/>
        <v>0</v>
      </c>
      <c r="V85" s="259">
        <f t="shared" si="35"/>
        <v>0</v>
      </c>
      <c r="W85" s="259">
        <f t="shared" si="35"/>
        <v>0</v>
      </c>
      <c r="X85" s="259">
        <f t="shared" si="35"/>
        <v>0</v>
      </c>
      <c r="Y85" s="259">
        <f t="shared" si="35"/>
        <v>0</v>
      </c>
      <c r="Z85" s="259">
        <f t="shared" si="35"/>
        <v>0</v>
      </c>
    </row>
    <row r="86" spans="2:26" ht="18" customHeight="1" thickBot="1">
      <c r="C86" s="216"/>
      <c r="D86" s="268"/>
      <c r="E86" s="583"/>
      <c r="F86" s="269" t="s">
        <v>326</v>
      </c>
      <c r="G86" s="270">
        <f t="shared" ref="G86:L86" si="36">SUM(G81:G85)</f>
        <v>8753459</v>
      </c>
      <c r="H86" s="270">
        <f>SUM(H81:H85)</f>
        <v>8540445</v>
      </c>
      <c r="I86" s="270">
        <f t="shared" si="36"/>
        <v>8670445</v>
      </c>
      <c r="J86" s="270">
        <f t="shared" si="36"/>
        <v>8735445</v>
      </c>
      <c r="K86" s="270">
        <f t="shared" si="36"/>
        <v>8526925</v>
      </c>
      <c r="L86" s="270">
        <f t="shared" si="36"/>
        <v>8872800</v>
      </c>
      <c r="M86" s="270">
        <f t="shared" ref="M86:Z86" si="37">SUM(M81:M85)</f>
        <v>10856228</v>
      </c>
      <c r="N86" s="270">
        <f t="shared" si="37"/>
        <v>9800103</v>
      </c>
      <c r="O86" s="270">
        <f t="shared" si="37"/>
        <v>10029428</v>
      </c>
      <c r="P86" s="270">
        <f t="shared" si="37"/>
        <v>9279425</v>
      </c>
      <c r="Q86" s="270">
        <f t="shared" si="37"/>
        <v>8403925</v>
      </c>
      <c r="R86" s="270">
        <f t="shared" si="37"/>
        <v>8453925</v>
      </c>
      <c r="S86" s="270">
        <f t="shared" si="37"/>
        <v>9953814</v>
      </c>
      <c r="T86" s="270">
        <f t="shared" si="37"/>
        <v>10141354</v>
      </c>
      <c r="U86" s="270">
        <f t="shared" si="37"/>
        <v>5770623</v>
      </c>
      <c r="V86" s="270">
        <f t="shared" si="37"/>
        <v>0</v>
      </c>
      <c r="W86" s="270">
        <f t="shared" si="37"/>
        <v>0</v>
      </c>
      <c r="X86" s="270">
        <f t="shared" si="37"/>
        <v>0</v>
      </c>
      <c r="Y86" s="270">
        <f t="shared" si="37"/>
        <v>0</v>
      </c>
      <c r="Z86" s="270">
        <f t="shared" si="37"/>
        <v>0</v>
      </c>
    </row>
    <row r="87" spans="2:26" ht="18" customHeight="1" thickTop="1" thickBot="1">
      <c r="D87" s="216"/>
      <c r="E87" s="584" t="s">
        <v>327</v>
      </c>
      <c r="F87" s="585"/>
      <c r="G87" s="271">
        <f t="shared" ref="G87:Z87" si="38">+G80-G86</f>
        <v>182541</v>
      </c>
      <c r="H87" s="271">
        <f t="shared" si="38"/>
        <v>2128755</v>
      </c>
      <c r="I87" s="271">
        <f t="shared" si="38"/>
        <v>1480355</v>
      </c>
      <c r="J87" s="271">
        <f t="shared" si="38"/>
        <v>864555</v>
      </c>
      <c r="K87" s="271">
        <f t="shared" si="38"/>
        <v>1073075</v>
      </c>
      <c r="L87" s="271">
        <f t="shared" si="38"/>
        <v>2577200</v>
      </c>
      <c r="M87" s="271">
        <f t="shared" si="38"/>
        <v>-406228</v>
      </c>
      <c r="N87" s="271">
        <f t="shared" si="38"/>
        <v>-200103</v>
      </c>
      <c r="O87" s="271">
        <f t="shared" si="38"/>
        <v>560572</v>
      </c>
      <c r="P87" s="271">
        <f t="shared" si="38"/>
        <v>830575</v>
      </c>
      <c r="Q87" s="271">
        <f t="shared" si="38"/>
        <v>1196075</v>
      </c>
      <c r="R87" s="271">
        <f t="shared" si="38"/>
        <v>1146075</v>
      </c>
      <c r="S87" s="271">
        <f t="shared" si="38"/>
        <v>-353814</v>
      </c>
      <c r="T87" s="271">
        <f t="shared" si="38"/>
        <v>-541354</v>
      </c>
      <c r="U87" s="271">
        <f t="shared" si="38"/>
        <v>-2506622.9999999995</v>
      </c>
      <c r="V87" s="271">
        <f t="shared" si="38"/>
        <v>0</v>
      </c>
      <c r="W87" s="271">
        <f t="shared" si="38"/>
        <v>0</v>
      </c>
      <c r="X87" s="271">
        <f t="shared" si="38"/>
        <v>0</v>
      </c>
      <c r="Y87" s="271">
        <f t="shared" si="38"/>
        <v>0</v>
      </c>
      <c r="Z87" s="271">
        <f t="shared" si="38"/>
        <v>0</v>
      </c>
    </row>
    <row r="88" spans="2:26" ht="18" customHeight="1" thickTop="1">
      <c r="C88" s="216"/>
      <c r="E88" s="579" t="s">
        <v>328</v>
      </c>
      <c r="F88" s="272" t="s">
        <v>329</v>
      </c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</row>
    <row r="89" spans="2:26" ht="18" customHeight="1">
      <c r="C89" s="216"/>
      <c r="E89" s="580"/>
      <c r="F89" s="266" t="s">
        <v>330</v>
      </c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</row>
    <row r="90" spans="2:26" ht="18" customHeight="1">
      <c r="D90" s="216"/>
      <c r="E90" s="580"/>
      <c r="F90" s="410" t="s">
        <v>419</v>
      </c>
      <c r="G90" s="411"/>
      <c r="H90" s="411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1"/>
      <c r="X90" s="411"/>
      <c r="Y90" s="411"/>
      <c r="Z90" s="411"/>
    </row>
    <row r="91" spans="2:26" ht="18" customHeight="1">
      <c r="C91" s="216"/>
      <c r="E91" s="580"/>
      <c r="F91" s="273" t="s">
        <v>331</v>
      </c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spans="2:26" ht="18" customHeight="1">
      <c r="C92" s="216"/>
      <c r="E92" s="580"/>
      <c r="F92" s="275" t="s">
        <v>420</v>
      </c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</row>
    <row r="93" spans="2:26" ht="18" customHeight="1">
      <c r="E93" s="581"/>
      <c r="F93" s="260" t="s">
        <v>332</v>
      </c>
      <c r="G93" s="261">
        <f t="shared" ref="G93:Z93" si="39">SUM(G88:G92)</f>
        <v>0</v>
      </c>
      <c r="H93" s="261">
        <f t="shared" si="39"/>
        <v>0</v>
      </c>
      <c r="I93" s="261">
        <f t="shared" si="39"/>
        <v>0</v>
      </c>
      <c r="J93" s="261">
        <f t="shared" si="39"/>
        <v>0</v>
      </c>
      <c r="K93" s="261">
        <f t="shared" si="39"/>
        <v>0</v>
      </c>
      <c r="L93" s="261">
        <f t="shared" si="39"/>
        <v>0</v>
      </c>
      <c r="M93" s="261">
        <f t="shared" si="39"/>
        <v>0</v>
      </c>
      <c r="N93" s="261">
        <f t="shared" si="39"/>
        <v>0</v>
      </c>
      <c r="O93" s="261">
        <f t="shared" si="39"/>
        <v>0</v>
      </c>
      <c r="P93" s="261">
        <f t="shared" si="39"/>
        <v>0</v>
      </c>
      <c r="Q93" s="261">
        <f t="shared" si="39"/>
        <v>0</v>
      </c>
      <c r="R93" s="261">
        <f t="shared" si="39"/>
        <v>0</v>
      </c>
      <c r="S93" s="261">
        <f t="shared" si="39"/>
        <v>0</v>
      </c>
      <c r="T93" s="261">
        <f t="shared" si="39"/>
        <v>0</v>
      </c>
      <c r="U93" s="261">
        <f t="shared" si="39"/>
        <v>0</v>
      </c>
      <c r="V93" s="261">
        <f t="shared" si="39"/>
        <v>0</v>
      </c>
      <c r="W93" s="261">
        <f t="shared" si="39"/>
        <v>0</v>
      </c>
      <c r="X93" s="261">
        <f t="shared" si="39"/>
        <v>0</v>
      </c>
      <c r="Y93" s="261">
        <f t="shared" si="39"/>
        <v>0</v>
      </c>
      <c r="Z93" s="261">
        <f t="shared" si="39"/>
        <v>0</v>
      </c>
    </row>
    <row r="94" spans="2:26" ht="18" customHeight="1">
      <c r="E94" s="582" t="s">
        <v>333</v>
      </c>
      <c r="F94" s="276" t="s">
        <v>421</v>
      </c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</row>
    <row r="95" spans="2:26" ht="18" customHeight="1">
      <c r="E95" s="580"/>
      <c r="F95" s="278" t="s">
        <v>331</v>
      </c>
      <c r="G95" s="257">
        <v>3055</v>
      </c>
      <c r="H95" s="257">
        <v>3055</v>
      </c>
      <c r="I95" s="257">
        <v>3055</v>
      </c>
      <c r="J95" s="257">
        <v>3055</v>
      </c>
      <c r="K95" s="257">
        <v>3055</v>
      </c>
      <c r="L95" s="257">
        <v>3055</v>
      </c>
      <c r="M95" s="257">
        <v>3055</v>
      </c>
      <c r="N95" s="257">
        <v>3055</v>
      </c>
      <c r="O95" s="257">
        <v>3055</v>
      </c>
      <c r="P95" s="257">
        <v>3055</v>
      </c>
      <c r="Q95" s="257">
        <v>3055</v>
      </c>
      <c r="R95" s="257">
        <v>3055</v>
      </c>
      <c r="S95" s="257"/>
      <c r="T95" s="257"/>
      <c r="U95" s="257"/>
      <c r="V95" s="257"/>
      <c r="W95" s="257"/>
      <c r="X95" s="257"/>
      <c r="Y95" s="257"/>
      <c r="Z95" s="257"/>
    </row>
    <row r="96" spans="2:26" ht="18" customHeight="1">
      <c r="E96" s="580"/>
      <c r="F96" s="278" t="s">
        <v>422</v>
      </c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>
        <f>R64*30%</f>
        <v>2473806.6</v>
      </c>
      <c r="U96" s="257"/>
      <c r="V96" s="257"/>
      <c r="W96" s="257"/>
      <c r="X96" s="257"/>
      <c r="Y96" s="257"/>
      <c r="Z96" s="257"/>
    </row>
    <row r="97" spans="2:26" ht="18" customHeight="1">
      <c r="E97" s="580"/>
      <c r="F97" s="278" t="s">
        <v>423</v>
      </c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>
        <v>1000000</v>
      </c>
      <c r="U97" s="257"/>
      <c r="V97" s="257"/>
      <c r="W97" s="257"/>
      <c r="X97" s="257"/>
      <c r="Y97" s="257"/>
      <c r="Z97" s="257"/>
    </row>
    <row r="98" spans="2:26" ht="18" customHeight="1">
      <c r="E98" s="580"/>
      <c r="F98" s="279" t="s">
        <v>334</v>
      </c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</row>
    <row r="99" spans="2:26" ht="18" customHeight="1">
      <c r="E99" s="580"/>
      <c r="F99" s="280" t="s">
        <v>335</v>
      </c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</row>
    <row r="100" spans="2:26" ht="18" customHeight="1">
      <c r="E100" s="580"/>
      <c r="F100" s="282" t="s">
        <v>336</v>
      </c>
      <c r="G100" s="257">
        <f t="shared" ref="G100:Z100" si="40">SUM(G111:G118)</f>
        <v>235000</v>
      </c>
      <c r="H100" s="257">
        <f t="shared" si="40"/>
        <v>235000</v>
      </c>
      <c r="I100" s="257">
        <f t="shared" si="40"/>
        <v>235000</v>
      </c>
      <c r="J100" s="257">
        <f t="shared" si="40"/>
        <v>235000</v>
      </c>
      <c r="K100" s="257">
        <f t="shared" si="40"/>
        <v>235000</v>
      </c>
      <c r="L100" s="257">
        <f t="shared" si="40"/>
        <v>235000</v>
      </c>
      <c r="M100" s="257">
        <f t="shared" si="40"/>
        <v>235000</v>
      </c>
      <c r="N100" s="257">
        <f t="shared" si="40"/>
        <v>450000</v>
      </c>
      <c r="O100" s="257">
        <f t="shared" si="40"/>
        <v>480000</v>
      </c>
      <c r="P100" s="257">
        <f t="shared" si="40"/>
        <v>480000</v>
      </c>
      <c r="Q100" s="257">
        <f t="shared" si="40"/>
        <v>480000</v>
      </c>
      <c r="R100" s="257">
        <f t="shared" si="40"/>
        <v>480000</v>
      </c>
      <c r="S100" s="257">
        <f t="shared" si="40"/>
        <v>480000</v>
      </c>
      <c r="T100" s="257">
        <f t="shared" si="40"/>
        <v>480000</v>
      </c>
      <c r="U100" s="257">
        <f t="shared" si="40"/>
        <v>480000</v>
      </c>
      <c r="V100" s="257">
        <f t="shared" si="40"/>
        <v>480000</v>
      </c>
      <c r="W100" s="257">
        <f t="shared" si="40"/>
        <v>958000</v>
      </c>
      <c r="X100" s="257">
        <f t="shared" si="40"/>
        <v>480000</v>
      </c>
      <c r="Y100" s="257">
        <f t="shared" si="40"/>
        <v>719000</v>
      </c>
      <c r="Z100" s="257">
        <f t="shared" si="40"/>
        <v>719000</v>
      </c>
    </row>
    <row r="101" spans="2:26" ht="18" customHeight="1">
      <c r="E101" s="580"/>
      <c r="F101" s="283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</row>
    <row r="102" spans="2:26" ht="18" customHeight="1" thickBot="1">
      <c r="E102" s="583"/>
      <c r="F102" s="269" t="s">
        <v>337</v>
      </c>
      <c r="G102" s="270">
        <f t="shared" ref="G102:Z102" si="41">SUM(G94:G101)</f>
        <v>238055</v>
      </c>
      <c r="H102" s="270">
        <f t="shared" si="41"/>
        <v>238055</v>
      </c>
      <c r="I102" s="270">
        <f t="shared" si="41"/>
        <v>238055</v>
      </c>
      <c r="J102" s="270">
        <f t="shared" si="41"/>
        <v>238055</v>
      </c>
      <c r="K102" s="270">
        <f t="shared" si="41"/>
        <v>238055</v>
      </c>
      <c r="L102" s="270">
        <f t="shared" si="41"/>
        <v>238055</v>
      </c>
      <c r="M102" s="270">
        <f t="shared" si="41"/>
        <v>238055</v>
      </c>
      <c r="N102" s="270">
        <f t="shared" si="41"/>
        <v>453055</v>
      </c>
      <c r="O102" s="270">
        <f t="shared" si="41"/>
        <v>483055</v>
      </c>
      <c r="P102" s="270">
        <f t="shared" si="41"/>
        <v>483055</v>
      </c>
      <c r="Q102" s="270">
        <f t="shared" si="41"/>
        <v>483055</v>
      </c>
      <c r="R102" s="270">
        <f t="shared" si="41"/>
        <v>483055</v>
      </c>
      <c r="S102" s="270">
        <f t="shared" si="41"/>
        <v>480000</v>
      </c>
      <c r="T102" s="270">
        <f t="shared" si="41"/>
        <v>3953806.6</v>
      </c>
      <c r="U102" s="270">
        <f t="shared" si="41"/>
        <v>480000</v>
      </c>
      <c r="V102" s="270">
        <f t="shared" si="41"/>
        <v>480000</v>
      </c>
      <c r="W102" s="270">
        <f t="shared" si="41"/>
        <v>958000</v>
      </c>
      <c r="X102" s="270">
        <f t="shared" si="41"/>
        <v>480000</v>
      </c>
      <c r="Y102" s="270">
        <f t="shared" si="41"/>
        <v>719000</v>
      </c>
      <c r="Z102" s="270">
        <f t="shared" si="41"/>
        <v>719000</v>
      </c>
    </row>
    <row r="103" spans="2:26" ht="18" customHeight="1" thickTop="1" thickBot="1">
      <c r="E103" s="584" t="s">
        <v>338</v>
      </c>
      <c r="F103" s="585"/>
      <c r="G103" s="271">
        <f t="shared" ref="G103:Z103" si="42">+G93-G102</f>
        <v>-238055</v>
      </c>
      <c r="H103" s="271">
        <f t="shared" si="42"/>
        <v>-238055</v>
      </c>
      <c r="I103" s="271">
        <f t="shared" si="42"/>
        <v>-238055</v>
      </c>
      <c r="J103" s="271">
        <f t="shared" si="42"/>
        <v>-238055</v>
      </c>
      <c r="K103" s="271">
        <f t="shared" si="42"/>
        <v>-238055</v>
      </c>
      <c r="L103" s="271">
        <f t="shared" si="42"/>
        <v>-238055</v>
      </c>
      <c r="M103" s="271">
        <f t="shared" si="42"/>
        <v>-238055</v>
      </c>
      <c r="N103" s="271">
        <f t="shared" si="42"/>
        <v>-453055</v>
      </c>
      <c r="O103" s="271">
        <f t="shared" si="42"/>
        <v>-483055</v>
      </c>
      <c r="P103" s="271">
        <f t="shared" si="42"/>
        <v>-483055</v>
      </c>
      <c r="Q103" s="271">
        <f t="shared" si="42"/>
        <v>-483055</v>
      </c>
      <c r="R103" s="271">
        <f t="shared" si="42"/>
        <v>-483055</v>
      </c>
      <c r="S103" s="271">
        <f t="shared" si="42"/>
        <v>-480000</v>
      </c>
      <c r="T103" s="271">
        <f t="shared" si="42"/>
        <v>-3953806.6</v>
      </c>
      <c r="U103" s="271">
        <f t="shared" si="42"/>
        <v>-480000</v>
      </c>
      <c r="V103" s="271">
        <f t="shared" si="42"/>
        <v>-480000</v>
      </c>
      <c r="W103" s="271">
        <f t="shared" si="42"/>
        <v>-958000</v>
      </c>
      <c r="X103" s="271">
        <f t="shared" si="42"/>
        <v>-480000</v>
      </c>
      <c r="Y103" s="271">
        <f t="shared" si="42"/>
        <v>-719000</v>
      </c>
      <c r="Z103" s="271">
        <f t="shared" si="42"/>
        <v>-719000</v>
      </c>
    </row>
    <row r="104" spans="2:26" ht="35.450000000000003" customHeight="1" thickTop="1" thickBot="1">
      <c r="E104" s="584" t="s">
        <v>339</v>
      </c>
      <c r="F104" s="585"/>
      <c r="G104" s="284">
        <f t="shared" ref="G104:Z104" si="43">+G87+G103</f>
        <v>-55514</v>
      </c>
      <c r="H104" s="284">
        <f>+H87+H103</f>
        <v>1890700</v>
      </c>
      <c r="I104" s="284">
        <f t="shared" si="43"/>
        <v>1242300</v>
      </c>
      <c r="J104" s="284">
        <f t="shared" si="43"/>
        <v>626500</v>
      </c>
      <c r="K104" s="284">
        <f t="shared" si="43"/>
        <v>835020</v>
      </c>
      <c r="L104" s="284">
        <f t="shared" si="43"/>
        <v>2339145</v>
      </c>
      <c r="M104" s="284">
        <f t="shared" si="43"/>
        <v>-644283</v>
      </c>
      <c r="N104" s="284">
        <f t="shared" si="43"/>
        <v>-653158</v>
      </c>
      <c r="O104" s="284">
        <f t="shared" si="43"/>
        <v>77517</v>
      </c>
      <c r="P104" s="284">
        <f t="shared" si="43"/>
        <v>347520</v>
      </c>
      <c r="Q104" s="284">
        <f t="shared" si="43"/>
        <v>713020</v>
      </c>
      <c r="R104" s="284">
        <f t="shared" si="43"/>
        <v>663020</v>
      </c>
      <c r="S104" s="284">
        <f t="shared" si="43"/>
        <v>-833814</v>
      </c>
      <c r="T104" s="284">
        <f t="shared" si="43"/>
        <v>-4495160.5999999996</v>
      </c>
      <c r="U104" s="284">
        <f t="shared" si="43"/>
        <v>-2986622.9999999995</v>
      </c>
      <c r="V104" s="284">
        <f t="shared" si="43"/>
        <v>-480000</v>
      </c>
      <c r="W104" s="284">
        <f t="shared" si="43"/>
        <v>-958000</v>
      </c>
      <c r="X104" s="284">
        <f t="shared" si="43"/>
        <v>-480000</v>
      </c>
      <c r="Y104" s="284">
        <f t="shared" si="43"/>
        <v>-719000</v>
      </c>
      <c r="Z104" s="284">
        <f t="shared" si="43"/>
        <v>-719000</v>
      </c>
    </row>
    <row r="105" spans="2:26" ht="43.5" customHeight="1" thickTop="1" thickBot="1">
      <c r="E105" s="586" t="s">
        <v>340</v>
      </c>
      <c r="F105" s="587"/>
      <c r="G105" s="412">
        <f t="shared" ref="G105:Z105" si="44">+G76+G104</f>
        <v>40344486</v>
      </c>
      <c r="H105" s="412">
        <f>+H76+H104</f>
        <v>42235186</v>
      </c>
      <c r="I105" s="412">
        <f t="shared" si="44"/>
        <v>43477486</v>
      </c>
      <c r="J105" s="412">
        <f t="shared" si="44"/>
        <v>44103986</v>
      </c>
      <c r="K105" s="412">
        <f t="shared" si="44"/>
        <v>44939006</v>
      </c>
      <c r="L105" s="412">
        <f t="shared" si="44"/>
        <v>47278151</v>
      </c>
      <c r="M105" s="412">
        <f t="shared" si="44"/>
        <v>46633868</v>
      </c>
      <c r="N105" s="412">
        <f t="shared" si="44"/>
        <v>45980710</v>
      </c>
      <c r="O105" s="412">
        <f t="shared" si="44"/>
        <v>46058227</v>
      </c>
      <c r="P105" s="412">
        <f t="shared" si="44"/>
        <v>347520</v>
      </c>
      <c r="Q105" s="412">
        <f t="shared" si="44"/>
        <v>1060540</v>
      </c>
      <c r="R105" s="412">
        <f t="shared" si="44"/>
        <v>1723560</v>
      </c>
      <c r="S105" s="412">
        <f t="shared" si="44"/>
        <v>889746</v>
      </c>
      <c r="T105" s="412">
        <f t="shared" si="44"/>
        <v>-3605414.5999999996</v>
      </c>
      <c r="U105" s="412">
        <f t="shared" si="44"/>
        <v>-6592037.5999999996</v>
      </c>
      <c r="V105" s="412">
        <f t="shared" si="44"/>
        <v>-7072037.5999999996</v>
      </c>
      <c r="W105" s="412">
        <f t="shared" si="44"/>
        <v>-8030037.5999999996</v>
      </c>
      <c r="X105" s="412">
        <f t="shared" si="44"/>
        <v>-8510037.5999999996</v>
      </c>
      <c r="Y105" s="412">
        <f t="shared" si="44"/>
        <v>-9229037.5999999996</v>
      </c>
      <c r="Z105" s="412">
        <f t="shared" si="44"/>
        <v>-9948037.5999999996</v>
      </c>
    </row>
    <row r="106" spans="2:26" ht="25.9" customHeight="1" thickTop="1" thickBot="1">
      <c r="E106" s="588" t="s">
        <v>424</v>
      </c>
      <c r="F106" s="589"/>
      <c r="G106" s="413">
        <f t="shared" ref="G106:Z106" si="45">G57+G40-G100</f>
        <v>804555</v>
      </c>
      <c r="H106" s="413">
        <f t="shared" si="45"/>
        <v>2564555</v>
      </c>
      <c r="I106" s="413">
        <f t="shared" si="45"/>
        <v>619555</v>
      </c>
      <c r="J106" s="413">
        <f t="shared" si="45"/>
        <v>959555</v>
      </c>
      <c r="K106" s="413">
        <f t="shared" si="45"/>
        <v>1071075</v>
      </c>
      <c r="L106" s="413">
        <f t="shared" si="45"/>
        <v>2051075</v>
      </c>
      <c r="M106" s="413">
        <f t="shared" si="45"/>
        <v>1066075</v>
      </c>
      <c r="N106" s="413">
        <f t="shared" si="45"/>
        <v>851075</v>
      </c>
      <c r="O106" s="413">
        <f t="shared" si="45"/>
        <v>1458075</v>
      </c>
      <c r="P106" s="413">
        <f t="shared" ref="P106:R106" si="46">P63+P40-P100</f>
        <v>489075</v>
      </c>
      <c r="Q106" s="413">
        <f t="shared" si="46"/>
        <v>716075</v>
      </c>
      <c r="R106" s="413">
        <f t="shared" si="46"/>
        <v>666075</v>
      </c>
      <c r="S106" s="413">
        <f t="shared" si="45"/>
        <v>598554</v>
      </c>
      <c r="T106" s="413">
        <f t="shared" si="45"/>
        <v>598554</v>
      </c>
      <c r="U106" s="413">
        <f t="shared" si="45"/>
        <v>-480000</v>
      </c>
      <c r="V106" s="413">
        <f t="shared" si="45"/>
        <v>-480000</v>
      </c>
      <c r="W106" s="413">
        <f t="shared" si="45"/>
        <v>-958000</v>
      </c>
      <c r="X106" s="413">
        <f t="shared" si="45"/>
        <v>-480000</v>
      </c>
      <c r="Y106" s="413">
        <f t="shared" si="45"/>
        <v>-719000</v>
      </c>
      <c r="Z106" s="413">
        <f t="shared" si="45"/>
        <v>-719000</v>
      </c>
    </row>
    <row r="107" spans="2:26" s="268" customFormat="1" ht="38.65" customHeight="1">
      <c r="F107" s="285" t="s">
        <v>341</v>
      </c>
    </row>
    <row r="108" spans="2:26" ht="31.5" customHeight="1">
      <c r="F108" s="286" t="s">
        <v>342</v>
      </c>
      <c r="G108" s="287">
        <f t="shared" ref="G108:Z108" si="47">G105-G107</f>
        <v>40344486</v>
      </c>
      <c r="H108" s="287">
        <f t="shared" si="47"/>
        <v>42235186</v>
      </c>
      <c r="I108" s="287">
        <f t="shared" si="47"/>
        <v>43477486</v>
      </c>
      <c r="J108" s="287">
        <f t="shared" si="47"/>
        <v>44103986</v>
      </c>
      <c r="K108" s="287">
        <f t="shared" si="47"/>
        <v>44939006</v>
      </c>
      <c r="L108" s="287">
        <f t="shared" si="47"/>
        <v>47278151</v>
      </c>
      <c r="M108" s="287">
        <f t="shared" si="47"/>
        <v>46633868</v>
      </c>
      <c r="N108" s="287">
        <f t="shared" si="47"/>
        <v>45980710</v>
      </c>
      <c r="O108" s="287">
        <f t="shared" si="47"/>
        <v>46058227</v>
      </c>
      <c r="P108" s="287">
        <f t="shared" si="47"/>
        <v>347520</v>
      </c>
      <c r="Q108" s="287">
        <f t="shared" si="47"/>
        <v>1060540</v>
      </c>
      <c r="R108" s="287">
        <f t="shared" si="47"/>
        <v>1723560</v>
      </c>
      <c r="S108" s="287">
        <f t="shared" si="47"/>
        <v>889746</v>
      </c>
      <c r="T108" s="287">
        <f t="shared" si="47"/>
        <v>-3605414.5999999996</v>
      </c>
      <c r="U108" s="287">
        <f t="shared" si="47"/>
        <v>-6592037.5999999996</v>
      </c>
      <c r="V108" s="287">
        <f t="shared" si="47"/>
        <v>-7072037.5999999996</v>
      </c>
      <c r="W108" s="287">
        <f t="shared" si="47"/>
        <v>-8030037.5999999996</v>
      </c>
      <c r="X108" s="287">
        <f t="shared" si="47"/>
        <v>-8510037.5999999996</v>
      </c>
      <c r="Y108" s="287">
        <f t="shared" si="47"/>
        <v>-9229037.5999999996</v>
      </c>
      <c r="Z108" s="287">
        <f t="shared" si="47"/>
        <v>-9948037.5999999996</v>
      </c>
    </row>
    <row r="109" spans="2:26">
      <c r="D109" s="288"/>
    </row>
    <row r="110" spans="2:26">
      <c r="B110" s="289" t="s">
        <v>343</v>
      </c>
      <c r="C110" s="289"/>
      <c r="D110" s="290" t="s">
        <v>344</v>
      </c>
      <c r="E110" s="290"/>
      <c r="F110" s="290" t="s">
        <v>345</v>
      </c>
    </row>
    <row r="111" spans="2:26" ht="17.649999999999999">
      <c r="B111" s="291" t="s">
        <v>346</v>
      </c>
      <c r="C111" s="291" t="s">
        <v>347</v>
      </c>
      <c r="D111" s="291" t="s">
        <v>348</v>
      </c>
      <c r="E111" s="291" t="s">
        <v>349</v>
      </c>
      <c r="F111" s="291" t="s">
        <v>350</v>
      </c>
      <c r="G111" s="204" t="str">
        <f t="shared" ref="G111:Z111" si="48">IF($E111&gt;=G$110,$F111,0)</f>
        <v>備考</v>
      </c>
      <c r="H111" s="204" t="str">
        <f t="shared" si="48"/>
        <v>備考</v>
      </c>
      <c r="I111" s="204" t="str">
        <f t="shared" si="48"/>
        <v>備考</v>
      </c>
      <c r="J111" s="204" t="str">
        <f t="shared" si="48"/>
        <v>備考</v>
      </c>
      <c r="K111" s="204" t="str">
        <f t="shared" si="48"/>
        <v>備考</v>
      </c>
      <c r="L111" s="204" t="str">
        <f t="shared" si="48"/>
        <v>備考</v>
      </c>
      <c r="M111" s="204" t="str">
        <f t="shared" si="48"/>
        <v>備考</v>
      </c>
      <c r="N111" s="204" t="str">
        <f t="shared" si="48"/>
        <v>備考</v>
      </c>
      <c r="O111" s="204" t="str">
        <f t="shared" si="48"/>
        <v>備考</v>
      </c>
      <c r="P111" s="204" t="str">
        <f t="shared" si="48"/>
        <v>備考</v>
      </c>
      <c r="Q111" s="204" t="str">
        <f t="shared" si="48"/>
        <v>備考</v>
      </c>
      <c r="R111" s="204" t="str">
        <f t="shared" si="48"/>
        <v>備考</v>
      </c>
      <c r="S111" s="204" t="str">
        <f t="shared" si="48"/>
        <v>備考</v>
      </c>
      <c r="T111" s="204" t="str">
        <f t="shared" si="48"/>
        <v>備考</v>
      </c>
      <c r="U111" s="204" t="str">
        <f t="shared" si="48"/>
        <v>備考</v>
      </c>
      <c r="V111" s="204" t="str">
        <f t="shared" si="48"/>
        <v>備考</v>
      </c>
      <c r="W111" s="204" t="str">
        <f t="shared" si="48"/>
        <v>備考</v>
      </c>
      <c r="X111" s="204" t="str">
        <f t="shared" si="48"/>
        <v>備考</v>
      </c>
      <c r="Y111" s="204" t="str">
        <f t="shared" si="48"/>
        <v>備考</v>
      </c>
      <c r="Z111" s="204" t="str">
        <f t="shared" si="48"/>
        <v>備考</v>
      </c>
    </row>
    <row r="112" spans="2:26" ht="17.649999999999999">
      <c r="B112" s="291"/>
      <c r="C112" s="292"/>
      <c r="D112" s="293"/>
      <c r="E112" s="294"/>
      <c r="F112" s="291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</row>
    <row r="113" spans="1:26" ht="17.649999999999999">
      <c r="A113" s="196" t="s">
        <v>456</v>
      </c>
      <c r="B113" s="291" t="s">
        <v>351</v>
      </c>
      <c r="C113" s="292">
        <v>245000</v>
      </c>
      <c r="D113" s="292">
        <v>23000000</v>
      </c>
      <c r="E113" s="294">
        <v>48913</v>
      </c>
      <c r="F113" s="291" t="s">
        <v>425</v>
      </c>
      <c r="G113" s="295"/>
      <c r="H113" s="295"/>
      <c r="I113" s="295"/>
      <c r="J113" s="295"/>
      <c r="K113" s="295"/>
      <c r="L113" s="295"/>
      <c r="M113" s="295"/>
      <c r="N113" s="295">
        <v>215000</v>
      </c>
      <c r="O113" s="295">
        <v>245000</v>
      </c>
      <c r="P113" s="295">
        <v>245000</v>
      </c>
      <c r="Q113" s="295">
        <v>245000</v>
      </c>
      <c r="R113" s="295">
        <v>245000</v>
      </c>
      <c r="S113" s="295">
        <v>245000</v>
      </c>
      <c r="T113" s="295">
        <v>245000</v>
      </c>
      <c r="U113" s="295">
        <v>245000</v>
      </c>
      <c r="V113" s="295">
        <v>245000</v>
      </c>
      <c r="W113" s="295">
        <v>245000</v>
      </c>
      <c r="X113" s="295">
        <v>245000</v>
      </c>
      <c r="Y113" s="295">
        <v>245000</v>
      </c>
      <c r="Z113" s="295">
        <v>245000</v>
      </c>
    </row>
    <row r="114" spans="1:26" ht="17.649999999999999">
      <c r="A114" s="196" t="s">
        <v>458</v>
      </c>
      <c r="B114" s="291" t="s">
        <v>426</v>
      </c>
      <c r="C114" s="292">
        <v>239000</v>
      </c>
      <c r="D114" s="292">
        <v>20000000</v>
      </c>
      <c r="E114" s="294">
        <v>48852</v>
      </c>
      <c r="F114" s="291" t="s">
        <v>427</v>
      </c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>
        <f>239000*2</f>
        <v>478000</v>
      </c>
      <c r="X114" s="295"/>
      <c r="Y114" s="295">
        <v>239000</v>
      </c>
      <c r="Z114" s="295">
        <v>239000</v>
      </c>
    </row>
    <row r="115" spans="1:26" ht="17.649999999999999">
      <c r="A115" s="196" t="s">
        <v>459</v>
      </c>
      <c r="B115" s="291" t="s">
        <v>428</v>
      </c>
      <c r="C115" s="292">
        <v>239000</v>
      </c>
      <c r="D115" s="292">
        <v>20000000</v>
      </c>
      <c r="E115" s="294">
        <v>49018</v>
      </c>
      <c r="F115" s="291" t="s">
        <v>429</v>
      </c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</row>
    <row r="116" spans="1:26" ht="17.649999999999999">
      <c r="A116" s="196" t="s">
        <v>460</v>
      </c>
      <c r="B116" s="291" t="s">
        <v>430</v>
      </c>
      <c r="C116" s="292">
        <v>715000</v>
      </c>
      <c r="D116" s="292">
        <v>60000000</v>
      </c>
      <c r="E116" s="294">
        <v>49025</v>
      </c>
      <c r="F116" s="291" t="s">
        <v>431</v>
      </c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</row>
    <row r="117" spans="1:26" ht="17.649999999999999">
      <c r="B117" s="291"/>
      <c r="C117" s="292"/>
      <c r="D117" s="292"/>
      <c r="E117" s="294"/>
      <c r="F117" s="291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</row>
    <row r="118" spans="1:26" ht="17.649999999999999">
      <c r="A118" s="196" t="s">
        <v>457</v>
      </c>
      <c r="B118" s="291" t="s">
        <v>352</v>
      </c>
      <c r="C118" s="292">
        <v>235000</v>
      </c>
      <c r="D118" s="292">
        <v>20000000</v>
      </c>
      <c r="E118" s="294">
        <v>47938</v>
      </c>
      <c r="F118" s="291" t="s">
        <v>353</v>
      </c>
      <c r="G118" s="295">
        <v>235000</v>
      </c>
      <c r="H118" s="295">
        <v>235000</v>
      </c>
      <c r="I118" s="295">
        <v>235000</v>
      </c>
      <c r="J118" s="295">
        <v>235000</v>
      </c>
      <c r="K118" s="295">
        <v>235000</v>
      </c>
      <c r="L118" s="295">
        <v>235000</v>
      </c>
      <c r="M118" s="295">
        <v>235000</v>
      </c>
      <c r="N118" s="295">
        <v>235000</v>
      </c>
      <c r="O118" s="295">
        <v>235000</v>
      </c>
      <c r="P118" s="295">
        <v>235000</v>
      </c>
      <c r="Q118" s="295">
        <v>235000</v>
      </c>
      <c r="R118" s="295">
        <v>235000</v>
      </c>
      <c r="S118" s="295">
        <v>235000</v>
      </c>
      <c r="T118" s="295">
        <v>235000</v>
      </c>
      <c r="U118" s="295">
        <v>235000</v>
      </c>
      <c r="V118" s="295">
        <v>235000</v>
      </c>
      <c r="W118" s="295">
        <v>235000</v>
      </c>
      <c r="X118" s="295">
        <v>235000</v>
      </c>
      <c r="Y118" s="295">
        <v>235000</v>
      </c>
      <c r="Z118" s="295">
        <v>235000</v>
      </c>
    </row>
    <row r="119" spans="1:26" ht="17.649999999999999">
      <c r="B119" s="291"/>
      <c r="C119" s="292"/>
      <c r="D119" s="292"/>
      <c r="E119" s="296"/>
      <c r="F119" s="291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</row>
    <row r="120" spans="1:26" ht="17.649999999999999">
      <c r="B120" s="291" t="s">
        <v>354</v>
      </c>
      <c r="C120" s="292">
        <f>SUM(C112:C118)</f>
        <v>1673000</v>
      </c>
      <c r="D120" s="292">
        <f>SUM(D112:D119)</f>
        <v>143000000</v>
      </c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1"/>
      <c r="P120" s="291"/>
      <c r="Q120" s="291"/>
      <c r="R120" s="291"/>
      <c r="S120" s="291"/>
      <c r="T120" s="291"/>
      <c r="U120" s="291"/>
      <c r="V120" s="291"/>
      <c r="W120" s="291"/>
      <c r="X120" s="291"/>
      <c r="Y120" s="291"/>
      <c r="Z120" s="291"/>
    </row>
    <row r="121" spans="1:26" ht="17.649999999999999" hidden="1">
      <c r="B121"/>
      <c r="C121"/>
      <c r="D121"/>
      <c r="E121"/>
      <c r="F121"/>
    </row>
    <row r="124" spans="1:26" s="204" customFormat="1" ht="35.65" customHeight="1">
      <c r="B124" s="297" t="s">
        <v>355</v>
      </c>
      <c r="C124" s="298"/>
      <c r="D124" s="298"/>
      <c r="E124" s="298"/>
      <c r="F124" s="299" t="s">
        <v>356</v>
      </c>
      <c r="G124" s="300">
        <f t="shared" ref="G124:Z124" si="49">SUM(G126:G136,G112:G119)</f>
        <v>235000</v>
      </c>
      <c r="H124" s="300">
        <f t="shared" si="49"/>
        <v>335000</v>
      </c>
      <c r="I124" s="300">
        <f t="shared" si="49"/>
        <v>335000</v>
      </c>
      <c r="J124" s="300">
        <f t="shared" si="49"/>
        <v>452000</v>
      </c>
      <c r="K124" s="300">
        <f t="shared" si="49"/>
        <v>452000</v>
      </c>
      <c r="L124" s="300">
        <f t="shared" si="49"/>
        <v>452000</v>
      </c>
      <c r="M124" s="300">
        <f t="shared" si="49"/>
        <v>536000</v>
      </c>
      <c r="N124" s="300">
        <f t="shared" si="49"/>
        <v>751000</v>
      </c>
      <c r="O124" s="300">
        <f t="shared" si="49"/>
        <v>781000</v>
      </c>
      <c r="P124" s="300">
        <f t="shared" si="49"/>
        <v>781000</v>
      </c>
      <c r="Q124" s="300">
        <f t="shared" si="49"/>
        <v>781000</v>
      </c>
      <c r="R124" s="300">
        <f t="shared" si="49"/>
        <v>781000</v>
      </c>
      <c r="S124" s="300">
        <f t="shared" si="49"/>
        <v>781000</v>
      </c>
      <c r="T124" s="300">
        <f t="shared" si="49"/>
        <v>781000</v>
      </c>
      <c r="U124" s="300">
        <f t="shared" si="49"/>
        <v>781000</v>
      </c>
      <c r="V124" s="300">
        <f t="shared" si="49"/>
        <v>781000</v>
      </c>
      <c r="W124" s="300">
        <f t="shared" si="49"/>
        <v>1259000</v>
      </c>
      <c r="X124" s="300">
        <f t="shared" si="49"/>
        <v>781000</v>
      </c>
      <c r="Y124" s="300">
        <f t="shared" si="49"/>
        <v>1020000</v>
      </c>
      <c r="Z124" s="300">
        <f t="shared" si="49"/>
        <v>1020000</v>
      </c>
    </row>
    <row r="125" spans="1:26" s="204" customFormat="1">
      <c r="B125" s="301"/>
      <c r="C125" s="301" t="s">
        <v>347</v>
      </c>
      <c r="D125" s="301" t="s">
        <v>357</v>
      </c>
      <c r="E125" s="301" t="s">
        <v>349</v>
      </c>
      <c r="F125" s="301" t="s">
        <v>350</v>
      </c>
    </row>
    <row r="126" spans="1:26" s="204" customFormat="1">
      <c r="B126" s="301"/>
      <c r="C126" s="295"/>
      <c r="D126" s="295"/>
      <c r="E126" s="302"/>
      <c r="G126" s="295"/>
      <c r="H126" s="295"/>
      <c r="I126" s="295"/>
      <c r="J126" s="295"/>
      <c r="K126" s="295"/>
      <c r="L126" s="295"/>
      <c r="M126" s="295"/>
    </row>
    <row r="127" spans="1:26" s="204" customFormat="1">
      <c r="B127" s="301" t="s">
        <v>358</v>
      </c>
      <c r="C127" s="295">
        <v>117000</v>
      </c>
      <c r="D127" s="295">
        <v>7000000</v>
      </c>
      <c r="E127" s="302">
        <v>47756</v>
      </c>
      <c r="F127" s="204" t="s">
        <v>359</v>
      </c>
      <c r="G127" s="295"/>
      <c r="H127" s="295"/>
      <c r="I127" s="295"/>
      <c r="J127" s="295">
        <v>117000</v>
      </c>
      <c r="K127" s="295">
        <v>117000</v>
      </c>
      <c r="L127" s="295">
        <v>117000</v>
      </c>
      <c r="M127" s="295">
        <v>117000</v>
      </c>
      <c r="N127" s="295">
        <v>117000</v>
      </c>
      <c r="O127" s="295">
        <v>117000</v>
      </c>
      <c r="P127" s="295">
        <v>117000</v>
      </c>
      <c r="Q127" s="295">
        <v>117000</v>
      </c>
      <c r="R127" s="295">
        <v>117000</v>
      </c>
      <c r="S127" s="295">
        <v>117000</v>
      </c>
      <c r="T127" s="295">
        <v>117000</v>
      </c>
      <c r="U127" s="295">
        <v>117000</v>
      </c>
      <c r="V127" s="295">
        <v>117000</v>
      </c>
      <c r="W127" s="295">
        <v>117000</v>
      </c>
      <c r="X127" s="295">
        <v>117000</v>
      </c>
      <c r="Y127" s="295">
        <v>117000</v>
      </c>
      <c r="Z127" s="295">
        <v>117000</v>
      </c>
    </row>
    <row r="128" spans="1:26" s="204" customFormat="1">
      <c r="B128" s="301"/>
      <c r="C128" s="295"/>
      <c r="D128" s="295"/>
      <c r="E128" s="302"/>
      <c r="F128" s="301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</row>
    <row r="129" spans="1:26" s="204" customFormat="1">
      <c r="B129" s="301" t="s">
        <v>360</v>
      </c>
      <c r="C129" s="295">
        <v>120000</v>
      </c>
      <c r="D129" s="295">
        <v>10000000</v>
      </c>
      <c r="E129" s="302">
        <v>49084</v>
      </c>
      <c r="F129" s="302">
        <v>46558</v>
      </c>
      <c r="G129" s="295"/>
      <c r="H129" s="295"/>
      <c r="I129" s="295"/>
      <c r="J129" s="295"/>
      <c r="K129" s="295"/>
      <c r="L129" s="295"/>
      <c r="M129" s="295"/>
    </row>
    <row r="130" spans="1:26" s="204" customFormat="1">
      <c r="B130" s="301"/>
      <c r="C130" s="295"/>
      <c r="D130" s="295"/>
      <c r="E130" s="302"/>
      <c r="F130" s="302"/>
      <c r="G130" s="295"/>
      <c r="H130" s="295"/>
      <c r="I130" s="295"/>
      <c r="J130" s="295"/>
      <c r="K130" s="295"/>
      <c r="L130" s="295"/>
      <c r="M130" s="295"/>
    </row>
    <row r="131" spans="1:26" s="204" customFormat="1">
      <c r="A131" s="204" t="s">
        <v>462</v>
      </c>
      <c r="B131" s="301" t="s">
        <v>361</v>
      </c>
      <c r="C131" s="295">
        <v>84000</v>
      </c>
      <c r="D131" s="295">
        <v>5000000</v>
      </c>
      <c r="E131" s="302">
        <v>47817</v>
      </c>
      <c r="F131" s="302">
        <v>46027</v>
      </c>
      <c r="G131" s="295"/>
      <c r="H131" s="295"/>
      <c r="I131" s="295"/>
      <c r="J131" s="295"/>
      <c r="K131" s="295"/>
      <c r="L131" s="295"/>
      <c r="M131" s="295">
        <v>84000</v>
      </c>
      <c r="N131" s="295">
        <v>84000</v>
      </c>
      <c r="O131" s="295">
        <v>84000</v>
      </c>
      <c r="P131" s="295">
        <v>84000</v>
      </c>
      <c r="Q131" s="295">
        <v>84000</v>
      </c>
      <c r="R131" s="295">
        <v>84000</v>
      </c>
      <c r="S131" s="295">
        <v>84000</v>
      </c>
      <c r="T131" s="295">
        <v>84000</v>
      </c>
      <c r="U131" s="295">
        <v>84000</v>
      </c>
      <c r="V131" s="295">
        <v>84000</v>
      </c>
      <c r="W131" s="295">
        <v>84000</v>
      </c>
      <c r="X131" s="295">
        <v>84000</v>
      </c>
      <c r="Y131" s="295">
        <v>84000</v>
      </c>
      <c r="Z131" s="295">
        <v>84000</v>
      </c>
    </row>
    <row r="132" spans="1:26" s="204" customFormat="1">
      <c r="B132" s="301"/>
      <c r="C132" s="295"/>
      <c r="D132" s="295"/>
      <c r="E132" s="302"/>
      <c r="F132" s="302"/>
      <c r="G132" s="295"/>
      <c r="H132" s="295"/>
      <c r="I132" s="295"/>
      <c r="J132" s="295"/>
      <c r="K132" s="295"/>
      <c r="L132" s="295"/>
      <c r="M132" s="295"/>
    </row>
    <row r="133" spans="1:26" s="204" customFormat="1">
      <c r="B133" s="301" t="s">
        <v>362</v>
      </c>
      <c r="C133" s="295">
        <v>50000</v>
      </c>
      <c r="D133" s="295">
        <v>3000000</v>
      </c>
      <c r="E133" s="302">
        <v>47686</v>
      </c>
      <c r="F133" s="302">
        <v>45891</v>
      </c>
      <c r="G133" s="295"/>
      <c r="H133" s="295">
        <v>50000</v>
      </c>
      <c r="I133" s="295">
        <v>50000</v>
      </c>
      <c r="J133" s="295">
        <v>50000</v>
      </c>
      <c r="K133" s="295">
        <v>50000</v>
      </c>
      <c r="L133" s="295">
        <v>50000</v>
      </c>
      <c r="M133" s="295">
        <v>50000</v>
      </c>
      <c r="N133" s="295">
        <v>50000</v>
      </c>
      <c r="O133" s="295">
        <v>50000</v>
      </c>
      <c r="P133" s="295">
        <v>50000</v>
      </c>
      <c r="Q133" s="295">
        <v>50000</v>
      </c>
      <c r="R133" s="295">
        <v>50000</v>
      </c>
      <c r="S133" s="295">
        <v>50000</v>
      </c>
      <c r="T133" s="295">
        <v>50000</v>
      </c>
      <c r="U133" s="295">
        <v>50000</v>
      </c>
      <c r="V133" s="295">
        <v>50000</v>
      </c>
      <c r="W133" s="295">
        <v>50000</v>
      </c>
      <c r="X133" s="295">
        <v>50000</v>
      </c>
      <c r="Y133" s="295">
        <v>50000</v>
      </c>
      <c r="Z133" s="295">
        <v>50000</v>
      </c>
    </row>
    <row r="134" spans="1:26" s="204" customFormat="1">
      <c r="A134" s="204" t="s">
        <v>461</v>
      </c>
      <c r="B134" s="301" t="s">
        <v>363</v>
      </c>
      <c r="C134" s="295">
        <v>50000</v>
      </c>
      <c r="D134" s="295">
        <v>3000000</v>
      </c>
      <c r="E134" s="302">
        <v>47686</v>
      </c>
      <c r="F134" s="302">
        <v>45891</v>
      </c>
      <c r="G134" s="295"/>
      <c r="H134" s="295">
        <v>50000</v>
      </c>
      <c r="I134" s="295">
        <v>50000</v>
      </c>
      <c r="J134" s="295">
        <v>50000</v>
      </c>
      <c r="K134" s="295">
        <v>50000</v>
      </c>
      <c r="L134" s="295">
        <v>50000</v>
      </c>
      <c r="M134" s="295">
        <v>50000</v>
      </c>
      <c r="N134" s="295">
        <v>50000</v>
      </c>
      <c r="O134" s="295">
        <v>50000</v>
      </c>
      <c r="P134" s="295">
        <v>50000</v>
      </c>
      <c r="Q134" s="295">
        <v>50000</v>
      </c>
      <c r="R134" s="295">
        <v>50000</v>
      </c>
      <c r="S134" s="295">
        <v>50000</v>
      </c>
      <c r="T134" s="295">
        <v>50000</v>
      </c>
      <c r="U134" s="295">
        <v>50000</v>
      </c>
      <c r="V134" s="295">
        <v>50000</v>
      </c>
      <c r="W134" s="295">
        <v>50000</v>
      </c>
      <c r="X134" s="295">
        <v>50000</v>
      </c>
      <c r="Y134" s="295">
        <v>50000</v>
      </c>
      <c r="Z134" s="295">
        <v>50000</v>
      </c>
    </row>
    <row r="135" spans="1:26" s="204" customFormat="1">
      <c r="C135" s="295"/>
      <c r="D135" s="295"/>
      <c r="G135" s="295"/>
      <c r="H135" s="295"/>
      <c r="I135" s="295"/>
      <c r="J135" s="295"/>
      <c r="K135" s="295"/>
      <c r="L135" s="295"/>
      <c r="M135" s="295"/>
    </row>
    <row r="136" spans="1:26" s="204" customFormat="1">
      <c r="G136" s="295"/>
      <c r="H136" s="295"/>
      <c r="I136" s="295"/>
      <c r="J136" s="295"/>
      <c r="K136" s="295"/>
      <c r="L136" s="295"/>
      <c r="M136" s="295"/>
    </row>
    <row r="137" spans="1:26">
      <c r="G137" s="268"/>
      <c r="H137" s="268"/>
      <c r="I137" s="268"/>
      <c r="J137" s="268"/>
      <c r="K137" s="268"/>
      <c r="L137" s="268"/>
      <c r="M137" s="268"/>
    </row>
    <row r="142" spans="1:26">
      <c r="F142" s="196">
        <f>IF(D142&lt;&gt;0,VLOOKUP([1]収支予測!D142,#REF!,2),0)</f>
        <v>0</v>
      </c>
    </row>
    <row r="143" spans="1:26">
      <c r="F143" s="196">
        <f>IF(D143&lt;&gt;0,VLOOKUP([1]収支予測!D143,#REF!,2),0)</f>
        <v>0</v>
      </c>
    </row>
    <row r="144" spans="1:26">
      <c r="F144" s="196">
        <f>IF(D144&lt;&gt;0,VLOOKUP([1]収支予測!D144,#REF!,2),0)</f>
        <v>0</v>
      </c>
    </row>
    <row r="145" spans="6:6">
      <c r="F145" s="196">
        <f>IF(D145&lt;&gt;0,VLOOKUP([1]収支予測!D145,#REF!,2),0)</f>
        <v>0</v>
      </c>
    </row>
    <row r="146" spans="6:6">
      <c r="F146" s="196">
        <f>IF(D146&lt;&gt;0,VLOOKUP([1]収支予測!D146,#REF!,2),0)</f>
        <v>0</v>
      </c>
    </row>
    <row r="147" spans="6:6">
      <c r="F147" s="196">
        <f>IF(D147&lt;&gt;0,VLOOKUP([1]収支予測!D147,#REF!,2),0)</f>
        <v>0</v>
      </c>
    </row>
    <row r="148" spans="6:6">
      <c r="F148" s="196">
        <f>IF(D148&lt;&gt;0,VLOOKUP([1]収支予測!D148,#REF!,2),0)</f>
        <v>0</v>
      </c>
    </row>
    <row r="149" spans="6:6">
      <c r="F149" s="196">
        <f>IF(D149&lt;&gt;0,VLOOKUP([1]収支予測!D149,#REF!,2),0)</f>
        <v>0</v>
      </c>
    </row>
    <row r="150" spans="6:6">
      <c r="F150" s="196">
        <f>IF(D150&lt;&gt;0,VLOOKUP([1]収支予測!D150,#REF!,2),0)</f>
        <v>0</v>
      </c>
    </row>
    <row r="151" spans="6:6">
      <c r="F151" s="196">
        <f>IF(D151&lt;&gt;0,VLOOKUP([1]収支予測!D151,#REF!,2),0)</f>
        <v>0</v>
      </c>
    </row>
    <row r="152" spans="6:6">
      <c r="F152" s="196">
        <f>IF(D152&lt;&gt;0,VLOOKUP([1]収支予測!D152,#REF!,2),0)</f>
        <v>0</v>
      </c>
    </row>
    <row r="153" spans="6:6">
      <c r="F153" s="196">
        <f>IF(D153&lt;&gt;0,VLOOKUP([1]収支予測!D153,#REF!,2),0)</f>
        <v>0</v>
      </c>
    </row>
    <row r="154" spans="6:6">
      <c r="F154" s="196">
        <f>IF(D154&lt;&gt;0,VLOOKUP([1]収支予測!D154,#REF!,2),0)</f>
        <v>0</v>
      </c>
    </row>
    <row r="155" spans="6:6">
      <c r="F155" s="196">
        <f>IF(D155&lt;&gt;0,VLOOKUP([1]収支予測!D155,#REF!,2),0)</f>
        <v>0</v>
      </c>
    </row>
    <row r="156" spans="6:6">
      <c r="F156" s="196">
        <f>IF(D156&lt;&gt;0,VLOOKUP([1]収支予測!D156,#REF!,2),0)</f>
        <v>0</v>
      </c>
    </row>
    <row r="157" spans="6:6">
      <c r="F157" s="196">
        <f>IF(D157&lt;&gt;0,VLOOKUP([1]収支予測!D157,#REF!,2),0)</f>
        <v>0</v>
      </c>
    </row>
    <row r="158" spans="6:6">
      <c r="F158" s="196">
        <f>IF(D158&lt;&gt;0,VLOOKUP([1]収支予測!D158,#REF!,2),0)</f>
        <v>0</v>
      </c>
    </row>
    <row r="159" spans="6:6">
      <c r="F159" s="196">
        <f>IF(D159&lt;&gt;0,VLOOKUP([1]収支予測!D159,#REF!,2),0)</f>
        <v>0</v>
      </c>
    </row>
    <row r="160" spans="6:6">
      <c r="F160" s="196">
        <f>IF(D160&lt;&gt;0,VLOOKUP([1]収支予測!D160,#REF!,2),0)</f>
        <v>0</v>
      </c>
    </row>
    <row r="161" spans="6:6">
      <c r="F161" s="196">
        <f>IF(D161&lt;&gt;0,VLOOKUP([1]収支予測!D161,#REF!,2),0)</f>
        <v>0</v>
      </c>
    </row>
    <row r="162" spans="6:6">
      <c r="F162" s="196">
        <f>IF(D162&lt;&gt;0,VLOOKUP([1]収支予測!D162,#REF!,2),0)</f>
        <v>0</v>
      </c>
    </row>
    <row r="163" spans="6:6">
      <c r="F163" s="196">
        <f>IF(D163&lt;&gt;0,VLOOKUP([1]収支予測!D163,#REF!,2),0)</f>
        <v>0</v>
      </c>
    </row>
    <row r="164" spans="6:6">
      <c r="F164" s="196">
        <f>IF(D164&lt;&gt;0,VLOOKUP([1]収支予測!D164,#REF!,2),0)</f>
        <v>0</v>
      </c>
    </row>
    <row r="165" spans="6:6">
      <c r="F165" s="196">
        <f>IF(D165&lt;&gt;0,VLOOKUP([1]収支予測!D165,#REF!,2),0)</f>
        <v>0</v>
      </c>
    </row>
    <row r="166" spans="6:6">
      <c r="F166" s="196">
        <f>IF(D166&lt;&gt;0,VLOOKUP([1]収支予測!D166,#REF!,2),0)</f>
        <v>0</v>
      </c>
    </row>
    <row r="167" spans="6:6">
      <c r="F167" s="196">
        <f>IF(D167&lt;&gt;0,VLOOKUP([1]収支予測!D167,#REF!,2),0)</f>
        <v>0</v>
      </c>
    </row>
    <row r="168" spans="6:6">
      <c r="F168" s="196">
        <f>IF(D168&lt;&gt;0,VLOOKUP([1]収支予測!D168,#REF!,2),0)</f>
        <v>0</v>
      </c>
    </row>
    <row r="169" spans="6:6">
      <c r="F169" s="196">
        <f>IF(D169&lt;&gt;0,VLOOKUP([1]収支予測!D169,#REF!,2),0)</f>
        <v>0</v>
      </c>
    </row>
    <row r="170" spans="6:6">
      <c r="F170" s="196">
        <f>IF(D170&lt;&gt;0,VLOOKUP([1]収支予測!D170,#REF!,2),0)</f>
        <v>0</v>
      </c>
    </row>
    <row r="171" spans="6:6">
      <c r="F171" s="196">
        <f>IF(D171&lt;&gt;0,VLOOKUP([1]収支予測!D171,#REF!,2),0)</f>
        <v>0</v>
      </c>
    </row>
    <row r="172" spans="6:6">
      <c r="F172" s="196">
        <f>IF(D172&lt;&gt;0,VLOOKUP([1]収支予測!D172,#REF!,2),0)</f>
        <v>0</v>
      </c>
    </row>
    <row r="173" spans="6:6">
      <c r="F173" s="196">
        <f>IF(D173&lt;&gt;0,VLOOKUP([1]収支予測!D173,#REF!,2),0)</f>
        <v>0</v>
      </c>
    </row>
    <row r="174" spans="6:6">
      <c r="F174" s="196">
        <f>IF(D174&lt;&gt;0,VLOOKUP([1]収支予測!D174,#REF!,2),0)</f>
        <v>0</v>
      </c>
    </row>
    <row r="175" spans="6:6">
      <c r="F175" s="196">
        <f>IF(D175&lt;&gt;0,VLOOKUP([1]収支予測!D175,#REF!,2),0)</f>
        <v>0</v>
      </c>
    </row>
    <row r="176" spans="6:6">
      <c r="F176" s="196">
        <f>IF(D176&lt;&gt;0,VLOOKUP([1]収支予測!D176,#REF!,2),0)</f>
        <v>0</v>
      </c>
    </row>
    <row r="177" spans="6:6">
      <c r="F177" s="196">
        <f>IF(D177&lt;&gt;0,VLOOKUP([1]収支予測!D177,#REF!,2),0)</f>
        <v>0</v>
      </c>
    </row>
    <row r="178" spans="6:6">
      <c r="F178" s="196">
        <f>IF(D178&lt;&gt;0,VLOOKUP([1]収支予測!D178,#REF!,2),0)</f>
        <v>0</v>
      </c>
    </row>
    <row r="179" spans="6:6">
      <c r="F179" s="196">
        <f>IF(D179&lt;&gt;0,VLOOKUP([1]収支予測!D179,#REF!,2),0)</f>
        <v>0</v>
      </c>
    </row>
    <row r="180" spans="6:6">
      <c r="F180" s="196">
        <f>IF(D180&lt;&gt;0,VLOOKUP([1]収支予測!D180,#REF!,2),0)</f>
        <v>0</v>
      </c>
    </row>
    <row r="181" spans="6:6">
      <c r="F181" s="196">
        <f>IF(D181&lt;&gt;0,VLOOKUP([1]収支予測!D181,#REF!,2),0)</f>
        <v>0</v>
      </c>
    </row>
    <row r="182" spans="6:6">
      <c r="F182" s="196">
        <f>IF(D182&lt;&gt;0,VLOOKUP([1]収支予測!D182,#REF!,2),0)</f>
        <v>0</v>
      </c>
    </row>
    <row r="183" spans="6:6">
      <c r="F183" s="196">
        <f>IF(D183&lt;&gt;0,VLOOKUP([1]収支予測!D183,#REF!,2),0)</f>
        <v>0</v>
      </c>
    </row>
    <row r="184" spans="6:6">
      <c r="F184" s="196">
        <f>IF(D184&lt;&gt;0,VLOOKUP([1]収支予測!D184,#REF!,2),0)</f>
        <v>0</v>
      </c>
    </row>
    <row r="185" spans="6:6">
      <c r="F185" s="196">
        <f>IF(D185&lt;&gt;0,VLOOKUP([1]収支予測!D185,#REF!,2),0)</f>
        <v>0</v>
      </c>
    </row>
    <row r="186" spans="6:6">
      <c r="F186" s="196">
        <f>IF(D186&lt;&gt;0,VLOOKUP([1]収支予測!D186,#REF!,2),0)</f>
        <v>0</v>
      </c>
    </row>
    <row r="187" spans="6:6">
      <c r="F187" s="196">
        <f>IF(D187&lt;&gt;0,VLOOKUP([1]収支予測!D187,#REF!,2),0)</f>
        <v>0</v>
      </c>
    </row>
    <row r="188" spans="6:6">
      <c r="F188" s="196">
        <f>IF(D188&lt;&gt;0,VLOOKUP([1]収支予測!D188,#REF!,2),0)</f>
        <v>0</v>
      </c>
    </row>
    <row r="189" spans="6:6">
      <c r="F189" s="196">
        <f>IF(D189&lt;&gt;0,VLOOKUP([1]収支予測!D189,#REF!,2),0)</f>
        <v>0</v>
      </c>
    </row>
    <row r="190" spans="6:6">
      <c r="F190" s="196">
        <f>IF(D190&lt;&gt;0,VLOOKUP([1]収支予測!D190,#REF!,2),0)</f>
        <v>0</v>
      </c>
    </row>
    <row r="191" spans="6:6">
      <c r="F191" s="196">
        <f>IF(D191&lt;&gt;0,VLOOKUP([1]収支予測!D191,#REF!,2),0)</f>
        <v>0</v>
      </c>
    </row>
    <row r="192" spans="6:6">
      <c r="F192" s="196">
        <f>IF(D192&lt;&gt;0,VLOOKUP([1]収支予測!D192,#REF!,2),0)</f>
        <v>0</v>
      </c>
    </row>
    <row r="193" spans="6:6">
      <c r="F193" s="196">
        <f>IF(D193&lt;&gt;0,VLOOKUP([1]収支予測!D193,#REF!,2),0)</f>
        <v>0</v>
      </c>
    </row>
    <row r="194" spans="6:6">
      <c r="F194" s="196">
        <f>IF(D194&lt;&gt;0,VLOOKUP([1]収支予測!D194,#REF!,2),0)</f>
        <v>0</v>
      </c>
    </row>
    <row r="195" spans="6:6">
      <c r="F195" s="196">
        <f>IF(D195&lt;&gt;0,VLOOKUP([1]収支予測!D195,#REF!,2),0)</f>
        <v>0</v>
      </c>
    </row>
    <row r="196" spans="6:6">
      <c r="F196" s="196">
        <f>IF(D196&lt;&gt;0,VLOOKUP([1]収支予測!D196,#REF!,2),0)</f>
        <v>0</v>
      </c>
    </row>
    <row r="197" spans="6:6">
      <c r="F197" s="196">
        <f>IF(D197&lt;&gt;0,VLOOKUP([1]収支予測!D197,#REF!,2),0)</f>
        <v>0</v>
      </c>
    </row>
    <row r="198" spans="6:6">
      <c r="F198" s="196">
        <f>IF(D198&lt;&gt;0,VLOOKUP([1]収支予測!D198,#REF!,2),0)</f>
        <v>0</v>
      </c>
    </row>
    <row r="199" spans="6:6">
      <c r="F199" s="196">
        <f>IF(D199&lt;&gt;0,VLOOKUP([1]収支予測!D199,#REF!,2),0)</f>
        <v>0</v>
      </c>
    </row>
    <row r="200" spans="6:6">
      <c r="F200" s="196">
        <f>IF(D200&lt;&gt;0,VLOOKUP([1]収支予測!D200,#REF!,2),0)</f>
        <v>0</v>
      </c>
    </row>
    <row r="201" spans="6:6">
      <c r="F201" s="196">
        <f>IF(D201&lt;&gt;0,VLOOKUP([1]収支予測!D201,#REF!,2),0)</f>
        <v>0</v>
      </c>
    </row>
    <row r="202" spans="6:6">
      <c r="F202" s="196">
        <f>IF(D202&lt;&gt;0,VLOOKUP([1]収支予測!D202,#REF!,2),0)</f>
        <v>0</v>
      </c>
    </row>
    <row r="203" spans="6:6">
      <c r="F203" s="196">
        <f>IF(D203&lt;&gt;0,VLOOKUP([1]収支予測!D203,#REF!,2),0)</f>
        <v>0</v>
      </c>
    </row>
    <row r="204" spans="6:6">
      <c r="F204" s="196">
        <f>IF(D204&lt;&gt;0,VLOOKUP([1]収支予測!D204,#REF!,2),0)</f>
        <v>0</v>
      </c>
    </row>
    <row r="205" spans="6:6">
      <c r="F205" s="196">
        <f>IF(D205&lt;&gt;0,VLOOKUP([1]収支予測!D205,#REF!,2),0)</f>
        <v>0</v>
      </c>
    </row>
    <row r="206" spans="6:6">
      <c r="F206" s="196">
        <f>IF(D206&lt;&gt;0,VLOOKUP([1]収支予測!D206,#REF!,2),0)</f>
        <v>0</v>
      </c>
    </row>
    <row r="207" spans="6:6">
      <c r="F207" s="196">
        <f>IF(D207&lt;&gt;0,VLOOKUP([1]収支予測!D207,#REF!,2),0)</f>
        <v>0</v>
      </c>
    </row>
    <row r="208" spans="6:6">
      <c r="F208" s="196">
        <f>IF(D208&lt;&gt;0,VLOOKUP([1]収支予測!D208,#REF!,2),0)</f>
        <v>0</v>
      </c>
    </row>
    <row r="209" spans="6:6">
      <c r="F209" s="196">
        <f>IF(D209&lt;&gt;0,VLOOKUP([1]収支予測!D209,#REF!,2),0)</f>
        <v>0</v>
      </c>
    </row>
    <row r="210" spans="6:6">
      <c r="F210" s="196">
        <f>IF(D210&lt;&gt;0,VLOOKUP([1]収支予測!D210,#REF!,2),0)</f>
        <v>0</v>
      </c>
    </row>
    <row r="211" spans="6:6">
      <c r="F211" s="196">
        <f>IF(D211&lt;&gt;0,VLOOKUP([1]収支予測!D211,#REF!,2),0)</f>
        <v>0</v>
      </c>
    </row>
    <row r="212" spans="6:6">
      <c r="F212" s="196">
        <f>IF(D212&lt;&gt;0,VLOOKUP([1]収支予測!D212,#REF!,2),0)</f>
        <v>0</v>
      </c>
    </row>
    <row r="213" spans="6:6">
      <c r="F213" s="196">
        <f>IF(D213&lt;&gt;0,VLOOKUP([1]収支予測!D213,#REF!,2),0)</f>
        <v>0</v>
      </c>
    </row>
    <row r="214" spans="6:6">
      <c r="F214" s="196">
        <f>IF(D214&lt;&gt;0,VLOOKUP([1]収支予測!D214,#REF!,2),0)</f>
        <v>0</v>
      </c>
    </row>
    <row r="215" spans="6:6">
      <c r="F215" s="196">
        <f>IF(D215&lt;&gt;0,VLOOKUP([1]収支予測!D215,#REF!,2),0)</f>
        <v>0</v>
      </c>
    </row>
    <row r="216" spans="6:6">
      <c r="F216" s="196">
        <f>IF(D216&lt;&gt;0,VLOOKUP([1]収支予測!D216,#REF!,2),0)</f>
        <v>0</v>
      </c>
    </row>
    <row r="217" spans="6:6">
      <c r="F217" s="196">
        <f>IF(D217&lt;&gt;0,VLOOKUP([1]収支予測!D217,#REF!,2),0)</f>
        <v>0</v>
      </c>
    </row>
    <row r="218" spans="6:6">
      <c r="F218" s="196">
        <f>IF(D218&lt;&gt;0,VLOOKUP([1]収支予測!D218,#REF!,2),0)</f>
        <v>0</v>
      </c>
    </row>
    <row r="219" spans="6:6">
      <c r="F219" s="196">
        <f>IF(D219&lt;&gt;0,VLOOKUP([1]収支予測!D219,#REF!,2),0)</f>
        <v>0</v>
      </c>
    </row>
    <row r="220" spans="6:6">
      <c r="F220" s="196">
        <f>IF(D220&lt;&gt;0,VLOOKUP([1]収支予測!D220,#REF!,2),0)</f>
        <v>0</v>
      </c>
    </row>
    <row r="221" spans="6:6">
      <c r="F221" s="196">
        <f>IF(D221&lt;&gt;0,VLOOKUP([1]収支予測!D221,#REF!,2),0)</f>
        <v>0</v>
      </c>
    </row>
    <row r="222" spans="6:6">
      <c r="F222" s="196">
        <f>IF(D222&lt;&gt;0,VLOOKUP([1]収支予測!D222,#REF!,2),0)</f>
        <v>0</v>
      </c>
    </row>
    <row r="223" spans="6:6">
      <c r="F223" s="196">
        <f>IF(D223&lt;&gt;0,VLOOKUP([1]収支予測!D223,#REF!,2),0)</f>
        <v>0</v>
      </c>
    </row>
    <row r="224" spans="6:6">
      <c r="F224" s="196">
        <f>IF(D224&lt;&gt;0,VLOOKUP([1]収支予測!D224,#REF!,2),0)</f>
        <v>0</v>
      </c>
    </row>
    <row r="225" spans="6:6">
      <c r="F225" s="196">
        <f>IF(D225&lt;&gt;0,VLOOKUP([1]収支予測!D225,#REF!,2),0)</f>
        <v>0</v>
      </c>
    </row>
    <row r="226" spans="6:6">
      <c r="F226" s="196">
        <f>IF(D226&lt;&gt;0,VLOOKUP([1]収支予測!D226,#REF!,2),0)</f>
        <v>0</v>
      </c>
    </row>
    <row r="227" spans="6:6">
      <c r="F227" s="196">
        <f>IF(D227&lt;&gt;0,VLOOKUP([1]収支予測!D227,#REF!,2),0)</f>
        <v>0</v>
      </c>
    </row>
    <row r="228" spans="6:6">
      <c r="F228" s="196">
        <f>IF(D228&lt;&gt;0,VLOOKUP([1]収支予測!D228,#REF!,2),0)</f>
        <v>0</v>
      </c>
    </row>
    <row r="229" spans="6:6">
      <c r="F229" s="196">
        <f>IF(D229&lt;&gt;0,VLOOKUP([1]収支予測!D229,#REF!,2),0)</f>
        <v>0</v>
      </c>
    </row>
    <row r="230" spans="6:6">
      <c r="F230" s="196">
        <f>IF(D230&lt;&gt;0,VLOOKUP([1]収支予測!D230,#REF!,2),0)</f>
        <v>0</v>
      </c>
    </row>
    <row r="231" spans="6:6">
      <c r="F231" s="196">
        <f>IF(D231&lt;&gt;0,VLOOKUP([1]収支予測!D231,#REF!,2),0)</f>
        <v>0</v>
      </c>
    </row>
    <row r="232" spans="6:6">
      <c r="F232" s="196">
        <f>IF(D232&lt;&gt;0,VLOOKUP([1]収支予測!D232,#REF!,2),0)</f>
        <v>0</v>
      </c>
    </row>
    <row r="233" spans="6:6">
      <c r="F233" s="196">
        <f>IF(D233&lt;&gt;0,VLOOKUP([1]収支予測!D233,#REF!,2),0)</f>
        <v>0</v>
      </c>
    </row>
    <row r="234" spans="6:6">
      <c r="F234" s="196">
        <f>IF(D234&lt;&gt;0,VLOOKUP([1]収支予測!D234,#REF!,2),0)</f>
        <v>0</v>
      </c>
    </row>
    <row r="235" spans="6:6">
      <c r="F235" s="196">
        <f>IF(D235&lt;&gt;0,VLOOKUP([1]収支予測!D235,#REF!,2),0)</f>
        <v>0</v>
      </c>
    </row>
    <row r="236" spans="6:6">
      <c r="F236" s="196">
        <f>IF(D236&lt;&gt;0,VLOOKUP([1]収支予測!D236,#REF!,2),0)</f>
        <v>0</v>
      </c>
    </row>
    <row r="237" spans="6:6">
      <c r="F237" s="196">
        <f>IF(D237&lt;&gt;0,VLOOKUP([1]収支予測!D237,#REF!,2),0)</f>
        <v>0</v>
      </c>
    </row>
    <row r="238" spans="6:6">
      <c r="F238" s="196">
        <f>IF(D238&lt;&gt;0,VLOOKUP([1]収支予測!D238,#REF!,2),0)</f>
        <v>0</v>
      </c>
    </row>
    <row r="239" spans="6:6">
      <c r="F239" s="196">
        <f>IF(D239&lt;&gt;0,VLOOKUP([1]収支予測!D239,#REF!,2),0)</f>
        <v>0</v>
      </c>
    </row>
    <row r="240" spans="6:6">
      <c r="F240" s="196">
        <f>IF(D240&lt;&gt;0,VLOOKUP([1]収支予測!D240,#REF!,2),0)</f>
        <v>0</v>
      </c>
    </row>
    <row r="241" spans="6:6">
      <c r="F241" s="196">
        <f>IF(D241&lt;&gt;0,VLOOKUP([1]収支予測!D241,#REF!,2),0)</f>
        <v>0</v>
      </c>
    </row>
    <row r="242" spans="6:6">
      <c r="F242" s="196">
        <f>IF(D242&lt;&gt;0,VLOOKUP([1]収支予測!D242,#REF!,2),0)</f>
        <v>0</v>
      </c>
    </row>
    <row r="243" spans="6:6">
      <c r="F243" s="196">
        <f>IF(D243&lt;&gt;0,VLOOKUP([1]収支予測!D243,#REF!,2),0)</f>
        <v>0</v>
      </c>
    </row>
    <row r="244" spans="6:6">
      <c r="F244" s="196">
        <f>IF(D244&lt;&gt;0,VLOOKUP([1]収支予測!D244,#REF!,2),0)</f>
        <v>0</v>
      </c>
    </row>
    <row r="245" spans="6:6">
      <c r="F245" s="196">
        <f>IF(D245&lt;&gt;0,VLOOKUP([1]収支予測!D245,#REF!,2),0)</f>
        <v>0</v>
      </c>
    </row>
    <row r="246" spans="6:6">
      <c r="F246" s="196">
        <f>IF(D246&lt;&gt;0,VLOOKUP([1]収支予測!D246,#REF!,2),0)</f>
        <v>0</v>
      </c>
    </row>
    <row r="247" spans="6:6">
      <c r="F247" s="196">
        <f>IF(D247&lt;&gt;0,VLOOKUP([1]収支予測!D247,#REF!,2),0)</f>
        <v>0</v>
      </c>
    </row>
    <row r="248" spans="6:6">
      <c r="F248" s="196">
        <f>IF(D248&lt;&gt;0,VLOOKUP([1]収支予測!D248,#REF!,2),0)</f>
        <v>0</v>
      </c>
    </row>
    <row r="249" spans="6:6">
      <c r="F249" s="196">
        <f>IF(D249&lt;&gt;0,VLOOKUP([1]収支予測!D249,#REF!,2),0)</f>
        <v>0</v>
      </c>
    </row>
    <row r="250" spans="6:6">
      <c r="F250" s="196">
        <f>IF(D250&lt;&gt;0,VLOOKUP([1]収支予測!D250,#REF!,2),0)</f>
        <v>0</v>
      </c>
    </row>
    <row r="251" spans="6:6">
      <c r="F251" s="196">
        <f>IF(D251&lt;&gt;0,VLOOKUP([1]収支予測!D251,#REF!,2),0)</f>
        <v>0</v>
      </c>
    </row>
    <row r="252" spans="6:6">
      <c r="F252" s="196">
        <f>IF(D252&lt;&gt;0,VLOOKUP([1]収支予測!D252,#REF!,2),0)</f>
        <v>0</v>
      </c>
    </row>
    <row r="253" spans="6:6">
      <c r="F253" s="196">
        <f>IF(D253&lt;&gt;0,VLOOKUP([1]収支予測!D253,#REF!,2),0)</f>
        <v>0</v>
      </c>
    </row>
    <row r="254" spans="6:6">
      <c r="F254" s="196">
        <f>IF(D254&lt;&gt;0,VLOOKUP([1]収支予測!D254,#REF!,2),0)</f>
        <v>0</v>
      </c>
    </row>
    <row r="255" spans="6:6">
      <c r="F255" s="196">
        <f>IF(D255&lt;&gt;0,VLOOKUP([1]収支予測!D255,#REF!,2),0)</f>
        <v>0</v>
      </c>
    </row>
    <row r="256" spans="6:6">
      <c r="F256" s="196">
        <f>IF(D256&lt;&gt;0,VLOOKUP([1]収支予測!D256,#REF!,2),0)</f>
        <v>0</v>
      </c>
    </row>
    <row r="257" spans="6:6">
      <c r="F257" s="196">
        <f>IF(D257&lt;&gt;0,VLOOKUP([1]収支予測!D257,#REF!,2),0)</f>
        <v>0</v>
      </c>
    </row>
    <row r="258" spans="6:6">
      <c r="F258" s="196">
        <f>IF(D258&lt;&gt;0,VLOOKUP([1]収支予測!D258,#REF!,2),0)</f>
        <v>0</v>
      </c>
    </row>
    <row r="259" spans="6:6">
      <c r="F259" s="196">
        <f>IF(D259&lt;&gt;0,VLOOKUP([1]収支予測!D259,#REF!,2),0)</f>
        <v>0</v>
      </c>
    </row>
  </sheetData>
  <mergeCells count="27">
    <mergeCell ref="E94:E102"/>
    <mergeCell ref="E103:F103"/>
    <mergeCell ref="E104:F104"/>
    <mergeCell ref="E105:F105"/>
    <mergeCell ref="E106:F106"/>
    <mergeCell ref="E76:F76"/>
    <mergeCell ref="E77:E80"/>
    <mergeCell ref="E81:E86"/>
    <mergeCell ref="E87:F87"/>
    <mergeCell ref="E88:E93"/>
    <mergeCell ref="E74:F75"/>
    <mergeCell ref="E62:F62"/>
    <mergeCell ref="E63:F63"/>
    <mergeCell ref="E64:F64"/>
    <mergeCell ref="E66:F67"/>
    <mergeCell ref="E9:F10"/>
    <mergeCell ref="E11:E17"/>
    <mergeCell ref="E18:E24"/>
    <mergeCell ref="E25:F26"/>
    <mergeCell ref="E27:E34"/>
    <mergeCell ref="E60:F60"/>
    <mergeCell ref="E61:F61"/>
    <mergeCell ref="E35:E55"/>
    <mergeCell ref="E56:F56"/>
    <mergeCell ref="E57:F57"/>
    <mergeCell ref="E58:F58"/>
    <mergeCell ref="E59:F59"/>
  </mergeCells>
  <phoneticPr fontId="44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月次BS</vt:lpstr>
      <vt:lpstr>BS千円</vt:lpstr>
      <vt:lpstr>月次PL</vt:lpstr>
      <vt:lpstr>PL推移</vt:lpstr>
      <vt:lpstr>PL予実対比</vt:lpstr>
      <vt:lpstr>CF推移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2026-07-16T03:08:14Z</dcterms:modified>
</cp:coreProperties>
</file>