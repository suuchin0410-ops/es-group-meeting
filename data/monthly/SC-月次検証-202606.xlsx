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F:\20220920BU\esｴﾝﾀｰﾃｲﾒﾝﾄ-20200410-【月次】\es-月次関係\es-月次報告資料\es-月次報告-2025\Ｓクリ資料\"/>
    </mc:Choice>
  </mc:AlternateContent>
  <xr:revisionPtr revIDLastSave="0" documentId="8_{ED70ACB4-E4FA-409E-ABCD-F48AB502D0E1}" xr6:coauthVersionLast="47" xr6:coauthVersionMax="47" xr10:uidLastSave="{00000000-0000-0000-0000-000000000000}"/>
  <bookViews>
    <workbookView xWindow="-4032" yWindow="-17388" windowWidth="41496" windowHeight="16776" tabRatio="492" activeTab="5" xr2:uid="{00000000-000D-0000-FFFF-FFFF00000000}"/>
  </bookViews>
  <sheets>
    <sheet name="月次BS" sheetId="2" r:id="rId1"/>
    <sheet name="BS千円" sheetId="5" r:id="rId2"/>
    <sheet name="月次PL" sheetId="1" r:id="rId3"/>
    <sheet name="決算予測" sheetId="8" r:id="rId4"/>
    <sheet name="PL推移" sheetId="3" r:id="rId5"/>
    <sheet name="PL予実対比" sheetId="7" r:id="rId6"/>
    <sheet name="CF推移" sheetId="4" r:id="rId7"/>
    <sheet name="収支計画" sheetId="6" r:id="rId8"/>
  </sheets>
  <externalReferences>
    <externalReference r:id="rId9"/>
    <externalReference r:id="rId10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1" i="4" l="1"/>
  <c r="P30" i="4"/>
  <c r="P29" i="4"/>
  <c r="AZ55" i="7"/>
  <c r="AY55" i="7"/>
  <c r="AZ54" i="7"/>
  <c r="AY54" i="7"/>
  <c r="AZ53" i="7"/>
  <c r="AY53" i="7"/>
  <c r="AZ51" i="7"/>
  <c r="AY51" i="7"/>
  <c r="AZ50" i="7"/>
  <c r="AY50" i="7"/>
  <c r="AZ49" i="7"/>
  <c r="AY49" i="7"/>
  <c r="AZ48" i="7"/>
  <c r="AY48" i="7"/>
  <c r="AZ47" i="7"/>
  <c r="AY47" i="7"/>
  <c r="AZ46" i="7"/>
  <c r="AY46" i="7"/>
  <c r="AZ45" i="7"/>
  <c r="AY45" i="7"/>
  <c r="AZ44" i="7"/>
  <c r="AY44" i="7"/>
  <c r="AZ43" i="7"/>
  <c r="AY43" i="7"/>
  <c r="AZ42" i="7"/>
  <c r="AY42" i="7"/>
  <c r="AZ41" i="7"/>
  <c r="AY41" i="7"/>
  <c r="AZ40" i="7"/>
  <c r="AY40" i="7"/>
  <c r="AZ39" i="7"/>
  <c r="AY39" i="7"/>
  <c r="AZ38" i="7"/>
  <c r="AY38" i="7"/>
  <c r="AZ37" i="7"/>
  <c r="AY37" i="7"/>
  <c r="AZ36" i="7"/>
  <c r="AY36" i="7"/>
  <c r="AZ35" i="7"/>
  <c r="AY35" i="7"/>
  <c r="AZ34" i="7"/>
  <c r="AY34" i="7"/>
  <c r="AZ33" i="7"/>
  <c r="AY33" i="7"/>
  <c r="AZ32" i="7"/>
  <c r="AY32" i="7"/>
  <c r="AZ31" i="7"/>
  <c r="AY31" i="7"/>
  <c r="AZ30" i="7"/>
  <c r="AY30" i="7"/>
  <c r="AZ29" i="7"/>
  <c r="AY29" i="7"/>
  <c r="AZ28" i="7"/>
  <c r="AY28" i="7"/>
  <c r="AZ27" i="7"/>
  <c r="AY27" i="7"/>
  <c r="AZ26" i="7"/>
  <c r="AY26" i="7"/>
  <c r="AZ25" i="7"/>
  <c r="AY25" i="7"/>
  <c r="AZ24" i="7"/>
  <c r="AY24" i="7"/>
  <c r="AZ23" i="7"/>
  <c r="AY23" i="7"/>
  <c r="AZ22" i="7"/>
  <c r="AY22" i="7"/>
  <c r="AZ21" i="7"/>
  <c r="AY21" i="7"/>
  <c r="AZ20" i="7"/>
  <c r="AY20" i="7"/>
  <c r="AZ19" i="7"/>
  <c r="AY19" i="7"/>
  <c r="AZ18" i="7"/>
  <c r="AY18" i="7"/>
  <c r="AZ17" i="7"/>
  <c r="AY17" i="7"/>
  <c r="AZ16" i="7"/>
  <c r="AY16" i="7"/>
  <c r="AZ15" i="7"/>
  <c r="AY15" i="7"/>
  <c r="AZ14" i="7"/>
  <c r="AY14" i="7"/>
  <c r="AZ13" i="7"/>
  <c r="AY13" i="7"/>
  <c r="AZ12" i="7"/>
  <c r="AY12" i="7"/>
  <c r="AZ11" i="7"/>
  <c r="AY11" i="7"/>
  <c r="AX60" i="7"/>
  <c r="AU32" i="7"/>
  <c r="AU33" i="7"/>
  <c r="AU34" i="7"/>
  <c r="AU35" i="7"/>
  <c r="AU36" i="7"/>
  <c r="AU37" i="7"/>
  <c r="AU38" i="7"/>
  <c r="AU39" i="7"/>
  <c r="AU40" i="7"/>
  <c r="AU41" i="7"/>
  <c r="AU42" i="7"/>
  <c r="AU43" i="7"/>
  <c r="AU44" i="7"/>
  <c r="AU45" i="7"/>
  <c r="AU46" i="7"/>
  <c r="AU47" i="7"/>
  <c r="AU48" i="7"/>
  <c r="AU49" i="7"/>
  <c r="AU31" i="7"/>
  <c r="AU30" i="7"/>
  <c r="AU29" i="7"/>
  <c r="AU12" i="7"/>
  <c r="AU11" i="7"/>
  <c r="AA56" i="3"/>
  <c r="N4" i="8" l="1"/>
  <c r="P50" i="8" l="1"/>
  <c r="M57" i="8"/>
  <c r="L57" i="8"/>
  <c r="K57" i="8"/>
  <c r="J57" i="8"/>
  <c r="I57" i="8"/>
  <c r="H57" i="8"/>
  <c r="G57" i="8"/>
  <c r="F57" i="8"/>
  <c r="E57" i="8"/>
  <c r="D57" i="8"/>
  <c r="M54" i="8"/>
  <c r="L54" i="8"/>
  <c r="K54" i="8"/>
  <c r="J54" i="8"/>
  <c r="I54" i="8"/>
  <c r="H54" i="8"/>
  <c r="G54" i="8"/>
  <c r="F54" i="8"/>
  <c r="E54" i="8"/>
  <c r="D54" i="8"/>
  <c r="M52" i="8"/>
  <c r="L52" i="8"/>
  <c r="K52" i="8"/>
  <c r="J52" i="8"/>
  <c r="I52" i="8"/>
  <c r="H52" i="8"/>
  <c r="G52" i="8"/>
  <c r="F52" i="8"/>
  <c r="E52" i="8"/>
  <c r="D52" i="8"/>
  <c r="M51" i="8"/>
  <c r="L51" i="8"/>
  <c r="K51" i="8"/>
  <c r="J51" i="8"/>
  <c r="I51" i="8"/>
  <c r="H51" i="8"/>
  <c r="G51" i="8"/>
  <c r="F51" i="8"/>
  <c r="E51" i="8"/>
  <c r="D51" i="8"/>
  <c r="M49" i="8"/>
  <c r="L49" i="8"/>
  <c r="K49" i="8"/>
  <c r="J49" i="8"/>
  <c r="I49" i="8"/>
  <c r="H49" i="8"/>
  <c r="G49" i="8"/>
  <c r="F49" i="8"/>
  <c r="E49" i="8"/>
  <c r="D49" i="8"/>
  <c r="C57" i="8"/>
  <c r="C54" i="8"/>
  <c r="C52" i="8"/>
  <c r="C51" i="8"/>
  <c r="C49" i="8"/>
  <c r="M45" i="8"/>
  <c r="L45" i="8"/>
  <c r="K45" i="8"/>
  <c r="J45" i="8"/>
  <c r="I45" i="8"/>
  <c r="H45" i="8"/>
  <c r="G45" i="8"/>
  <c r="F45" i="8"/>
  <c r="E45" i="8"/>
  <c r="D45" i="8"/>
  <c r="M44" i="8"/>
  <c r="L44" i="8"/>
  <c r="K44" i="8"/>
  <c r="J44" i="8"/>
  <c r="I44" i="8"/>
  <c r="H44" i="8"/>
  <c r="G44" i="8"/>
  <c r="F44" i="8"/>
  <c r="E44" i="8"/>
  <c r="D44" i="8"/>
  <c r="M43" i="8"/>
  <c r="L43" i="8"/>
  <c r="K43" i="8"/>
  <c r="J43" i="8"/>
  <c r="I43" i="8"/>
  <c r="H43" i="8"/>
  <c r="G43" i="8"/>
  <c r="F43" i="8"/>
  <c r="E43" i="8"/>
  <c r="D43" i="8"/>
  <c r="M42" i="8"/>
  <c r="L42" i="8"/>
  <c r="K42" i="8"/>
  <c r="J42" i="8"/>
  <c r="I42" i="8"/>
  <c r="H42" i="8"/>
  <c r="G42" i="8"/>
  <c r="F42" i="8"/>
  <c r="E42" i="8"/>
  <c r="D42" i="8"/>
  <c r="M41" i="8"/>
  <c r="L41" i="8"/>
  <c r="K41" i="8"/>
  <c r="J41" i="8"/>
  <c r="I41" i="8"/>
  <c r="H41" i="8"/>
  <c r="G41" i="8"/>
  <c r="F41" i="8"/>
  <c r="E41" i="8"/>
  <c r="D41" i="8"/>
  <c r="M40" i="8"/>
  <c r="L40" i="8"/>
  <c r="K40" i="8"/>
  <c r="J40" i="8"/>
  <c r="I40" i="8"/>
  <c r="H40" i="8"/>
  <c r="G40" i="8"/>
  <c r="F40" i="8"/>
  <c r="E40" i="8"/>
  <c r="D40" i="8"/>
  <c r="M39" i="8"/>
  <c r="L39" i="8"/>
  <c r="K39" i="8"/>
  <c r="J39" i="8"/>
  <c r="I39" i="8"/>
  <c r="H39" i="8"/>
  <c r="G39" i="8"/>
  <c r="F39" i="8"/>
  <c r="E39" i="8"/>
  <c r="D39" i="8"/>
  <c r="M38" i="8"/>
  <c r="L38" i="8"/>
  <c r="K38" i="8"/>
  <c r="J38" i="8"/>
  <c r="I38" i="8"/>
  <c r="H38" i="8"/>
  <c r="G38" i="8"/>
  <c r="F38" i="8"/>
  <c r="E38" i="8"/>
  <c r="D38" i="8"/>
  <c r="M37" i="8"/>
  <c r="L37" i="8"/>
  <c r="K37" i="8"/>
  <c r="J37" i="8"/>
  <c r="I37" i="8"/>
  <c r="H37" i="8"/>
  <c r="G37" i="8"/>
  <c r="F37" i="8"/>
  <c r="E37" i="8"/>
  <c r="D37" i="8"/>
  <c r="M36" i="8"/>
  <c r="L36" i="8"/>
  <c r="K36" i="8"/>
  <c r="J36" i="8"/>
  <c r="I36" i="8"/>
  <c r="H36" i="8"/>
  <c r="G36" i="8"/>
  <c r="F36" i="8"/>
  <c r="E36" i="8"/>
  <c r="D36" i="8"/>
  <c r="M35" i="8"/>
  <c r="L35" i="8"/>
  <c r="K35" i="8"/>
  <c r="J35" i="8"/>
  <c r="I35" i="8"/>
  <c r="H35" i="8"/>
  <c r="G35" i="8"/>
  <c r="F35" i="8"/>
  <c r="E35" i="8"/>
  <c r="D35" i="8"/>
  <c r="M34" i="8"/>
  <c r="L34" i="8"/>
  <c r="K34" i="8"/>
  <c r="J34" i="8"/>
  <c r="I34" i="8"/>
  <c r="H34" i="8"/>
  <c r="G34" i="8"/>
  <c r="F34" i="8"/>
  <c r="E34" i="8"/>
  <c r="D34" i="8"/>
  <c r="M33" i="8"/>
  <c r="L33" i="8"/>
  <c r="K33" i="8"/>
  <c r="J33" i="8"/>
  <c r="I33" i="8"/>
  <c r="H33" i="8"/>
  <c r="G33" i="8"/>
  <c r="F33" i="8"/>
  <c r="E33" i="8"/>
  <c r="D33" i="8"/>
  <c r="M32" i="8"/>
  <c r="L32" i="8"/>
  <c r="K32" i="8"/>
  <c r="J32" i="8"/>
  <c r="I32" i="8"/>
  <c r="H32" i="8"/>
  <c r="G32" i="8"/>
  <c r="F32" i="8"/>
  <c r="E32" i="8"/>
  <c r="D32" i="8"/>
  <c r="M31" i="8"/>
  <c r="L31" i="8"/>
  <c r="K31" i="8"/>
  <c r="J31" i="8"/>
  <c r="I31" i="8"/>
  <c r="H31" i="8"/>
  <c r="G31" i="8"/>
  <c r="F31" i="8"/>
  <c r="E31" i="8"/>
  <c r="D31" i="8"/>
  <c r="M30" i="8"/>
  <c r="L30" i="8"/>
  <c r="K30" i="8"/>
  <c r="J30" i="8"/>
  <c r="I30" i="8"/>
  <c r="H30" i="8"/>
  <c r="G30" i="8"/>
  <c r="F30" i="8"/>
  <c r="E30" i="8"/>
  <c r="D30" i="8"/>
  <c r="M29" i="8"/>
  <c r="L29" i="8"/>
  <c r="K29" i="8"/>
  <c r="J29" i="8"/>
  <c r="I29" i="8"/>
  <c r="H29" i="8"/>
  <c r="G29" i="8"/>
  <c r="F29" i="8"/>
  <c r="E29" i="8"/>
  <c r="D29" i="8"/>
  <c r="M28" i="8"/>
  <c r="L28" i="8"/>
  <c r="K28" i="8"/>
  <c r="J28" i="8"/>
  <c r="I28" i="8"/>
  <c r="H28" i="8"/>
  <c r="G28" i="8"/>
  <c r="F28" i="8"/>
  <c r="E28" i="8"/>
  <c r="D28" i="8"/>
  <c r="M26" i="8"/>
  <c r="L26" i="8"/>
  <c r="K26" i="8"/>
  <c r="J26" i="8"/>
  <c r="I26" i="8"/>
  <c r="H26" i="8"/>
  <c r="G26" i="8"/>
  <c r="F26" i="8"/>
  <c r="E26" i="8"/>
  <c r="D26" i="8"/>
  <c r="M19" i="8"/>
  <c r="N19" i="8" s="1"/>
  <c r="L19" i="8"/>
  <c r="K19" i="8"/>
  <c r="J19" i="8"/>
  <c r="I19" i="8"/>
  <c r="H19" i="8"/>
  <c r="G19" i="8"/>
  <c r="F19" i="8"/>
  <c r="E19" i="8"/>
  <c r="D19" i="8"/>
  <c r="C45" i="8"/>
  <c r="C44" i="8"/>
  <c r="C43" i="8"/>
  <c r="C42" i="8"/>
  <c r="C41" i="8"/>
  <c r="C40" i="8"/>
  <c r="C39" i="8"/>
  <c r="P39" i="8" s="1"/>
  <c r="N39" i="8" s="1"/>
  <c r="O39" i="8" s="1"/>
  <c r="C38" i="8"/>
  <c r="P38" i="8" s="1"/>
  <c r="N38" i="8" s="1"/>
  <c r="C37" i="8"/>
  <c r="C36" i="8"/>
  <c r="P36" i="8" s="1"/>
  <c r="N36" i="8" s="1"/>
  <c r="C35" i="8"/>
  <c r="C34" i="8"/>
  <c r="P34" i="8" s="1"/>
  <c r="N34" i="8" s="1"/>
  <c r="C33" i="8"/>
  <c r="C32" i="8"/>
  <c r="P32" i="8" s="1"/>
  <c r="N32" i="8" s="1"/>
  <c r="C31" i="8"/>
  <c r="P31" i="8" s="1"/>
  <c r="N31" i="8" s="1"/>
  <c r="C30" i="8"/>
  <c r="P30" i="8" s="1"/>
  <c r="N30" i="8" s="1"/>
  <c r="C29" i="8"/>
  <c r="P29" i="8" s="1"/>
  <c r="N29" i="8" s="1"/>
  <c r="C28" i="8"/>
  <c r="P28" i="8" s="1"/>
  <c r="N28" i="8" s="1"/>
  <c r="C26" i="8"/>
  <c r="C19" i="8"/>
  <c r="M4" i="8"/>
  <c r="M9" i="8" s="1"/>
  <c r="L4" i="8"/>
  <c r="L9" i="8" s="1"/>
  <c r="L17" i="8" s="1"/>
  <c r="K4" i="8"/>
  <c r="K9" i="8" s="1"/>
  <c r="K17" i="8" s="1"/>
  <c r="J4" i="8"/>
  <c r="J9" i="8" s="1"/>
  <c r="I4" i="8"/>
  <c r="I9" i="8" s="1"/>
  <c r="I17" i="8" s="1"/>
  <c r="H4" i="8"/>
  <c r="H9" i="8" s="1"/>
  <c r="G4" i="8"/>
  <c r="G9" i="8" s="1"/>
  <c r="F4" i="8"/>
  <c r="F9" i="8" s="1"/>
  <c r="E4" i="8"/>
  <c r="D4" i="8"/>
  <c r="C4" i="8"/>
  <c r="C9" i="8" s="1"/>
  <c r="C17" i="8" s="1"/>
  <c r="AQ49" i="7"/>
  <c r="AQ48" i="7"/>
  <c r="AQ47" i="7"/>
  <c r="AQ46" i="7"/>
  <c r="AQ45" i="7"/>
  <c r="AQ44" i="7"/>
  <c r="AQ43" i="7"/>
  <c r="AQ42" i="7"/>
  <c r="AQ41" i="7"/>
  <c r="AQ40" i="7"/>
  <c r="AQ39" i="7"/>
  <c r="AQ38" i="7"/>
  <c r="AQ37" i="7"/>
  <c r="AQ36" i="7"/>
  <c r="AQ35" i="7"/>
  <c r="AQ34" i="7"/>
  <c r="AQ33" i="7"/>
  <c r="AQ32" i="7"/>
  <c r="AQ31" i="7"/>
  <c r="AQ12" i="7"/>
  <c r="X11" i="3"/>
  <c r="P56" i="8"/>
  <c r="P55" i="8"/>
  <c r="N26" i="8"/>
  <c r="O65" i="8"/>
  <c r="O63" i="8"/>
  <c r="O62" i="8"/>
  <c r="O61" i="8"/>
  <c r="O60" i="8"/>
  <c r="O59" i="8"/>
  <c r="O56" i="8"/>
  <c r="O55" i="8"/>
  <c r="O53" i="8"/>
  <c r="O50" i="8"/>
  <c r="O48" i="8"/>
  <c r="O27" i="8"/>
  <c r="O24" i="8"/>
  <c r="O23" i="8"/>
  <c r="O22" i="8"/>
  <c r="O21" i="8"/>
  <c r="O20" i="8"/>
  <c r="O18" i="8"/>
  <c r="N16" i="8"/>
  <c r="M16" i="8"/>
  <c r="L16" i="8"/>
  <c r="K16" i="8"/>
  <c r="J16" i="8"/>
  <c r="I16" i="8"/>
  <c r="H16" i="8"/>
  <c r="G16" i="8"/>
  <c r="F16" i="8"/>
  <c r="E16" i="8"/>
  <c r="D16" i="8"/>
  <c r="C16" i="8"/>
  <c r="O15" i="8"/>
  <c r="O14" i="8"/>
  <c r="O13" i="8"/>
  <c r="O12" i="8"/>
  <c r="O11" i="8"/>
  <c r="O10" i="8"/>
  <c r="N9" i="8"/>
  <c r="E9" i="8"/>
  <c r="D9" i="8"/>
  <c r="D17" i="8" s="1"/>
  <c r="O8" i="8"/>
  <c r="O7" i="8"/>
  <c r="O6" i="8"/>
  <c r="O5" i="8"/>
  <c r="C2" i="8"/>
  <c r="P54" i="8" l="1"/>
  <c r="N54" i="8" s="1"/>
  <c r="P51" i="8"/>
  <c r="O52" i="8"/>
  <c r="P49" i="8"/>
  <c r="P45" i="8"/>
  <c r="N45" i="8" s="1"/>
  <c r="O45" i="8" s="1"/>
  <c r="P44" i="8"/>
  <c r="N44" i="8" s="1"/>
  <c r="P41" i="8"/>
  <c r="N41" i="8" s="1"/>
  <c r="P42" i="8"/>
  <c r="N42" i="8" s="1"/>
  <c r="P43" i="8"/>
  <c r="N43" i="8" s="1"/>
  <c r="O43" i="8" s="1"/>
  <c r="P40" i="8"/>
  <c r="N40" i="8" s="1"/>
  <c r="O40" i="8" s="1"/>
  <c r="P37" i="8"/>
  <c r="N37" i="8" s="1"/>
  <c r="O37" i="8" s="1"/>
  <c r="P35" i="8"/>
  <c r="N35" i="8" s="1"/>
  <c r="P33" i="8"/>
  <c r="N33" i="8" s="1"/>
  <c r="D46" i="8"/>
  <c r="D47" i="8" s="1"/>
  <c r="D58" i="8" s="1"/>
  <c r="D64" i="8" s="1"/>
  <c r="D66" i="8" s="1"/>
  <c r="J46" i="8"/>
  <c r="F46" i="8"/>
  <c r="K46" i="8"/>
  <c r="K47" i="8" s="1"/>
  <c r="K58" i="8" s="1"/>
  <c r="K64" i="8" s="1"/>
  <c r="K66" i="8" s="1"/>
  <c r="I46" i="8"/>
  <c r="I47" i="8" s="1"/>
  <c r="I58" i="8" s="1"/>
  <c r="I64" i="8" s="1"/>
  <c r="I66" i="8" s="1"/>
  <c r="G46" i="8"/>
  <c r="E46" i="8"/>
  <c r="E17" i="8"/>
  <c r="M17" i="8"/>
  <c r="G17" i="8"/>
  <c r="H17" i="8"/>
  <c r="O36" i="8"/>
  <c r="O49" i="8"/>
  <c r="L46" i="8"/>
  <c r="L47" i="8" s="1"/>
  <c r="L58" i="8" s="1"/>
  <c r="L64" i="8" s="1"/>
  <c r="L66" i="8" s="1"/>
  <c r="H46" i="8"/>
  <c r="O42" i="8"/>
  <c r="O51" i="8"/>
  <c r="O26" i="8"/>
  <c r="O31" i="8"/>
  <c r="O34" i="8"/>
  <c r="O33" i="8"/>
  <c r="O41" i="8"/>
  <c r="O30" i="8"/>
  <c r="O32" i="8"/>
  <c r="C46" i="8"/>
  <c r="C47" i="8" s="1"/>
  <c r="C58" i="8" s="1"/>
  <c r="C64" i="8" s="1"/>
  <c r="C66" i="8" s="1"/>
  <c r="O19" i="8"/>
  <c r="O4" i="8"/>
  <c r="M46" i="8"/>
  <c r="M47" i="8" s="1"/>
  <c r="M58" i="8" s="1"/>
  <c r="O35" i="8"/>
  <c r="O28" i="8"/>
  <c r="O16" i="8"/>
  <c r="F17" i="8"/>
  <c r="J17" i="8"/>
  <c r="N17" i="8"/>
  <c r="O38" i="8"/>
  <c r="O44" i="8"/>
  <c r="O29" i="8"/>
  <c r="O9" i="8"/>
  <c r="AM49" i="7"/>
  <c r="AM48" i="7"/>
  <c r="AM47" i="7"/>
  <c r="AM46" i="7"/>
  <c r="AM45" i="7"/>
  <c r="AM44" i="7"/>
  <c r="AM43" i="7"/>
  <c r="AM42" i="7"/>
  <c r="AM41" i="7"/>
  <c r="AM40" i="7"/>
  <c r="AM39" i="7"/>
  <c r="AM38" i="7"/>
  <c r="AM37" i="7"/>
  <c r="AM36" i="7"/>
  <c r="AM35" i="7"/>
  <c r="AM34" i="7"/>
  <c r="AM33" i="7"/>
  <c r="AM32" i="7"/>
  <c r="AM31" i="7"/>
  <c r="AM12" i="7"/>
  <c r="V10" i="3"/>
  <c r="P17" i="6"/>
  <c r="Q17" i="6"/>
  <c r="AQ11" i="7" s="1"/>
  <c r="R17" i="6"/>
  <c r="P24" i="6"/>
  <c r="Q24" i="6"/>
  <c r="R24" i="6"/>
  <c r="P34" i="6"/>
  <c r="Q34" i="6"/>
  <c r="R34" i="6"/>
  <c r="R56" i="6" s="1"/>
  <c r="P55" i="6"/>
  <c r="Q55" i="6"/>
  <c r="R55" i="6"/>
  <c r="P74" i="6"/>
  <c r="Q74" i="6"/>
  <c r="R74" i="6"/>
  <c r="P80" i="6"/>
  <c r="P87" i="6" s="1"/>
  <c r="Q80" i="6"/>
  <c r="Q87" i="6" s="1"/>
  <c r="R80" i="6"/>
  <c r="P86" i="6"/>
  <c r="Q86" i="6"/>
  <c r="R86" i="6"/>
  <c r="P93" i="6"/>
  <c r="Q93" i="6"/>
  <c r="Q103" i="6" s="1"/>
  <c r="R93" i="6"/>
  <c r="R103" i="6" s="1"/>
  <c r="P102" i="6"/>
  <c r="Q102" i="6"/>
  <c r="R102" i="6"/>
  <c r="P111" i="6"/>
  <c r="Q111" i="6"/>
  <c r="R111" i="6"/>
  <c r="P124" i="6"/>
  <c r="Q124" i="6"/>
  <c r="R124" i="6"/>
  <c r="J47" i="8" l="1"/>
  <c r="J58" i="8" s="1"/>
  <c r="J64" i="8" s="1"/>
  <c r="J66" i="8" s="1"/>
  <c r="F47" i="8"/>
  <c r="F58" i="8" s="1"/>
  <c r="F64" i="8" s="1"/>
  <c r="F66" i="8" s="1"/>
  <c r="E47" i="8"/>
  <c r="E58" i="8" s="1"/>
  <c r="E64" i="8" s="1"/>
  <c r="E66" i="8" s="1"/>
  <c r="H47" i="8"/>
  <c r="H58" i="8" s="1"/>
  <c r="H64" i="8" s="1"/>
  <c r="H66" i="8" s="1"/>
  <c r="G47" i="8"/>
  <c r="G58" i="8" s="1"/>
  <c r="G64" i="8" s="1"/>
  <c r="G66" i="8" s="1"/>
  <c r="O17" i="8"/>
  <c r="P103" i="6"/>
  <c r="P104" i="6" s="1"/>
  <c r="P25" i="6"/>
  <c r="Q66" i="6"/>
  <c r="AQ30" i="7"/>
  <c r="M64" i="8"/>
  <c r="M66" i="8" s="1"/>
  <c r="P56" i="6"/>
  <c r="AM29" i="7" s="1"/>
  <c r="R66" i="6"/>
  <c r="R68" i="6" s="1"/>
  <c r="R69" i="6" s="1"/>
  <c r="Q25" i="6"/>
  <c r="Q26" i="6" s="1"/>
  <c r="N57" i="8"/>
  <c r="O57" i="8" s="1"/>
  <c r="O54" i="8"/>
  <c r="Q56" i="6"/>
  <c r="AQ29" i="7" s="1"/>
  <c r="AM11" i="7"/>
  <c r="AM30" i="7"/>
  <c r="R87" i="6"/>
  <c r="R104" i="6" s="1"/>
  <c r="N46" i="8"/>
  <c r="P66" i="6"/>
  <c r="R25" i="6"/>
  <c r="R26" i="6"/>
  <c r="R57" i="6"/>
  <c r="R60" i="6" s="1"/>
  <c r="R63" i="6" s="1"/>
  <c r="P68" i="6"/>
  <c r="P69" i="6" s="1"/>
  <c r="P67" i="6"/>
  <c r="Q104" i="6"/>
  <c r="Q68" i="6"/>
  <c r="Q69" i="6" s="1"/>
  <c r="Q67" i="6"/>
  <c r="P26" i="6"/>
  <c r="Q57" i="6"/>
  <c r="Q60" i="6" s="1"/>
  <c r="Q63" i="6" s="1"/>
  <c r="R67" i="6" l="1"/>
  <c r="P57" i="6"/>
  <c r="P60" i="6" s="1"/>
  <c r="P63" i="6" s="1"/>
  <c r="N47" i="8"/>
  <c r="O46" i="8"/>
  <c r="N58" i="8" l="1"/>
  <c r="O47" i="8"/>
  <c r="N64" i="8" l="1"/>
  <c r="O58" i="8"/>
  <c r="M31" i="4"/>
  <c r="AI54" i="7"/>
  <c r="AI49" i="7"/>
  <c r="AI48" i="7"/>
  <c r="AI47" i="7"/>
  <c r="AI46" i="7"/>
  <c r="AI45" i="7"/>
  <c r="AI44" i="7"/>
  <c r="AI43" i="7"/>
  <c r="AI42" i="7"/>
  <c r="AI41" i="7"/>
  <c r="AI40" i="7"/>
  <c r="AI39" i="7"/>
  <c r="AI38" i="7"/>
  <c r="AI37" i="7"/>
  <c r="AI36" i="7"/>
  <c r="AI35" i="7"/>
  <c r="AI34" i="7"/>
  <c r="AI33" i="7"/>
  <c r="AI32" i="7"/>
  <c r="AI31" i="7"/>
  <c r="AI12" i="7"/>
  <c r="T11" i="3"/>
  <c r="AE38" i="7"/>
  <c r="AE32" i="7"/>
  <c r="AE31" i="7"/>
  <c r="R11" i="3"/>
  <c r="N66" i="8" l="1"/>
  <c r="O66" i="8" s="1"/>
  <c r="O64" i="8"/>
  <c r="AA49" i="7"/>
  <c r="AA48" i="7"/>
  <c r="AA47" i="7"/>
  <c r="AA46" i="7"/>
  <c r="AA45" i="7"/>
  <c r="AA44" i="7"/>
  <c r="AA43" i="7"/>
  <c r="AA42" i="7"/>
  <c r="AA41" i="7"/>
  <c r="AA40" i="7"/>
  <c r="AA39" i="7"/>
  <c r="AA38" i="7"/>
  <c r="AA37" i="7"/>
  <c r="AA36" i="7"/>
  <c r="AA35" i="7"/>
  <c r="AA34" i="7"/>
  <c r="AA33" i="7"/>
  <c r="AA32" i="7"/>
  <c r="AA31" i="7"/>
  <c r="AA12" i="7"/>
  <c r="W49" i="7"/>
  <c r="W48" i="7"/>
  <c r="W47" i="7"/>
  <c r="W46" i="7"/>
  <c r="W45" i="7"/>
  <c r="W44" i="7"/>
  <c r="W43" i="7"/>
  <c r="W42" i="7"/>
  <c r="W41" i="7"/>
  <c r="W40" i="7"/>
  <c r="W39" i="7"/>
  <c r="W38" i="7"/>
  <c r="W37" i="7"/>
  <c r="W36" i="7"/>
  <c r="W35" i="7"/>
  <c r="W34" i="7"/>
  <c r="W33" i="7"/>
  <c r="W32" i="7"/>
  <c r="W31" i="7"/>
  <c r="W12" i="7"/>
  <c r="P11" i="3"/>
  <c r="N11" i="3"/>
  <c r="O102" i="6"/>
  <c r="N102" i="6"/>
  <c r="M102" i="6"/>
  <c r="L102" i="6"/>
  <c r="L103" i="6" s="1"/>
  <c r="K102" i="6"/>
  <c r="J102" i="6"/>
  <c r="I102" i="6"/>
  <c r="H102" i="6"/>
  <c r="G102" i="6"/>
  <c r="O93" i="6"/>
  <c r="N93" i="6"/>
  <c r="M93" i="6"/>
  <c r="L93" i="6"/>
  <c r="K93" i="6"/>
  <c r="K103" i="6" s="1"/>
  <c r="J93" i="6"/>
  <c r="I93" i="6"/>
  <c r="H93" i="6"/>
  <c r="G93" i="6"/>
  <c r="G103" i="6" s="1"/>
  <c r="I87" i="6"/>
  <c r="I86" i="6"/>
  <c r="H86" i="6"/>
  <c r="G86" i="6"/>
  <c r="O86" i="6"/>
  <c r="N86" i="6"/>
  <c r="M86" i="6"/>
  <c r="L86" i="6"/>
  <c r="K86" i="6"/>
  <c r="J86" i="6"/>
  <c r="O80" i="6"/>
  <c r="N80" i="6"/>
  <c r="N87" i="6" s="1"/>
  <c r="M80" i="6"/>
  <c r="L80" i="6"/>
  <c r="K80" i="6"/>
  <c r="J80" i="6"/>
  <c r="J87" i="6" s="1"/>
  <c r="I80" i="6"/>
  <c r="H80" i="6"/>
  <c r="G80" i="6"/>
  <c r="S54" i="7"/>
  <c r="S53" i="7"/>
  <c r="S50" i="7"/>
  <c r="S49" i="7"/>
  <c r="S48" i="7"/>
  <c r="S47" i="7"/>
  <c r="S46" i="7"/>
  <c r="S45" i="7"/>
  <c r="S44" i="7"/>
  <c r="S43" i="7"/>
  <c r="S42" i="7"/>
  <c r="S41" i="7"/>
  <c r="S40" i="7"/>
  <c r="S39" i="7"/>
  <c r="S38" i="7"/>
  <c r="S37" i="7"/>
  <c r="S36" i="7"/>
  <c r="S35" i="7"/>
  <c r="S34" i="7"/>
  <c r="S33" i="7"/>
  <c r="S32" i="7"/>
  <c r="S31" i="7"/>
  <c r="S18" i="7"/>
  <c r="S16" i="7"/>
  <c r="S15" i="7"/>
  <c r="S14" i="7"/>
  <c r="S13" i="7"/>
  <c r="S12" i="7"/>
  <c r="O54" i="7"/>
  <c r="O53" i="7"/>
  <c r="O50" i="7"/>
  <c r="O49" i="7"/>
  <c r="O48" i="7"/>
  <c r="O47" i="7"/>
  <c r="O46" i="7"/>
  <c r="O45" i="7"/>
  <c r="O44" i="7"/>
  <c r="O43" i="7"/>
  <c r="O42" i="7"/>
  <c r="O41" i="7"/>
  <c r="O40" i="7"/>
  <c r="O39" i="7"/>
  <c r="O38" i="7"/>
  <c r="O37" i="7"/>
  <c r="O36" i="7"/>
  <c r="O35" i="7"/>
  <c r="O34" i="7"/>
  <c r="O33" i="7"/>
  <c r="O32" i="7"/>
  <c r="O31" i="7"/>
  <c r="O18" i="7"/>
  <c r="O16" i="7"/>
  <c r="O15" i="7"/>
  <c r="O14" i="7"/>
  <c r="O13" i="7"/>
  <c r="O12" i="7"/>
  <c r="K54" i="7"/>
  <c r="K53" i="7"/>
  <c r="K50" i="7"/>
  <c r="K49" i="7"/>
  <c r="K48" i="7"/>
  <c r="K47" i="7"/>
  <c r="K46" i="7"/>
  <c r="K45" i="7"/>
  <c r="K44" i="7"/>
  <c r="K43" i="7"/>
  <c r="K42" i="7"/>
  <c r="K41" i="7"/>
  <c r="K40" i="7"/>
  <c r="K39" i="7"/>
  <c r="K38" i="7"/>
  <c r="K37" i="7"/>
  <c r="K36" i="7"/>
  <c r="K35" i="7"/>
  <c r="K34" i="7"/>
  <c r="K33" i="7"/>
  <c r="K32" i="7"/>
  <c r="K31" i="7"/>
  <c r="G50" i="7"/>
  <c r="C50" i="7"/>
  <c r="K18" i="7"/>
  <c r="K16" i="7"/>
  <c r="K15" i="7"/>
  <c r="K14" i="7"/>
  <c r="K13" i="7"/>
  <c r="K12" i="7"/>
  <c r="X10" i="3"/>
  <c r="L17" i="3"/>
  <c r="J17" i="3"/>
  <c r="H17" i="3"/>
  <c r="L15" i="3"/>
  <c r="J15" i="3"/>
  <c r="H15" i="3"/>
  <c r="L14" i="3"/>
  <c r="J14" i="3"/>
  <c r="H14" i="3"/>
  <c r="L13" i="3"/>
  <c r="J13" i="3"/>
  <c r="H13" i="3"/>
  <c r="L12" i="3"/>
  <c r="J12" i="3"/>
  <c r="H12" i="3"/>
  <c r="L11" i="3"/>
  <c r="J11" i="3"/>
  <c r="H11" i="3"/>
  <c r="D17" i="3"/>
  <c r="F17" i="3"/>
  <c r="F15" i="3"/>
  <c r="F14" i="3"/>
  <c r="F13" i="3"/>
  <c r="F12" i="3"/>
  <c r="F11" i="3"/>
  <c r="D15" i="3"/>
  <c r="D14" i="3"/>
  <c r="D13" i="3"/>
  <c r="D12" i="3"/>
  <c r="D11" i="3"/>
  <c r="O99" i="5"/>
  <c r="P19" i="4" s="1"/>
  <c r="O54" i="5"/>
  <c r="N54" i="5"/>
  <c r="N99" i="5" s="1"/>
  <c r="M54" i="5"/>
  <c r="M99" i="5" s="1"/>
  <c r="L54" i="5"/>
  <c r="L99" i="5" s="1"/>
  <c r="K54" i="5"/>
  <c r="K99" i="5" s="1"/>
  <c r="J54" i="5"/>
  <c r="J99" i="5" s="1"/>
  <c r="I54" i="5"/>
  <c r="I99" i="5" s="1"/>
  <c r="H54" i="5"/>
  <c r="H99" i="5" s="1"/>
  <c r="G54" i="5"/>
  <c r="G99" i="5" s="1"/>
  <c r="F54" i="5"/>
  <c r="F99" i="5" s="1"/>
  <c r="E54" i="5"/>
  <c r="E99" i="5" s="1"/>
  <c r="D54" i="5"/>
  <c r="D99" i="5" s="1"/>
  <c r="C54" i="5"/>
  <c r="C99" i="5" s="1"/>
  <c r="B54" i="5"/>
  <c r="B99" i="5" s="1"/>
  <c r="B22" i="7"/>
  <c r="B21" i="7"/>
  <c r="B20" i="7"/>
  <c r="B19" i="7"/>
  <c r="L87" i="6" l="1"/>
  <c r="I103" i="6"/>
  <c r="I104" i="6" s="1"/>
  <c r="M19" i="4"/>
  <c r="M87" i="6"/>
  <c r="H103" i="6"/>
  <c r="K87" i="6"/>
  <c r="N103" i="6"/>
  <c r="N104" i="6" s="1"/>
  <c r="H19" i="4"/>
  <c r="O87" i="6"/>
  <c r="J103" i="6"/>
  <c r="K19" i="4"/>
  <c r="N19" i="4"/>
  <c r="O19" i="4"/>
  <c r="J104" i="6"/>
  <c r="K104" i="6"/>
  <c r="L19" i="4"/>
  <c r="F19" i="4"/>
  <c r="O103" i="6"/>
  <c r="O104" i="6" s="1"/>
  <c r="G87" i="6"/>
  <c r="G104" i="6" s="1"/>
  <c r="G105" i="6" s="1"/>
  <c r="H76" i="6" s="1"/>
  <c r="H87" i="6"/>
  <c r="H104" i="6" s="1"/>
  <c r="H105" i="6" s="1"/>
  <c r="I76" i="6" s="1"/>
  <c r="I105" i="6" s="1"/>
  <c r="J76" i="6" s="1"/>
  <c r="J105" i="6" s="1"/>
  <c r="K76" i="6" s="1"/>
  <c r="L104" i="6"/>
  <c r="E50" i="7"/>
  <c r="M103" i="6"/>
  <c r="G19" i="4"/>
  <c r="E19" i="4"/>
  <c r="J19" i="4"/>
  <c r="I19" i="4"/>
  <c r="S10" i="6"/>
  <c r="C17" i="3"/>
  <c r="B18" i="7" s="1"/>
  <c r="C15" i="3"/>
  <c r="B16" i="7" s="1"/>
  <c r="C14" i="3"/>
  <c r="B15" i="7" s="1"/>
  <c r="C13" i="3"/>
  <c r="B14" i="7" s="1"/>
  <c r="C12" i="3"/>
  <c r="B13" i="7" s="1"/>
  <c r="C11" i="3"/>
  <c r="B12" i="7" s="1"/>
  <c r="K105" i="6" l="1"/>
  <c r="L76" i="6" s="1"/>
  <c r="L105" i="6" s="1"/>
  <c r="M76" i="6" s="1"/>
  <c r="M104" i="6"/>
  <c r="E1" i="2"/>
  <c r="BB7" i="7"/>
  <c r="M105" i="6" l="1"/>
  <c r="N76" i="6" s="1"/>
  <c r="N105" i="6" s="1"/>
  <c r="O76" i="6" s="1"/>
  <c r="O105" i="6" s="1"/>
  <c r="P76" i="6" s="1"/>
  <c r="P105" i="6" s="1"/>
  <c r="F1" i="2"/>
  <c r="D2" i="8"/>
  <c r="O4" i="1"/>
  <c r="Q76" i="6" l="1"/>
  <c r="Q105" i="6" s="1"/>
  <c r="P108" i="6"/>
  <c r="G1" i="2"/>
  <c r="E2" i="8"/>
  <c r="F259" i="6"/>
  <c r="F258" i="6"/>
  <c r="F257" i="6"/>
  <c r="F256" i="6"/>
  <c r="F255" i="6"/>
  <c r="F254" i="6"/>
  <c r="F253" i="6"/>
  <c r="F252" i="6"/>
  <c r="F251" i="6"/>
  <c r="F250" i="6"/>
  <c r="F249" i="6"/>
  <c r="F248" i="6"/>
  <c r="F247" i="6"/>
  <c r="F246" i="6"/>
  <c r="F245" i="6"/>
  <c r="F244" i="6"/>
  <c r="F243" i="6"/>
  <c r="F242" i="6"/>
  <c r="F241" i="6"/>
  <c r="F240" i="6"/>
  <c r="F239" i="6"/>
  <c r="F238" i="6"/>
  <c r="F237" i="6"/>
  <c r="F236" i="6"/>
  <c r="F235" i="6"/>
  <c r="F234" i="6"/>
  <c r="F233" i="6"/>
  <c r="F232" i="6"/>
  <c r="F231" i="6"/>
  <c r="F230" i="6"/>
  <c r="F229" i="6"/>
  <c r="F228" i="6"/>
  <c r="F227" i="6"/>
  <c r="F226" i="6"/>
  <c r="F225" i="6"/>
  <c r="F224" i="6"/>
  <c r="F223" i="6"/>
  <c r="F222" i="6"/>
  <c r="F221" i="6"/>
  <c r="F220" i="6"/>
  <c r="F219" i="6"/>
  <c r="F218" i="6"/>
  <c r="F217" i="6"/>
  <c r="F216" i="6"/>
  <c r="F215" i="6"/>
  <c r="F214" i="6"/>
  <c r="F213" i="6"/>
  <c r="F212" i="6"/>
  <c r="F211" i="6"/>
  <c r="F210" i="6"/>
  <c r="F209" i="6"/>
  <c r="F208" i="6"/>
  <c r="F207" i="6"/>
  <c r="F206" i="6"/>
  <c r="F205" i="6"/>
  <c r="F204" i="6"/>
  <c r="F203" i="6"/>
  <c r="F202" i="6"/>
  <c r="F201" i="6"/>
  <c r="F200" i="6"/>
  <c r="F199" i="6"/>
  <c r="F198" i="6"/>
  <c r="F197" i="6"/>
  <c r="F196" i="6"/>
  <c r="F195" i="6"/>
  <c r="F194" i="6"/>
  <c r="F193" i="6"/>
  <c r="F192" i="6"/>
  <c r="F191" i="6"/>
  <c r="F190" i="6"/>
  <c r="F189" i="6"/>
  <c r="F188" i="6"/>
  <c r="F187" i="6"/>
  <c r="F186" i="6"/>
  <c r="F185" i="6"/>
  <c r="F184" i="6"/>
  <c r="F183" i="6"/>
  <c r="F182" i="6"/>
  <c r="F181" i="6"/>
  <c r="F180" i="6"/>
  <c r="F179" i="6"/>
  <c r="F178" i="6"/>
  <c r="F177" i="6"/>
  <c r="F176" i="6"/>
  <c r="F175" i="6"/>
  <c r="F174" i="6"/>
  <c r="F173" i="6"/>
  <c r="F172" i="6"/>
  <c r="F171" i="6"/>
  <c r="F170" i="6"/>
  <c r="F169" i="6"/>
  <c r="F168" i="6"/>
  <c r="F167" i="6"/>
  <c r="F166" i="6"/>
  <c r="F165" i="6"/>
  <c r="F164" i="6"/>
  <c r="F163" i="6"/>
  <c r="F162" i="6"/>
  <c r="F161" i="6"/>
  <c r="F160" i="6"/>
  <c r="F159" i="6"/>
  <c r="F158" i="6"/>
  <c r="F157" i="6"/>
  <c r="F156" i="6"/>
  <c r="F155" i="6"/>
  <c r="F154" i="6"/>
  <c r="F153" i="6"/>
  <c r="F152" i="6"/>
  <c r="F151" i="6"/>
  <c r="F150" i="6"/>
  <c r="F149" i="6"/>
  <c r="F148" i="6"/>
  <c r="F147" i="6"/>
  <c r="F146" i="6"/>
  <c r="F145" i="6"/>
  <c r="F144" i="6"/>
  <c r="F143" i="6"/>
  <c r="F142" i="6"/>
  <c r="Z124" i="6"/>
  <c r="Y124" i="6"/>
  <c r="X124" i="6"/>
  <c r="W124" i="6"/>
  <c r="V124" i="6"/>
  <c r="U124" i="6"/>
  <c r="T124" i="6"/>
  <c r="S124" i="6"/>
  <c r="O124" i="6"/>
  <c r="N124" i="6"/>
  <c r="M124" i="6"/>
  <c r="L124" i="6"/>
  <c r="K124" i="6"/>
  <c r="J124" i="6"/>
  <c r="I124" i="6"/>
  <c r="H124" i="6"/>
  <c r="G124" i="6"/>
  <c r="D120" i="6"/>
  <c r="C120" i="6"/>
  <c r="Z111" i="6"/>
  <c r="Z102" i="6" s="1"/>
  <c r="Y111" i="6"/>
  <c r="Y102" i="6" s="1"/>
  <c r="X111" i="6"/>
  <c r="X102" i="6" s="1"/>
  <c r="W111" i="6"/>
  <c r="W102" i="6" s="1"/>
  <c r="V111" i="6"/>
  <c r="U111" i="6"/>
  <c r="U102" i="6" s="1"/>
  <c r="T111" i="6"/>
  <c r="S111" i="6"/>
  <c r="S102" i="6" s="1"/>
  <c r="O111" i="6"/>
  <c r="N111" i="6"/>
  <c r="M111" i="6"/>
  <c r="L111" i="6"/>
  <c r="K111" i="6"/>
  <c r="J111" i="6"/>
  <c r="I111" i="6"/>
  <c r="H111" i="6"/>
  <c r="G111" i="6"/>
  <c r="V102" i="6"/>
  <c r="Z93" i="6"/>
  <c r="Y93" i="6"/>
  <c r="X93" i="6"/>
  <c r="W93" i="6"/>
  <c r="V93" i="6"/>
  <c r="U93" i="6"/>
  <c r="T93" i="6"/>
  <c r="S93" i="6"/>
  <c r="Z85" i="6"/>
  <c r="Y85" i="6"/>
  <c r="X85" i="6"/>
  <c r="W85" i="6"/>
  <c r="V85" i="6"/>
  <c r="U85" i="6"/>
  <c r="T85" i="6"/>
  <c r="S85" i="6"/>
  <c r="Z84" i="6"/>
  <c r="Y84" i="6"/>
  <c r="X84" i="6"/>
  <c r="W84" i="6"/>
  <c r="V84" i="6"/>
  <c r="U84" i="6"/>
  <c r="T84" i="6"/>
  <c r="S84" i="6"/>
  <c r="Z79" i="6"/>
  <c r="Y79" i="6"/>
  <c r="X79" i="6"/>
  <c r="W79" i="6"/>
  <c r="V79" i="6"/>
  <c r="U79" i="6"/>
  <c r="T79" i="6"/>
  <c r="Z75" i="6"/>
  <c r="Y75" i="6"/>
  <c r="X75" i="6"/>
  <c r="W75" i="6"/>
  <c r="V75" i="6"/>
  <c r="U75" i="6"/>
  <c r="T75" i="6"/>
  <c r="S75" i="6"/>
  <c r="Z74" i="6"/>
  <c r="Y74" i="6"/>
  <c r="X74" i="6"/>
  <c r="W74" i="6"/>
  <c r="V74" i="6"/>
  <c r="U74" i="6"/>
  <c r="T74" i="6"/>
  <c r="S74" i="6"/>
  <c r="O74" i="6"/>
  <c r="N74" i="6"/>
  <c r="M74" i="6"/>
  <c r="L74" i="6"/>
  <c r="K74" i="6"/>
  <c r="J74" i="6"/>
  <c r="I74" i="6"/>
  <c r="H74" i="6"/>
  <c r="C54" i="7"/>
  <c r="Z55" i="6"/>
  <c r="Y55" i="6"/>
  <c r="X55" i="6"/>
  <c r="W55" i="6"/>
  <c r="V55" i="6"/>
  <c r="U55" i="6"/>
  <c r="T55" i="6"/>
  <c r="S55" i="6"/>
  <c r="G49" i="7"/>
  <c r="C49" i="7"/>
  <c r="G48" i="7"/>
  <c r="C48" i="7"/>
  <c r="G47" i="7"/>
  <c r="C47" i="7"/>
  <c r="G46" i="7"/>
  <c r="C46" i="7"/>
  <c r="G45" i="7"/>
  <c r="C45" i="7"/>
  <c r="G44" i="7"/>
  <c r="C44" i="7"/>
  <c r="G43" i="7"/>
  <c r="C43" i="7"/>
  <c r="G42" i="7"/>
  <c r="C42" i="7"/>
  <c r="G41" i="7"/>
  <c r="C41" i="7"/>
  <c r="G40" i="7"/>
  <c r="C40" i="7"/>
  <c r="G39" i="7"/>
  <c r="C39" i="7"/>
  <c r="G38" i="7"/>
  <c r="C38" i="7"/>
  <c r="G37" i="7"/>
  <c r="C37" i="7"/>
  <c r="G36" i="7"/>
  <c r="C36" i="7"/>
  <c r="G35" i="7"/>
  <c r="C35" i="7"/>
  <c r="G34" i="7"/>
  <c r="C34" i="7"/>
  <c r="G33" i="7"/>
  <c r="C33" i="7"/>
  <c r="G32" i="7"/>
  <c r="Z34" i="6"/>
  <c r="Y34" i="6"/>
  <c r="X34" i="6"/>
  <c r="W34" i="6"/>
  <c r="V34" i="6"/>
  <c r="U34" i="6"/>
  <c r="T34" i="6"/>
  <c r="S34" i="6"/>
  <c r="Z24" i="6"/>
  <c r="Y24" i="6"/>
  <c r="X24" i="6"/>
  <c r="W24" i="6"/>
  <c r="V24" i="6"/>
  <c r="U24" i="6"/>
  <c r="T24" i="6"/>
  <c r="S24" i="6"/>
  <c r="T82" i="6" s="1"/>
  <c r="C24" i="6"/>
  <c r="G22" i="7"/>
  <c r="G21" i="7"/>
  <c r="G20" i="7"/>
  <c r="G19" i="7"/>
  <c r="G18" i="7"/>
  <c r="Z17" i="6"/>
  <c r="Y17" i="6"/>
  <c r="X17" i="6"/>
  <c r="Y78" i="6" s="1"/>
  <c r="W17" i="6"/>
  <c r="V17" i="6"/>
  <c r="U17" i="6"/>
  <c r="T17" i="6"/>
  <c r="S17" i="6"/>
  <c r="C17" i="6"/>
  <c r="G16" i="7"/>
  <c r="G15" i="7"/>
  <c r="G14" i="7"/>
  <c r="G13" i="7"/>
  <c r="N17" i="6"/>
  <c r="AE11" i="7" s="1"/>
  <c r="G12" i="7"/>
  <c r="Q108" i="6" l="1"/>
  <c r="R76" i="6"/>
  <c r="R105" i="6" s="1"/>
  <c r="R108" i="6" s="1"/>
  <c r="W66" i="6"/>
  <c r="W67" i="6" s="1"/>
  <c r="H1" i="2"/>
  <c r="F2" i="8"/>
  <c r="S25" i="6"/>
  <c r="S26" i="6" s="1"/>
  <c r="Y103" i="6"/>
  <c r="Z25" i="6"/>
  <c r="Z26" i="6" s="1"/>
  <c r="W83" i="6"/>
  <c r="U103" i="6"/>
  <c r="X83" i="6"/>
  <c r="U81" i="6"/>
  <c r="T77" i="6"/>
  <c r="U83" i="6"/>
  <c r="Z77" i="6"/>
  <c r="T83" i="6"/>
  <c r="Z103" i="6"/>
  <c r="G54" i="7"/>
  <c r="G53" i="7"/>
  <c r="L34" i="6"/>
  <c r="W30" i="7" s="1"/>
  <c r="H55" i="6"/>
  <c r="G31" i="7"/>
  <c r="V77" i="6"/>
  <c r="U66" i="6"/>
  <c r="U67" i="6" s="1"/>
  <c r="W78" i="6"/>
  <c r="V103" i="6"/>
  <c r="W103" i="6"/>
  <c r="N34" i="6"/>
  <c r="AE30" i="7" s="1"/>
  <c r="J55" i="6"/>
  <c r="J24" i="6"/>
  <c r="K55" i="6"/>
  <c r="S82" i="6"/>
  <c r="N24" i="6"/>
  <c r="N25" i="6" s="1"/>
  <c r="N26" i="6" s="1"/>
  <c r="G34" i="6"/>
  <c r="C30" i="7" s="1"/>
  <c r="O34" i="6"/>
  <c r="AI30" i="7" s="1"/>
  <c r="L17" i="6"/>
  <c r="W11" i="7" s="1"/>
  <c r="O17" i="6"/>
  <c r="K34" i="6"/>
  <c r="S30" i="7" s="1"/>
  <c r="G55" i="6"/>
  <c r="O55" i="6"/>
  <c r="G17" i="6"/>
  <c r="K17" i="6"/>
  <c r="N55" i="6"/>
  <c r="G24" i="6"/>
  <c r="O24" i="6"/>
  <c r="Y66" i="6"/>
  <c r="Y67" i="6" s="1"/>
  <c r="I24" i="6"/>
  <c r="M34" i="6"/>
  <c r="AA30" i="7" s="1"/>
  <c r="I55" i="6"/>
  <c r="M17" i="6"/>
  <c r="AA11" i="7" s="1"/>
  <c r="V66" i="6"/>
  <c r="V67" i="6" s="1"/>
  <c r="H34" i="6"/>
  <c r="G30" i="7" s="1"/>
  <c r="L55" i="6"/>
  <c r="C31" i="7"/>
  <c r="H24" i="6"/>
  <c r="I17" i="6"/>
  <c r="M24" i="6"/>
  <c r="X77" i="6"/>
  <c r="V82" i="6"/>
  <c r="X103" i="6"/>
  <c r="C32" i="7"/>
  <c r="L24" i="6"/>
  <c r="J34" i="6"/>
  <c r="O30" i="7" s="1"/>
  <c r="J17" i="6"/>
  <c r="M55" i="6"/>
  <c r="X56" i="6"/>
  <c r="X82" i="6"/>
  <c r="S103" i="6"/>
  <c r="Z56" i="6"/>
  <c r="U78" i="6"/>
  <c r="Z82" i="6"/>
  <c r="S56" i="6"/>
  <c r="C53" i="7"/>
  <c r="H17" i="6"/>
  <c r="K24" i="6"/>
  <c r="I34" i="6"/>
  <c r="K30" i="7" s="1"/>
  <c r="U82" i="6"/>
  <c r="T81" i="6"/>
  <c r="T66" i="6"/>
  <c r="Y82" i="6"/>
  <c r="X81" i="6"/>
  <c r="X66" i="6"/>
  <c r="X67" i="6" s="1"/>
  <c r="X25" i="6"/>
  <c r="T78" i="6"/>
  <c r="X78" i="6"/>
  <c r="W77" i="6"/>
  <c r="W80" i="6" s="1"/>
  <c r="T25" i="6"/>
  <c r="T56" i="6"/>
  <c r="W82" i="6"/>
  <c r="V81" i="6"/>
  <c r="Z81" i="6"/>
  <c r="V25" i="6"/>
  <c r="V56" i="6"/>
  <c r="Z66" i="6"/>
  <c r="Z67" i="6" s="1"/>
  <c r="S81" i="6"/>
  <c r="V78" i="6"/>
  <c r="U77" i="6"/>
  <c r="U25" i="6"/>
  <c r="Z78" i="6"/>
  <c r="Y77" i="6"/>
  <c r="Y80" i="6" s="1"/>
  <c r="Y25" i="6"/>
  <c r="W81" i="6"/>
  <c r="W25" i="6"/>
  <c r="Y83" i="6"/>
  <c r="W56" i="6"/>
  <c r="S66" i="6"/>
  <c r="Y81" i="6"/>
  <c r="V83" i="6"/>
  <c r="Z83" i="6"/>
  <c r="U56" i="6"/>
  <c r="Y56" i="6"/>
  <c r="A8" i="7"/>
  <c r="M19" i="3"/>
  <c r="N10" i="3"/>
  <c r="L10" i="3"/>
  <c r="S57" i="6" l="1"/>
  <c r="X86" i="6"/>
  <c r="Z57" i="6"/>
  <c r="Z106" i="6" s="1"/>
  <c r="AE12" i="7"/>
  <c r="AI11" i="7"/>
  <c r="I1" i="2"/>
  <c r="G2" i="8"/>
  <c r="X80" i="6"/>
  <c r="Z80" i="6"/>
  <c r="J56" i="6"/>
  <c r="N56" i="6"/>
  <c r="H56" i="6"/>
  <c r="S67" i="6"/>
  <c r="S68" i="6"/>
  <c r="S69" i="6" s="1"/>
  <c r="T67" i="6"/>
  <c r="T68" i="6"/>
  <c r="T69" i="6" s="1"/>
  <c r="T80" i="6"/>
  <c r="N66" i="6"/>
  <c r="S80" i="6"/>
  <c r="C11" i="7"/>
  <c r="T86" i="6"/>
  <c r="T87" i="6" s="1"/>
  <c r="U86" i="6"/>
  <c r="O66" i="6"/>
  <c r="L56" i="6"/>
  <c r="W29" i="7" s="1"/>
  <c r="S106" i="6"/>
  <c r="S60" i="6"/>
  <c r="S63" i="6" s="1"/>
  <c r="S64" i="6" s="1"/>
  <c r="O56" i="6"/>
  <c r="AI29" i="7" s="1"/>
  <c r="G11" i="7"/>
  <c r="V80" i="6"/>
  <c r="G56" i="6"/>
  <c r="K56" i="6"/>
  <c r="J66" i="6"/>
  <c r="J68" i="6" s="1"/>
  <c r="J69" i="6" s="1"/>
  <c r="G17" i="7"/>
  <c r="M66" i="6"/>
  <c r="O25" i="6"/>
  <c r="L25" i="6"/>
  <c r="I66" i="6"/>
  <c r="L66" i="6"/>
  <c r="M25" i="6"/>
  <c r="M26" i="6" s="1"/>
  <c r="G66" i="6"/>
  <c r="K25" i="6"/>
  <c r="S83" i="6"/>
  <c r="S86" i="6" s="1"/>
  <c r="H66" i="6"/>
  <c r="G25" i="6"/>
  <c r="I56" i="6"/>
  <c r="K66" i="6"/>
  <c r="I25" i="6"/>
  <c r="I26" i="6" s="1"/>
  <c r="U80" i="6"/>
  <c r="H25" i="6"/>
  <c r="M56" i="6"/>
  <c r="AA29" i="7" s="1"/>
  <c r="W86" i="6"/>
  <c r="W87" i="6" s="1"/>
  <c r="W104" i="6" s="1"/>
  <c r="J25" i="6"/>
  <c r="Z86" i="6"/>
  <c r="V86" i="6"/>
  <c r="T57" i="6"/>
  <c r="T26" i="6"/>
  <c r="U57" i="6"/>
  <c r="U26" i="6"/>
  <c r="X57" i="6"/>
  <c r="X26" i="6"/>
  <c r="Y86" i="6"/>
  <c r="Y87" i="6" s="1"/>
  <c r="Y104" i="6" s="1"/>
  <c r="W26" i="6"/>
  <c r="W57" i="6"/>
  <c r="Y57" i="6"/>
  <c r="Y26" i="6"/>
  <c r="V26" i="6"/>
  <c r="V57" i="6"/>
  <c r="AX44" i="7"/>
  <c r="AX35" i="7"/>
  <c r="AV22" i="7"/>
  <c r="AU22" i="7"/>
  <c r="AX22" i="7" s="1"/>
  <c r="AV21" i="7"/>
  <c r="AU21" i="7"/>
  <c r="AX21" i="7" s="1"/>
  <c r="AV20" i="7"/>
  <c r="AU20" i="7"/>
  <c r="AX20" i="7" s="1"/>
  <c r="AV19" i="7"/>
  <c r="AU19" i="7"/>
  <c r="AX19" i="7" s="1"/>
  <c r="AV18" i="7"/>
  <c r="AU18" i="7"/>
  <c r="AX18" i="7" s="1"/>
  <c r="AU16" i="7"/>
  <c r="AU15" i="7"/>
  <c r="AX15" i="7" s="1"/>
  <c r="AU14" i="7"/>
  <c r="AU13" i="7"/>
  <c r="AV12" i="7"/>
  <c r="AV16" i="7"/>
  <c r="AV15" i="7"/>
  <c r="AV14" i="7"/>
  <c r="AX50" i="7"/>
  <c r="AV50" i="7"/>
  <c r="AW50" i="7" s="1"/>
  <c r="Z87" i="6" l="1"/>
  <c r="Z104" i="6" s="1"/>
  <c r="Z60" i="6"/>
  <c r="Z63" i="6" s="1"/>
  <c r="X87" i="6"/>
  <c r="X104" i="6" s="1"/>
  <c r="J1" i="2"/>
  <c r="H2" i="8"/>
  <c r="N57" i="6"/>
  <c r="N60" i="6" s="1"/>
  <c r="N63" i="6" s="1"/>
  <c r="AE29" i="7"/>
  <c r="J57" i="6"/>
  <c r="J60" i="6" s="1"/>
  <c r="J63" i="6" s="1"/>
  <c r="AV26" i="7"/>
  <c r="M57" i="6"/>
  <c r="J67" i="6"/>
  <c r="G67" i="6"/>
  <c r="G68" i="6"/>
  <c r="G69" i="6" s="1"/>
  <c r="I67" i="6"/>
  <c r="I68" i="6"/>
  <c r="I69" i="6" s="1"/>
  <c r="O67" i="6"/>
  <c r="O68" i="6"/>
  <c r="O69" i="6" s="1"/>
  <c r="N67" i="6"/>
  <c r="N68" i="6"/>
  <c r="N69" i="6" s="1"/>
  <c r="K67" i="6"/>
  <c r="K68" i="6"/>
  <c r="K69" i="6" s="1"/>
  <c r="H67" i="6"/>
  <c r="H68" i="6"/>
  <c r="H69" i="6" s="1"/>
  <c r="L67" i="6"/>
  <c r="L68" i="6"/>
  <c r="L69" i="6" s="1"/>
  <c r="M67" i="6"/>
  <c r="M68" i="6"/>
  <c r="M69" i="6" s="1"/>
  <c r="K57" i="6"/>
  <c r="U87" i="6"/>
  <c r="U104" i="6" s="1"/>
  <c r="L57" i="6"/>
  <c r="S87" i="6"/>
  <c r="S104" i="6" s="1"/>
  <c r="G57" i="6"/>
  <c r="G60" i="6" s="1"/>
  <c r="G63" i="6" s="1"/>
  <c r="G64" i="6" s="1"/>
  <c r="O57" i="6"/>
  <c r="O60" i="6" s="1"/>
  <c r="O63" i="6" s="1"/>
  <c r="H57" i="6"/>
  <c r="H60" i="6" s="1"/>
  <c r="H63" i="6" s="1"/>
  <c r="G23" i="7"/>
  <c r="AW22" i="7"/>
  <c r="J26" i="6"/>
  <c r="O26" i="6"/>
  <c r="V87" i="6"/>
  <c r="V104" i="6" s="1"/>
  <c r="I57" i="6"/>
  <c r="AU28" i="7"/>
  <c r="AW16" i="7"/>
  <c r="AU26" i="7"/>
  <c r="AX26" i="7" s="1"/>
  <c r="L26" i="6"/>
  <c r="K26" i="6"/>
  <c r="G26" i="6"/>
  <c r="AV28" i="7"/>
  <c r="AW14" i="7"/>
  <c r="H26" i="6"/>
  <c r="AV24" i="7"/>
  <c r="V106" i="6"/>
  <c r="V60" i="6"/>
  <c r="V63" i="6" s="1"/>
  <c r="Y60" i="6"/>
  <c r="Y63" i="6" s="1"/>
  <c r="Y106" i="6"/>
  <c r="X106" i="6"/>
  <c r="X60" i="6"/>
  <c r="X63" i="6" s="1"/>
  <c r="W60" i="6"/>
  <c r="W63" i="6" s="1"/>
  <c r="W106" i="6"/>
  <c r="U106" i="6"/>
  <c r="U60" i="6"/>
  <c r="U63" i="6" s="1"/>
  <c r="T106" i="6"/>
  <c r="T60" i="6"/>
  <c r="T63" i="6" s="1"/>
  <c r="T64" i="6" s="1"/>
  <c r="AW20" i="7"/>
  <c r="AV27" i="7"/>
  <c r="AX16" i="7"/>
  <c r="AW18" i="7"/>
  <c r="AX12" i="7"/>
  <c r="AU24" i="7"/>
  <c r="AX24" i="7" s="1"/>
  <c r="AW12" i="7"/>
  <c r="AX14" i="7"/>
  <c r="AX28" i="7"/>
  <c r="AU25" i="7"/>
  <c r="AU27" i="7"/>
  <c r="AX27" i="7" s="1"/>
  <c r="AW15" i="7"/>
  <c r="AW19" i="7"/>
  <c r="AW21" i="7"/>
  <c r="AW28" i="7" l="1"/>
  <c r="K1" i="2"/>
  <c r="I2" i="8"/>
  <c r="M60" i="6"/>
  <c r="M63" i="6" s="1"/>
  <c r="K60" i="6"/>
  <c r="K63" i="6" s="1"/>
  <c r="L60" i="6"/>
  <c r="L63" i="6" s="1"/>
  <c r="I60" i="6"/>
  <c r="I63" i="6" s="1"/>
  <c r="AW26" i="7"/>
  <c r="H108" i="6"/>
  <c r="G108" i="6"/>
  <c r="U64" i="6"/>
  <c r="V64" i="6" s="1"/>
  <c r="W64" i="6" s="1"/>
  <c r="X64" i="6" s="1"/>
  <c r="Y64" i="6" s="1"/>
  <c r="Z64" i="6" s="1"/>
  <c r="H64" i="6"/>
  <c r="AW24" i="7"/>
  <c r="AW27" i="7"/>
  <c r="L1" i="2" l="1"/>
  <c r="J2" i="8"/>
  <c r="I64" i="6"/>
  <c r="J64" i="6" s="1"/>
  <c r="K64" i="6" s="1"/>
  <c r="L64" i="6" s="1"/>
  <c r="M64" i="6" s="1"/>
  <c r="N64" i="6" s="1"/>
  <c r="O64" i="6" s="1"/>
  <c r="I108" i="6"/>
  <c r="AT35" i="7"/>
  <c r="AR22" i="7"/>
  <c r="AR21" i="7"/>
  <c r="AR20" i="7"/>
  <c r="AR19" i="7"/>
  <c r="AR18" i="7"/>
  <c r="AR16" i="7"/>
  <c r="AR15" i="7"/>
  <c r="AR14" i="7"/>
  <c r="AR12" i="7"/>
  <c r="AQ22" i="7"/>
  <c r="AT22" i="7" s="1"/>
  <c r="AQ21" i="7"/>
  <c r="AQ20" i="7"/>
  <c r="AT20" i="7" s="1"/>
  <c r="AQ19" i="7"/>
  <c r="AQ18" i="7"/>
  <c r="AQ16" i="7"/>
  <c r="AQ15" i="7"/>
  <c r="AQ14" i="7"/>
  <c r="AT14" i="7" s="1"/>
  <c r="AQ13" i="7"/>
  <c r="AT12" i="7"/>
  <c r="AT50" i="7"/>
  <c r="AR50" i="7"/>
  <c r="AS50" i="7" s="1"/>
  <c r="AN22" i="7"/>
  <c r="AN21" i="7"/>
  <c r="AN20" i="7"/>
  <c r="AN19" i="7"/>
  <c r="AN18" i="7"/>
  <c r="AN16" i="7"/>
  <c r="AN15" i="7"/>
  <c r="AN14" i="7"/>
  <c r="AN13" i="7"/>
  <c r="AM53" i="7"/>
  <c r="AP53" i="7" s="1"/>
  <c r="AP50" i="7"/>
  <c r="AN50" i="7"/>
  <c r="AO50" i="7" s="1"/>
  <c r="AP35" i="7"/>
  <c r="AM22" i="7"/>
  <c r="AP22" i="7" s="1"/>
  <c r="AM21" i="7"/>
  <c r="AM20" i="7"/>
  <c r="AP20" i="7" s="1"/>
  <c r="AM19" i="7"/>
  <c r="AM18" i="7"/>
  <c r="AM16" i="7"/>
  <c r="AM15" i="7"/>
  <c r="AM14" i="7"/>
  <c r="AM13" i="7"/>
  <c r="T102" i="6" l="1"/>
  <c r="T103" i="6" s="1"/>
  <c r="T104" i="6" s="1"/>
  <c r="P64" i="6"/>
  <c r="Q64" i="6" s="1"/>
  <c r="R64" i="6" s="1"/>
  <c r="M1" i="2"/>
  <c r="K2" i="8"/>
  <c r="AS15" i="7"/>
  <c r="AS20" i="7"/>
  <c r="J108" i="6"/>
  <c r="AM25" i="7"/>
  <c r="AS12" i="7"/>
  <c r="AS14" i="7"/>
  <c r="AP14" i="7"/>
  <c r="AN11" i="7"/>
  <c r="AT21" i="7"/>
  <c r="AO19" i="7"/>
  <c r="AP18" i="7"/>
  <c r="AS19" i="7"/>
  <c r="AM26" i="7"/>
  <c r="AT16" i="7"/>
  <c r="AM27" i="7"/>
  <c r="AO21" i="7"/>
  <c r="AP16" i="7"/>
  <c r="AT19" i="7"/>
  <c r="AT15" i="7"/>
  <c r="AM28" i="7"/>
  <c r="AO15" i="7"/>
  <c r="AM17" i="7"/>
  <c r="AO18" i="7"/>
  <c r="AQ17" i="7"/>
  <c r="AS21" i="7"/>
  <c r="AS22" i="7"/>
  <c r="AS18" i="7"/>
  <c r="AS16" i="7"/>
  <c r="AQ24" i="7"/>
  <c r="AQ26" i="7"/>
  <c r="AQ28" i="7"/>
  <c r="AR24" i="7"/>
  <c r="AR28" i="7"/>
  <c r="AT18" i="7"/>
  <c r="AQ25" i="7"/>
  <c r="AQ27" i="7"/>
  <c r="AR26" i="7"/>
  <c r="AR27" i="7"/>
  <c r="AP13" i="7"/>
  <c r="AP19" i="7"/>
  <c r="AO13" i="7"/>
  <c r="AO20" i="7"/>
  <c r="AM24" i="7"/>
  <c r="AO22" i="7"/>
  <c r="AO14" i="7"/>
  <c r="AO16" i="7"/>
  <c r="AP21" i="7"/>
  <c r="AP15" i="7"/>
  <c r="AN26" i="7"/>
  <c r="AN28" i="7"/>
  <c r="AN25" i="7"/>
  <c r="AN27" i="7"/>
  <c r="N1" i="2" l="1"/>
  <c r="L2" i="8"/>
  <c r="AS24" i="7"/>
  <c r="AO26" i="7"/>
  <c r="AO27" i="7"/>
  <c r="AO25" i="7"/>
  <c r="K108" i="6"/>
  <c r="AO28" i="7"/>
  <c r="AT26" i="7"/>
  <c r="AT27" i="7"/>
  <c r="AT28" i="7"/>
  <c r="AT24" i="7"/>
  <c r="AS27" i="7"/>
  <c r="AS28" i="7"/>
  <c r="AS26" i="7"/>
  <c r="AP27" i="7"/>
  <c r="AP25" i="7"/>
  <c r="AP28" i="7"/>
  <c r="AP26" i="7"/>
  <c r="AL35" i="7"/>
  <c r="AL44" i="7"/>
  <c r="AJ22" i="7"/>
  <c r="AI22" i="7"/>
  <c r="AJ21" i="7"/>
  <c r="AI21" i="7"/>
  <c r="AJ20" i="7"/>
  <c r="AI20" i="7"/>
  <c r="AL20" i="7" s="1"/>
  <c r="AJ19" i="7"/>
  <c r="AI19" i="7"/>
  <c r="AJ18" i="7"/>
  <c r="AI18" i="7"/>
  <c r="AJ16" i="7"/>
  <c r="AJ15" i="7"/>
  <c r="AJ14" i="7"/>
  <c r="AJ12" i="7"/>
  <c r="AI16" i="7"/>
  <c r="AI15" i="7"/>
  <c r="AI14" i="7"/>
  <c r="AI13" i="7"/>
  <c r="AI53" i="7"/>
  <c r="AL53" i="7" s="1"/>
  <c r="AL50" i="7"/>
  <c r="AJ50" i="7"/>
  <c r="AF22" i="7"/>
  <c r="AF21" i="7"/>
  <c r="AF20" i="7"/>
  <c r="AF19" i="7"/>
  <c r="AF18" i="7"/>
  <c r="AF16" i="7"/>
  <c r="AF15" i="7"/>
  <c r="AF14" i="7"/>
  <c r="AF12" i="7"/>
  <c r="AB22" i="7"/>
  <c r="AB21" i="7"/>
  <c r="AB20" i="7"/>
  <c r="AB19" i="7"/>
  <c r="AB18" i="7"/>
  <c r="AB16" i="7"/>
  <c r="AB15" i="7"/>
  <c r="AB14" i="7"/>
  <c r="AB12" i="7"/>
  <c r="AH50" i="7"/>
  <c r="AF50" i="7"/>
  <c r="AD50" i="7"/>
  <c r="AB50" i="7"/>
  <c r="Z44" i="7"/>
  <c r="Z35" i="7"/>
  <c r="X22" i="7"/>
  <c r="X20" i="7"/>
  <c r="X19" i="7"/>
  <c r="X18" i="7"/>
  <c r="X16" i="7"/>
  <c r="X15" i="7"/>
  <c r="X14" i="7"/>
  <c r="X12" i="7"/>
  <c r="Z50" i="7"/>
  <c r="X50" i="7"/>
  <c r="O94" i="2"/>
  <c r="N94" i="2"/>
  <c r="M94" i="2"/>
  <c r="L94" i="2"/>
  <c r="K94" i="2"/>
  <c r="J94" i="2"/>
  <c r="I94" i="2"/>
  <c r="H94" i="2"/>
  <c r="G94" i="2"/>
  <c r="F94" i="2"/>
  <c r="E94" i="2"/>
  <c r="D94" i="2"/>
  <c r="C94" i="2"/>
  <c r="T22" i="7"/>
  <c r="T20" i="7"/>
  <c r="T19" i="7"/>
  <c r="T18" i="7"/>
  <c r="T16" i="7"/>
  <c r="T15" i="7"/>
  <c r="T14" i="7"/>
  <c r="T12" i="7"/>
  <c r="V44" i="7"/>
  <c r="T50" i="7"/>
  <c r="U50" i="7" s="1"/>
  <c r="V35" i="7"/>
  <c r="P50" i="7"/>
  <c r="Q50" i="7" s="1"/>
  <c r="P22" i="7"/>
  <c r="P21" i="7"/>
  <c r="P20" i="7"/>
  <c r="P19" i="7"/>
  <c r="P18" i="7"/>
  <c r="P16" i="7"/>
  <c r="P15" i="7"/>
  <c r="P14" i="7"/>
  <c r="P12" i="7"/>
  <c r="O6" i="1"/>
  <c r="L50" i="7"/>
  <c r="M50" i="7" s="1"/>
  <c r="L22" i="7"/>
  <c r="L21" i="7"/>
  <c r="L20" i="7"/>
  <c r="L19" i="7"/>
  <c r="L18" i="7"/>
  <c r="H50" i="7"/>
  <c r="H22" i="7"/>
  <c r="H21" i="7"/>
  <c r="H20" i="7"/>
  <c r="H19" i="7"/>
  <c r="H18" i="7"/>
  <c r="D22" i="7"/>
  <c r="D20" i="7"/>
  <c r="D19" i="7"/>
  <c r="F50" i="7"/>
  <c r="L16" i="7"/>
  <c r="L15" i="7"/>
  <c r="L14" i="7"/>
  <c r="L12" i="7"/>
  <c r="H16" i="7"/>
  <c r="H15" i="7"/>
  <c r="H14" i="7"/>
  <c r="H12" i="7"/>
  <c r="D16" i="7"/>
  <c r="D15" i="7"/>
  <c r="D14" i="7"/>
  <c r="D12" i="7"/>
  <c r="R50" i="7" l="1"/>
  <c r="V50" i="7"/>
  <c r="O1" i="2"/>
  <c r="N2" i="8" s="1"/>
  <c r="M2" i="8"/>
  <c r="N50" i="7"/>
  <c r="I50" i="7"/>
  <c r="BB50" i="7"/>
  <c r="J50" i="7"/>
  <c r="AK22" i="7"/>
  <c r="L108" i="6"/>
  <c r="AL19" i="7"/>
  <c r="AK16" i="7"/>
  <c r="AL21" i="7"/>
  <c r="AB28" i="7"/>
  <c r="AK18" i="7"/>
  <c r="AK12" i="7"/>
  <c r="AJ27" i="7"/>
  <c r="AL22" i="7"/>
  <c r="AK14" i="7"/>
  <c r="X28" i="7"/>
  <c r="AJ24" i="7"/>
  <c r="X26" i="7"/>
  <c r="AK19" i="7"/>
  <c r="AJ28" i="7"/>
  <c r="AL16" i="7"/>
  <c r="AL12" i="7"/>
  <c r="AK15" i="7"/>
  <c r="AJ26" i="7"/>
  <c r="AK20" i="7"/>
  <c r="AK21" i="7"/>
  <c r="AI17" i="7"/>
  <c r="AI26" i="7"/>
  <c r="AL26" i="7" s="1"/>
  <c r="AL15" i="7"/>
  <c r="AI24" i="7"/>
  <c r="AI28" i="7"/>
  <c r="AL14" i="7"/>
  <c r="AL18" i="7"/>
  <c r="AI27" i="7"/>
  <c r="AI25" i="7"/>
  <c r="X24" i="7"/>
  <c r="AB24" i="7"/>
  <c r="AB27" i="7"/>
  <c r="AB26" i="7"/>
  <c r="T26" i="7"/>
  <c r="T28" i="7"/>
  <c r="T24" i="7"/>
  <c r="H23" i="3"/>
  <c r="L24" i="7" s="1"/>
  <c r="C22" i="7"/>
  <c r="C21" i="7"/>
  <c r="C20" i="7"/>
  <c r="C19" i="7"/>
  <c r="C18" i="7"/>
  <c r="C16" i="7"/>
  <c r="C15" i="7"/>
  <c r="C14" i="7"/>
  <c r="C13" i="7"/>
  <c r="C12" i="7"/>
  <c r="D18" i="7"/>
  <c r="P8" i="4"/>
  <c r="O8" i="4"/>
  <c r="N8" i="4"/>
  <c r="M8" i="4"/>
  <c r="L8" i="4"/>
  <c r="K8" i="4"/>
  <c r="J8" i="4"/>
  <c r="I8" i="4"/>
  <c r="H8" i="4"/>
  <c r="G8" i="4"/>
  <c r="F8" i="4"/>
  <c r="AQ54" i="7"/>
  <c r="AE54" i="7"/>
  <c r="AQ53" i="7"/>
  <c r="AT53" i="7" s="1"/>
  <c r="AA53" i="7"/>
  <c r="W53" i="7"/>
  <c r="AE49" i="7"/>
  <c r="AE48" i="7"/>
  <c r="AE47" i="7"/>
  <c r="AE46" i="7"/>
  <c r="AE45" i="7"/>
  <c r="AE44" i="7"/>
  <c r="AE43" i="7"/>
  <c r="AE42" i="7"/>
  <c r="AE41" i="7"/>
  <c r="AE40" i="7"/>
  <c r="AE39" i="7"/>
  <c r="AE37" i="7"/>
  <c r="AE36" i="7"/>
  <c r="AE35" i="7"/>
  <c r="AD35" i="7"/>
  <c r="AE34" i="7"/>
  <c r="AE33" i="7"/>
  <c r="S22" i="7"/>
  <c r="U22" i="7" s="1"/>
  <c r="K22" i="7"/>
  <c r="AE21" i="7"/>
  <c r="AH21" i="7" s="1"/>
  <c r="AA21" i="7"/>
  <c r="AD21" i="7" s="1"/>
  <c r="W21" i="7"/>
  <c r="S21" i="7"/>
  <c r="O21" i="7"/>
  <c r="R21" i="7" s="1"/>
  <c r="K21" i="7"/>
  <c r="S20" i="7"/>
  <c r="V20" i="7" s="1"/>
  <c r="S19" i="7"/>
  <c r="V19" i="7" s="1"/>
  <c r="W16" i="7"/>
  <c r="Z16" i="7" s="1"/>
  <c r="W15" i="7"/>
  <c r="W14" i="7"/>
  <c r="V14" i="7"/>
  <c r="AA21" i="3"/>
  <c r="AA19" i="3"/>
  <c r="Y21" i="3"/>
  <c r="Y19" i="3"/>
  <c r="W21" i="3"/>
  <c r="W19" i="3"/>
  <c r="U21" i="3"/>
  <c r="U19" i="3"/>
  <c r="S21" i="3"/>
  <c r="S19" i="3"/>
  <c r="Q21" i="3"/>
  <c r="Q19" i="3"/>
  <c r="O21" i="3"/>
  <c r="O19" i="3"/>
  <c r="M21" i="3"/>
  <c r="K21" i="3"/>
  <c r="K19" i="3"/>
  <c r="I21" i="3"/>
  <c r="I19" i="3"/>
  <c r="G21" i="3"/>
  <c r="G19" i="3"/>
  <c r="G17" i="3"/>
  <c r="Z53" i="3"/>
  <c r="AV54" i="7" s="1"/>
  <c r="X53" i="3"/>
  <c r="AR54" i="7" s="1"/>
  <c r="V53" i="3"/>
  <c r="AN54" i="7" s="1"/>
  <c r="T53" i="3"/>
  <c r="AJ54" i="7" s="1"/>
  <c r="R53" i="3"/>
  <c r="AF54" i="7" s="1"/>
  <c r="P53" i="3"/>
  <c r="AB54" i="7" s="1"/>
  <c r="N53" i="3"/>
  <c r="X54" i="7" s="1"/>
  <c r="L53" i="3"/>
  <c r="T54" i="7" s="1"/>
  <c r="J53" i="3"/>
  <c r="P54" i="7" s="1"/>
  <c r="H53" i="3"/>
  <c r="L54" i="7" s="1"/>
  <c r="Z52" i="3"/>
  <c r="X52" i="3"/>
  <c r="AR53" i="7" s="1"/>
  <c r="V52" i="3"/>
  <c r="AN53" i="7" s="1"/>
  <c r="AO53" i="7" s="1"/>
  <c r="T52" i="3"/>
  <c r="AJ53" i="7" s="1"/>
  <c r="R52" i="3"/>
  <c r="AF53" i="7" s="1"/>
  <c r="P52" i="3"/>
  <c r="AB53" i="7" s="1"/>
  <c r="AC53" i="7" s="1"/>
  <c r="N52" i="3"/>
  <c r="X53" i="7" s="1"/>
  <c r="Y53" i="7" s="1"/>
  <c r="L52" i="3"/>
  <c r="T53" i="7" s="1"/>
  <c r="J52" i="3"/>
  <c r="H52" i="3"/>
  <c r="L53" i="7" s="1"/>
  <c r="Z48" i="3"/>
  <c r="AV49" i="7" s="1"/>
  <c r="X48" i="3"/>
  <c r="AR49" i="7" s="1"/>
  <c r="V48" i="3"/>
  <c r="AN49" i="7" s="1"/>
  <c r="T48" i="3"/>
  <c r="AJ49" i="7" s="1"/>
  <c r="AK49" i="7" s="1"/>
  <c r="R48" i="3"/>
  <c r="AF49" i="7" s="1"/>
  <c r="P48" i="3"/>
  <c r="AB49" i="7" s="1"/>
  <c r="N48" i="3"/>
  <c r="X49" i="7" s="1"/>
  <c r="Z49" i="7" s="1"/>
  <c r="L48" i="3"/>
  <c r="T49" i="7" s="1"/>
  <c r="V49" i="7" s="1"/>
  <c r="J48" i="3"/>
  <c r="P49" i="7" s="1"/>
  <c r="H48" i="3"/>
  <c r="L49" i="7" s="1"/>
  <c r="Z47" i="3"/>
  <c r="AV48" i="7" s="1"/>
  <c r="X47" i="3"/>
  <c r="AR48" i="7" s="1"/>
  <c r="V47" i="3"/>
  <c r="AN48" i="7" s="1"/>
  <c r="T47" i="3"/>
  <c r="AJ48" i="7" s="1"/>
  <c r="AL48" i="7" s="1"/>
  <c r="R47" i="3"/>
  <c r="AF48" i="7" s="1"/>
  <c r="P47" i="3"/>
  <c r="AB48" i="7" s="1"/>
  <c r="AC48" i="7" s="1"/>
  <c r="N47" i="3"/>
  <c r="X48" i="7" s="1"/>
  <c r="Z48" i="7" s="1"/>
  <c r="L47" i="3"/>
  <c r="T48" i="7" s="1"/>
  <c r="V48" i="7" s="1"/>
  <c r="J47" i="3"/>
  <c r="P48" i="7" s="1"/>
  <c r="H47" i="3"/>
  <c r="L48" i="7" s="1"/>
  <c r="Z46" i="3"/>
  <c r="AV47" i="7" s="1"/>
  <c r="X46" i="3"/>
  <c r="AR47" i="7" s="1"/>
  <c r="V46" i="3"/>
  <c r="AN47" i="7" s="1"/>
  <c r="T46" i="3"/>
  <c r="AJ47" i="7" s="1"/>
  <c r="AL47" i="7" s="1"/>
  <c r="R46" i="3"/>
  <c r="AF47" i="7" s="1"/>
  <c r="AG47" i="7" s="1"/>
  <c r="P46" i="3"/>
  <c r="AB47" i="7" s="1"/>
  <c r="AC47" i="7" s="1"/>
  <c r="N46" i="3"/>
  <c r="X47" i="7" s="1"/>
  <c r="Y47" i="7" s="1"/>
  <c r="L46" i="3"/>
  <c r="T47" i="7" s="1"/>
  <c r="J46" i="3"/>
  <c r="P47" i="7" s="1"/>
  <c r="H46" i="3"/>
  <c r="L47" i="7" s="1"/>
  <c r="Z45" i="3"/>
  <c r="AV46" i="7" s="1"/>
  <c r="X45" i="3"/>
  <c r="AR46" i="7" s="1"/>
  <c r="V45" i="3"/>
  <c r="AN46" i="7" s="1"/>
  <c r="T45" i="3"/>
  <c r="AJ46" i="7" s="1"/>
  <c r="AL46" i="7" s="1"/>
  <c r="R45" i="3"/>
  <c r="AF46" i="7" s="1"/>
  <c r="AG46" i="7" s="1"/>
  <c r="P45" i="3"/>
  <c r="AB46" i="7" s="1"/>
  <c r="AC46" i="7" s="1"/>
  <c r="N45" i="3"/>
  <c r="X46" i="7" s="1"/>
  <c r="L45" i="3"/>
  <c r="T46" i="7" s="1"/>
  <c r="J45" i="3"/>
  <c r="P46" i="7" s="1"/>
  <c r="H45" i="3"/>
  <c r="L46" i="7" s="1"/>
  <c r="Z44" i="3"/>
  <c r="AV45" i="7" s="1"/>
  <c r="X44" i="3"/>
  <c r="AR45" i="7" s="1"/>
  <c r="V44" i="3"/>
  <c r="AN45" i="7" s="1"/>
  <c r="T44" i="3"/>
  <c r="AJ45" i="7" s="1"/>
  <c r="AL45" i="7" s="1"/>
  <c r="R44" i="3"/>
  <c r="AF45" i="7" s="1"/>
  <c r="AG45" i="7" s="1"/>
  <c r="P44" i="3"/>
  <c r="AB45" i="7" s="1"/>
  <c r="AC45" i="7" s="1"/>
  <c r="N44" i="3"/>
  <c r="X45" i="7" s="1"/>
  <c r="L44" i="3"/>
  <c r="T45" i="7" s="1"/>
  <c r="J44" i="3"/>
  <c r="P45" i="7" s="1"/>
  <c r="H44" i="3"/>
  <c r="L45" i="7" s="1"/>
  <c r="Z43" i="3"/>
  <c r="AV44" i="7" s="1"/>
  <c r="AW44" i="7" s="1"/>
  <c r="X43" i="3"/>
  <c r="AR44" i="7" s="1"/>
  <c r="V43" i="3"/>
  <c r="AN44" i="7" s="1"/>
  <c r="T43" i="3"/>
  <c r="AJ44" i="7" s="1"/>
  <c r="AK44" i="7" s="1"/>
  <c r="R43" i="3"/>
  <c r="AF44" i="7" s="1"/>
  <c r="AG44" i="7" s="1"/>
  <c r="P43" i="3"/>
  <c r="AB44" i="7" s="1"/>
  <c r="AC44" i="7" s="1"/>
  <c r="N43" i="3"/>
  <c r="X44" i="7" s="1"/>
  <c r="Y44" i="7" s="1"/>
  <c r="L43" i="3"/>
  <c r="T44" i="7" s="1"/>
  <c r="U44" i="7" s="1"/>
  <c r="J43" i="3"/>
  <c r="P44" i="7" s="1"/>
  <c r="H43" i="3"/>
  <c r="L44" i="7" s="1"/>
  <c r="Z42" i="3"/>
  <c r="AV43" i="7" s="1"/>
  <c r="X42" i="3"/>
  <c r="AR43" i="7" s="1"/>
  <c r="V42" i="3"/>
  <c r="AN43" i="7" s="1"/>
  <c r="T42" i="3"/>
  <c r="AJ43" i="7" s="1"/>
  <c r="AK43" i="7" s="1"/>
  <c r="R42" i="3"/>
  <c r="AF43" i="7" s="1"/>
  <c r="AG43" i="7" s="1"/>
  <c r="P42" i="3"/>
  <c r="AB43" i="7" s="1"/>
  <c r="AC43" i="7" s="1"/>
  <c r="N42" i="3"/>
  <c r="X43" i="7" s="1"/>
  <c r="Y43" i="7" s="1"/>
  <c r="L42" i="3"/>
  <c r="T43" i="7" s="1"/>
  <c r="U43" i="7" s="1"/>
  <c r="J42" i="3"/>
  <c r="P43" i="7" s="1"/>
  <c r="H42" i="3"/>
  <c r="L43" i="7" s="1"/>
  <c r="Z41" i="3"/>
  <c r="AV42" i="7" s="1"/>
  <c r="X41" i="3"/>
  <c r="AR42" i="7" s="1"/>
  <c r="V41" i="3"/>
  <c r="AN42" i="7" s="1"/>
  <c r="T41" i="3"/>
  <c r="AJ42" i="7" s="1"/>
  <c r="R41" i="3"/>
  <c r="AF42" i="7" s="1"/>
  <c r="AG42" i="7" s="1"/>
  <c r="P41" i="3"/>
  <c r="AB42" i="7" s="1"/>
  <c r="AC42" i="7" s="1"/>
  <c r="N41" i="3"/>
  <c r="X42" i="7" s="1"/>
  <c r="Y42" i="7" s="1"/>
  <c r="L41" i="3"/>
  <c r="T42" i="7" s="1"/>
  <c r="J41" i="3"/>
  <c r="P42" i="7" s="1"/>
  <c r="H41" i="3"/>
  <c r="L42" i="7" s="1"/>
  <c r="Z40" i="3"/>
  <c r="AV41" i="7" s="1"/>
  <c r="X40" i="3"/>
  <c r="AR41" i="7" s="1"/>
  <c r="V40" i="3"/>
  <c r="AN41" i="7" s="1"/>
  <c r="T40" i="3"/>
  <c r="AJ41" i="7" s="1"/>
  <c r="AK41" i="7" s="1"/>
  <c r="R40" i="3"/>
  <c r="AF41" i="7" s="1"/>
  <c r="P40" i="3"/>
  <c r="AB41" i="7" s="1"/>
  <c r="N40" i="3"/>
  <c r="X41" i="7" s="1"/>
  <c r="Y41" i="7" s="1"/>
  <c r="L40" i="3"/>
  <c r="T41" i="7" s="1"/>
  <c r="U41" i="7" s="1"/>
  <c r="J40" i="3"/>
  <c r="P41" i="7" s="1"/>
  <c r="H40" i="3"/>
  <c r="L41" i="7" s="1"/>
  <c r="Z39" i="3"/>
  <c r="AV40" i="7" s="1"/>
  <c r="X39" i="3"/>
  <c r="AR40" i="7" s="1"/>
  <c r="V39" i="3"/>
  <c r="AN40" i="7" s="1"/>
  <c r="T39" i="3"/>
  <c r="AJ40" i="7" s="1"/>
  <c r="AL40" i="7" s="1"/>
  <c r="R39" i="3"/>
  <c r="AF40" i="7" s="1"/>
  <c r="P39" i="3"/>
  <c r="AB40" i="7" s="1"/>
  <c r="N39" i="3"/>
  <c r="X40" i="7" s="1"/>
  <c r="Y40" i="7" s="1"/>
  <c r="L39" i="3"/>
  <c r="T40" i="7" s="1"/>
  <c r="J39" i="3"/>
  <c r="P40" i="7" s="1"/>
  <c r="H39" i="3"/>
  <c r="L40" i="7" s="1"/>
  <c r="Z38" i="3"/>
  <c r="AV39" i="7" s="1"/>
  <c r="X38" i="3"/>
  <c r="AR39" i="7" s="1"/>
  <c r="V38" i="3"/>
  <c r="AN39" i="7" s="1"/>
  <c r="T38" i="3"/>
  <c r="AJ39" i="7" s="1"/>
  <c r="AL39" i="7" s="1"/>
  <c r="R38" i="3"/>
  <c r="AF39" i="7" s="1"/>
  <c r="P38" i="3"/>
  <c r="AB39" i="7" s="1"/>
  <c r="N38" i="3"/>
  <c r="X39" i="7" s="1"/>
  <c r="Y39" i="7" s="1"/>
  <c r="L38" i="3"/>
  <c r="T39" i="7" s="1"/>
  <c r="U39" i="7" s="1"/>
  <c r="J38" i="3"/>
  <c r="P39" i="7" s="1"/>
  <c r="H38" i="3"/>
  <c r="L39" i="7" s="1"/>
  <c r="Z37" i="3"/>
  <c r="AV38" i="7" s="1"/>
  <c r="X37" i="3"/>
  <c r="AR38" i="7" s="1"/>
  <c r="V37" i="3"/>
  <c r="AN38" i="7" s="1"/>
  <c r="T37" i="3"/>
  <c r="AJ38" i="7" s="1"/>
  <c r="AK38" i="7" s="1"/>
  <c r="R37" i="3"/>
  <c r="AF38" i="7" s="1"/>
  <c r="P37" i="3"/>
  <c r="AB38" i="7" s="1"/>
  <c r="N37" i="3"/>
  <c r="X38" i="7" s="1"/>
  <c r="Z38" i="7" s="1"/>
  <c r="L37" i="3"/>
  <c r="T38" i="7" s="1"/>
  <c r="V38" i="7" s="1"/>
  <c r="J37" i="3"/>
  <c r="P38" i="7" s="1"/>
  <c r="H37" i="3"/>
  <c r="L38" i="7" s="1"/>
  <c r="Z36" i="3"/>
  <c r="AV37" i="7" s="1"/>
  <c r="X36" i="3"/>
  <c r="AR37" i="7" s="1"/>
  <c r="V36" i="3"/>
  <c r="AN37" i="7" s="1"/>
  <c r="T36" i="3"/>
  <c r="AJ37" i="7" s="1"/>
  <c r="AL37" i="7" s="1"/>
  <c r="R36" i="3"/>
  <c r="AF37" i="7" s="1"/>
  <c r="P36" i="3"/>
  <c r="AB37" i="7" s="1"/>
  <c r="N36" i="3"/>
  <c r="X37" i="7" s="1"/>
  <c r="Z37" i="7" s="1"/>
  <c r="L36" i="3"/>
  <c r="T37" i="7" s="1"/>
  <c r="U37" i="7" s="1"/>
  <c r="J36" i="3"/>
  <c r="P37" i="7" s="1"/>
  <c r="H36" i="3"/>
  <c r="L37" i="7" s="1"/>
  <c r="Z35" i="3"/>
  <c r="AV36" i="7" s="1"/>
  <c r="X35" i="3"/>
  <c r="AR36" i="7" s="1"/>
  <c r="V35" i="3"/>
  <c r="AN36" i="7" s="1"/>
  <c r="T35" i="3"/>
  <c r="AJ36" i="7" s="1"/>
  <c r="R35" i="3"/>
  <c r="AF36" i="7" s="1"/>
  <c r="P35" i="3"/>
  <c r="AB36" i="7" s="1"/>
  <c r="N35" i="3"/>
  <c r="X36" i="7" s="1"/>
  <c r="Y36" i="7" s="1"/>
  <c r="L35" i="3"/>
  <c r="T36" i="7" s="1"/>
  <c r="V36" i="7" s="1"/>
  <c r="J35" i="3"/>
  <c r="P36" i="7" s="1"/>
  <c r="H35" i="3"/>
  <c r="L36" i="7" s="1"/>
  <c r="Z34" i="3"/>
  <c r="AV35" i="7" s="1"/>
  <c r="AW35" i="7" s="1"/>
  <c r="X34" i="3"/>
  <c r="AR35" i="7" s="1"/>
  <c r="AS35" i="7" s="1"/>
  <c r="V34" i="3"/>
  <c r="AN35" i="7" s="1"/>
  <c r="AO35" i="7" s="1"/>
  <c r="T34" i="3"/>
  <c r="AJ35" i="7" s="1"/>
  <c r="AK35" i="7" s="1"/>
  <c r="R34" i="3"/>
  <c r="AF35" i="7" s="1"/>
  <c r="P34" i="3"/>
  <c r="AB35" i="7" s="1"/>
  <c r="N34" i="3"/>
  <c r="X35" i="7" s="1"/>
  <c r="Y35" i="7" s="1"/>
  <c r="L34" i="3"/>
  <c r="T35" i="7" s="1"/>
  <c r="U35" i="7" s="1"/>
  <c r="J34" i="3"/>
  <c r="P35" i="7" s="1"/>
  <c r="H34" i="3"/>
  <c r="L35" i="7" s="1"/>
  <c r="Z33" i="3"/>
  <c r="AV34" i="7" s="1"/>
  <c r="X33" i="3"/>
  <c r="AR34" i="7" s="1"/>
  <c r="V33" i="3"/>
  <c r="AN34" i="7" s="1"/>
  <c r="T33" i="3"/>
  <c r="AJ34" i="7" s="1"/>
  <c r="R33" i="3"/>
  <c r="AF34" i="7" s="1"/>
  <c r="P33" i="3"/>
  <c r="AB34" i="7" s="1"/>
  <c r="N33" i="3"/>
  <c r="X34" i="7" s="1"/>
  <c r="L33" i="3"/>
  <c r="T34" i="7" s="1"/>
  <c r="U34" i="7" s="1"/>
  <c r="J33" i="3"/>
  <c r="P34" i="7" s="1"/>
  <c r="H33" i="3"/>
  <c r="L34" i="7" s="1"/>
  <c r="Z32" i="3"/>
  <c r="AV33" i="7" s="1"/>
  <c r="X32" i="3"/>
  <c r="AR33" i="7" s="1"/>
  <c r="V32" i="3"/>
  <c r="AN33" i="7" s="1"/>
  <c r="T32" i="3"/>
  <c r="AJ33" i="7" s="1"/>
  <c r="AL33" i="7" s="1"/>
  <c r="R32" i="3"/>
  <c r="AF33" i="7" s="1"/>
  <c r="P32" i="3"/>
  <c r="AB33" i="7" s="1"/>
  <c r="N32" i="3"/>
  <c r="X33" i="7" s="1"/>
  <c r="Z33" i="7" s="1"/>
  <c r="L32" i="3"/>
  <c r="T33" i="7" s="1"/>
  <c r="V33" i="7" s="1"/>
  <c r="J32" i="3"/>
  <c r="P33" i="7" s="1"/>
  <c r="H32" i="3"/>
  <c r="L33" i="7" s="1"/>
  <c r="Z31" i="3"/>
  <c r="AV32" i="7" s="1"/>
  <c r="X31" i="3"/>
  <c r="AR32" i="7" s="1"/>
  <c r="V31" i="3"/>
  <c r="AN32" i="7" s="1"/>
  <c r="T31" i="3"/>
  <c r="AJ32" i="7" s="1"/>
  <c r="AK32" i="7" s="1"/>
  <c r="R31" i="3"/>
  <c r="AF32" i="7" s="1"/>
  <c r="P31" i="3"/>
  <c r="AB32" i="7" s="1"/>
  <c r="N31" i="3"/>
  <c r="X32" i="7" s="1"/>
  <c r="Y32" i="7" s="1"/>
  <c r="L31" i="3"/>
  <c r="T32" i="7" s="1"/>
  <c r="V32" i="7" s="1"/>
  <c r="J31" i="3"/>
  <c r="P32" i="7" s="1"/>
  <c r="H31" i="3"/>
  <c r="L32" i="7" s="1"/>
  <c r="Z30" i="3"/>
  <c r="AV31" i="7" s="1"/>
  <c r="X30" i="3"/>
  <c r="AR31" i="7" s="1"/>
  <c r="V30" i="3"/>
  <c r="AN31" i="7" s="1"/>
  <c r="T30" i="3"/>
  <c r="AJ31" i="7" s="1"/>
  <c r="AK31" i="7" s="1"/>
  <c r="R30" i="3"/>
  <c r="AF31" i="7" s="1"/>
  <c r="P30" i="3"/>
  <c r="AB31" i="7" s="1"/>
  <c r="N30" i="3"/>
  <c r="X31" i="7" s="1"/>
  <c r="Y31" i="7" s="1"/>
  <c r="L30" i="3"/>
  <c r="T31" i="7" s="1"/>
  <c r="J30" i="3"/>
  <c r="P31" i="7" s="1"/>
  <c r="H30" i="3"/>
  <c r="L31" i="7" s="1"/>
  <c r="Z29" i="3"/>
  <c r="AV30" i="7" s="1"/>
  <c r="X29" i="3"/>
  <c r="AR30" i="7" s="1"/>
  <c r="V29" i="3"/>
  <c r="AN30" i="7" s="1"/>
  <c r="T29" i="3"/>
  <c r="AJ30" i="7" s="1"/>
  <c r="R29" i="3"/>
  <c r="AF30" i="7" s="1"/>
  <c r="P29" i="3"/>
  <c r="AB30" i="7" s="1"/>
  <c r="N29" i="3"/>
  <c r="X30" i="7" s="1"/>
  <c r="L29" i="3"/>
  <c r="T30" i="7" s="1"/>
  <c r="J29" i="3"/>
  <c r="P30" i="7" s="1"/>
  <c r="H29" i="3"/>
  <c r="L30" i="7" s="1"/>
  <c r="Z27" i="3"/>
  <c r="X27" i="3"/>
  <c r="V27" i="3"/>
  <c r="T27" i="3"/>
  <c r="R27" i="3"/>
  <c r="P27" i="3"/>
  <c r="N27" i="3"/>
  <c r="O27" i="3" s="1"/>
  <c r="L27" i="3"/>
  <c r="M27" i="3" s="1"/>
  <c r="J27" i="3"/>
  <c r="H27" i="3"/>
  <c r="Z25" i="3"/>
  <c r="X25" i="3"/>
  <c r="V25" i="3"/>
  <c r="T25" i="3"/>
  <c r="R25" i="3"/>
  <c r="P25" i="3"/>
  <c r="N25" i="3"/>
  <c r="O25" i="3" s="1"/>
  <c r="L25" i="3"/>
  <c r="M25" i="3" s="1"/>
  <c r="J25" i="3"/>
  <c r="H25" i="3"/>
  <c r="AF13" i="7"/>
  <c r="AB13" i="7"/>
  <c r="AB25" i="7" s="1"/>
  <c r="Z23" i="3"/>
  <c r="X23" i="3"/>
  <c r="R23" i="3"/>
  <c r="N23" i="3"/>
  <c r="L23" i="3"/>
  <c r="I17" i="3"/>
  <c r="F53" i="3"/>
  <c r="H54" i="7" s="1"/>
  <c r="D53" i="3"/>
  <c r="D54" i="7" s="1"/>
  <c r="F52" i="3"/>
  <c r="H53" i="7" s="1"/>
  <c r="D52" i="3"/>
  <c r="D53" i="7" s="1"/>
  <c r="F48" i="3"/>
  <c r="H49" i="7" s="1"/>
  <c r="D48" i="3"/>
  <c r="D49" i="7" s="1"/>
  <c r="F47" i="3"/>
  <c r="H48" i="7" s="1"/>
  <c r="D47" i="3"/>
  <c r="D48" i="7" s="1"/>
  <c r="F46" i="3"/>
  <c r="H47" i="7" s="1"/>
  <c r="D46" i="3"/>
  <c r="D47" i="7" s="1"/>
  <c r="F45" i="3"/>
  <c r="H46" i="7" s="1"/>
  <c r="D45" i="3"/>
  <c r="D46" i="7" s="1"/>
  <c r="F44" i="3"/>
  <c r="H45" i="7" s="1"/>
  <c r="D44" i="3"/>
  <c r="D45" i="7" s="1"/>
  <c r="F43" i="3"/>
  <c r="H44" i="7" s="1"/>
  <c r="D43" i="3"/>
  <c r="D44" i="7" s="1"/>
  <c r="F42" i="3"/>
  <c r="H43" i="7" s="1"/>
  <c r="D42" i="3"/>
  <c r="D43" i="7" s="1"/>
  <c r="F41" i="3"/>
  <c r="H42" i="7" s="1"/>
  <c r="D41" i="3"/>
  <c r="D42" i="7" s="1"/>
  <c r="F40" i="3"/>
  <c r="H41" i="7" s="1"/>
  <c r="D40" i="3"/>
  <c r="D41" i="7" s="1"/>
  <c r="F39" i="3"/>
  <c r="H40" i="7" s="1"/>
  <c r="D39" i="3"/>
  <c r="D40" i="7" s="1"/>
  <c r="F38" i="3"/>
  <c r="H39" i="7" s="1"/>
  <c r="D38" i="3"/>
  <c r="D39" i="7" s="1"/>
  <c r="F37" i="3"/>
  <c r="H38" i="7" s="1"/>
  <c r="D37" i="3"/>
  <c r="D38" i="7" s="1"/>
  <c r="F36" i="3"/>
  <c r="H37" i="7" s="1"/>
  <c r="D36" i="3"/>
  <c r="D37" i="7" s="1"/>
  <c r="F35" i="3"/>
  <c r="H36" i="7" s="1"/>
  <c r="D35" i="3"/>
  <c r="D36" i="7" s="1"/>
  <c r="F34" i="3"/>
  <c r="H35" i="7" s="1"/>
  <c r="D34" i="3"/>
  <c r="D35" i="7" s="1"/>
  <c r="F33" i="3"/>
  <c r="H34" i="7" s="1"/>
  <c r="D33" i="3"/>
  <c r="D34" i="7" s="1"/>
  <c r="F32" i="3"/>
  <c r="H33" i="7" s="1"/>
  <c r="D32" i="3"/>
  <c r="D33" i="7" s="1"/>
  <c r="F31" i="3"/>
  <c r="H32" i="7" s="1"/>
  <c r="D31" i="3"/>
  <c r="D32" i="7" s="1"/>
  <c r="F30" i="3"/>
  <c r="H31" i="7" s="1"/>
  <c r="D30" i="3"/>
  <c r="D31" i="7" s="1"/>
  <c r="F29" i="3"/>
  <c r="H30" i="7" s="1"/>
  <c r="D29" i="3"/>
  <c r="D30" i="7" s="1"/>
  <c r="D13" i="7"/>
  <c r="H13" i="7"/>
  <c r="H11" i="7" s="1"/>
  <c r="F25" i="3"/>
  <c r="F27" i="3"/>
  <c r="E19" i="3"/>
  <c r="E21" i="3"/>
  <c r="B7" i="5"/>
  <c r="B8" i="5"/>
  <c r="B6" i="5"/>
  <c r="C6" i="5"/>
  <c r="D6" i="5"/>
  <c r="E6" i="5"/>
  <c r="F6" i="5"/>
  <c r="G6" i="5"/>
  <c r="H6" i="5"/>
  <c r="I6" i="5"/>
  <c r="J6" i="5"/>
  <c r="K6" i="5"/>
  <c r="L6" i="5"/>
  <c r="M6" i="5"/>
  <c r="N6" i="5"/>
  <c r="O6" i="5"/>
  <c r="C7" i="5"/>
  <c r="D7" i="5"/>
  <c r="E7" i="5"/>
  <c r="F7" i="5"/>
  <c r="G7" i="5"/>
  <c r="H7" i="5"/>
  <c r="I7" i="5"/>
  <c r="J7" i="5"/>
  <c r="K7" i="5"/>
  <c r="L7" i="5"/>
  <c r="M7" i="5"/>
  <c r="N7" i="5"/>
  <c r="O7" i="5"/>
  <c r="C8" i="5"/>
  <c r="D8" i="5"/>
  <c r="E8" i="5"/>
  <c r="F8" i="5"/>
  <c r="G8" i="5"/>
  <c r="H8" i="5"/>
  <c r="I8" i="5"/>
  <c r="J8" i="5"/>
  <c r="K8" i="5"/>
  <c r="L8" i="5"/>
  <c r="M8" i="5"/>
  <c r="N8" i="5"/>
  <c r="O8" i="5"/>
  <c r="B9" i="5"/>
  <c r="C9" i="5"/>
  <c r="D9" i="5"/>
  <c r="E9" i="5"/>
  <c r="F9" i="5"/>
  <c r="G9" i="5"/>
  <c r="H9" i="5"/>
  <c r="I9" i="5"/>
  <c r="J9" i="5"/>
  <c r="K9" i="5"/>
  <c r="L9" i="5"/>
  <c r="M9" i="5"/>
  <c r="N9" i="5"/>
  <c r="O9" i="5"/>
  <c r="B10" i="5"/>
  <c r="C10" i="5"/>
  <c r="D10" i="5"/>
  <c r="E10" i="5"/>
  <c r="F10" i="5"/>
  <c r="G10" i="5"/>
  <c r="H10" i="5"/>
  <c r="I10" i="5"/>
  <c r="J10" i="5"/>
  <c r="K10" i="5"/>
  <c r="L10" i="5"/>
  <c r="M10" i="5"/>
  <c r="N10" i="5"/>
  <c r="O10" i="5"/>
  <c r="B11" i="5"/>
  <c r="C11" i="5"/>
  <c r="D11" i="5"/>
  <c r="E11" i="5"/>
  <c r="F11" i="5"/>
  <c r="G11" i="5"/>
  <c r="H11" i="5"/>
  <c r="I11" i="5"/>
  <c r="J11" i="5"/>
  <c r="K11" i="5"/>
  <c r="L11" i="5"/>
  <c r="M11" i="5"/>
  <c r="N11" i="5"/>
  <c r="O11" i="5"/>
  <c r="B12" i="5"/>
  <c r="C12" i="5"/>
  <c r="D12" i="5"/>
  <c r="E12" i="5"/>
  <c r="F12" i="5"/>
  <c r="G12" i="5"/>
  <c r="H12" i="5"/>
  <c r="I12" i="5"/>
  <c r="J12" i="5"/>
  <c r="K12" i="5"/>
  <c r="L12" i="5"/>
  <c r="M12" i="5"/>
  <c r="N12" i="5"/>
  <c r="O12" i="5"/>
  <c r="B13" i="5"/>
  <c r="C13" i="5"/>
  <c r="D13" i="5"/>
  <c r="E13" i="5"/>
  <c r="F13" i="5"/>
  <c r="G13" i="5"/>
  <c r="H13" i="5"/>
  <c r="I13" i="5"/>
  <c r="J13" i="5"/>
  <c r="K13" i="5"/>
  <c r="L13" i="5"/>
  <c r="M13" i="5"/>
  <c r="N13" i="5"/>
  <c r="O13" i="5"/>
  <c r="B14" i="5"/>
  <c r="C14" i="5"/>
  <c r="D14" i="5"/>
  <c r="E14" i="5"/>
  <c r="F14" i="5"/>
  <c r="G14" i="5"/>
  <c r="H14" i="5"/>
  <c r="I14" i="5"/>
  <c r="J14" i="5"/>
  <c r="K14" i="5"/>
  <c r="L14" i="5"/>
  <c r="M14" i="5"/>
  <c r="N14" i="5"/>
  <c r="O14" i="5"/>
  <c r="B15" i="5"/>
  <c r="C15" i="5"/>
  <c r="D15" i="5"/>
  <c r="E15" i="5"/>
  <c r="F15" i="5"/>
  <c r="G15" i="5"/>
  <c r="H15" i="5"/>
  <c r="I15" i="5"/>
  <c r="J15" i="5"/>
  <c r="K15" i="5"/>
  <c r="L15" i="5"/>
  <c r="M15" i="5"/>
  <c r="N15" i="5"/>
  <c r="O15" i="5"/>
  <c r="B16" i="5"/>
  <c r="C16" i="5"/>
  <c r="D16" i="5"/>
  <c r="E16" i="5"/>
  <c r="F16" i="5"/>
  <c r="G16" i="5"/>
  <c r="H16" i="5"/>
  <c r="I16" i="5"/>
  <c r="J16" i="5"/>
  <c r="K16" i="5"/>
  <c r="L16" i="5"/>
  <c r="M16" i="5"/>
  <c r="N16" i="5"/>
  <c r="O16" i="5"/>
  <c r="B17" i="5"/>
  <c r="C17" i="5"/>
  <c r="D17" i="5"/>
  <c r="E17" i="5"/>
  <c r="F17" i="5"/>
  <c r="G17" i="5"/>
  <c r="H17" i="5"/>
  <c r="I17" i="5"/>
  <c r="J17" i="5"/>
  <c r="K17" i="5"/>
  <c r="L17" i="5"/>
  <c r="M17" i="5"/>
  <c r="N17" i="5"/>
  <c r="O17" i="5"/>
  <c r="B18" i="5"/>
  <c r="C18" i="5"/>
  <c r="D18" i="5"/>
  <c r="E18" i="5"/>
  <c r="F18" i="5"/>
  <c r="G18" i="5"/>
  <c r="H18" i="5"/>
  <c r="I18" i="5"/>
  <c r="J18" i="5"/>
  <c r="K18" i="5"/>
  <c r="L18" i="5"/>
  <c r="M18" i="5"/>
  <c r="N18" i="5"/>
  <c r="O18" i="5"/>
  <c r="B19" i="5"/>
  <c r="C19" i="5"/>
  <c r="D19" i="5"/>
  <c r="E19" i="5"/>
  <c r="F19" i="5"/>
  <c r="G19" i="5"/>
  <c r="H19" i="5"/>
  <c r="I19" i="5"/>
  <c r="J19" i="5"/>
  <c r="K19" i="5"/>
  <c r="L19" i="5"/>
  <c r="M19" i="5"/>
  <c r="N19" i="5"/>
  <c r="O19" i="5"/>
  <c r="B20" i="5"/>
  <c r="C20" i="5"/>
  <c r="D20" i="5"/>
  <c r="E20" i="5"/>
  <c r="F20" i="5"/>
  <c r="G20" i="5"/>
  <c r="H20" i="5"/>
  <c r="I20" i="5"/>
  <c r="J20" i="5"/>
  <c r="K20" i="5"/>
  <c r="L20" i="5"/>
  <c r="M20" i="5"/>
  <c r="N20" i="5"/>
  <c r="O20" i="5"/>
  <c r="B21" i="5"/>
  <c r="C21" i="5"/>
  <c r="D21" i="5"/>
  <c r="E21" i="5"/>
  <c r="F21" i="5"/>
  <c r="G21" i="5"/>
  <c r="H21" i="5"/>
  <c r="I21" i="5"/>
  <c r="J21" i="5"/>
  <c r="K21" i="5"/>
  <c r="L21" i="5"/>
  <c r="M21" i="5"/>
  <c r="N21" i="5"/>
  <c r="O21" i="5"/>
  <c r="B22" i="5"/>
  <c r="C22" i="5"/>
  <c r="D22" i="5"/>
  <c r="E22" i="5"/>
  <c r="F22" i="5"/>
  <c r="G22" i="5"/>
  <c r="H22" i="5"/>
  <c r="I22" i="5"/>
  <c r="J22" i="5"/>
  <c r="K22" i="5"/>
  <c r="L22" i="5"/>
  <c r="M22" i="5"/>
  <c r="N22" i="5"/>
  <c r="O22" i="5"/>
  <c r="B23" i="5"/>
  <c r="C23" i="5"/>
  <c r="D23" i="5"/>
  <c r="E23" i="5"/>
  <c r="F23" i="5"/>
  <c r="G23" i="5"/>
  <c r="H23" i="5"/>
  <c r="I23" i="5"/>
  <c r="J23" i="5"/>
  <c r="K23" i="5"/>
  <c r="L23" i="5"/>
  <c r="M23" i="5"/>
  <c r="N23" i="5"/>
  <c r="O23" i="5"/>
  <c r="B24" i="5"/>
  <c r="C24" i="5"/>
  <c r="D24" i="5"/>
  <c r="E24" i="5"/>
  <c r="F24" i="5"/>
  <c r="G24" i="5"/>
  <c r="H24" i="5"/>
  <c r="I24" i="5"/>
  <c r="J24" i="5"/>
  <c r="K24" i="5"/>
  <c r="L24" i="5"/>
  <c r="M24" i="5"/>
  <c r="N24" i="5"/>
  <c r="O24" i="5"/>
  <c r="B25" i="5"/>
  <c r="C25" i="5"/>
  <c r="D25" i="5"/>
  <c r="E25" i="5"/>
  <c r="F25" i="5"/>
  <c r="G25" i="5"/>
  <c r="H25" i="5"/>
  <c r="I25" i="5"/>
  <c r="J25" i="5"/>
  <c r="K25" i="5"/>
  <c r="L25" i="5"/>
  <c r="M25" i="5"/>
  <c r="N25" i="5"/>
  <c r="O25" i="5"/>
  <c r="B26" i="5"/>
  <c r="C26" i="5"/>
  <c r="D26" i="5"/>
  <c r="E26" i="5"/>
  <c r="F26" i="5"/>
  <c r="G26" i="5"/>
  <c r="H26" i="5"/>
  <c r="I26" i="5"/>
  <c r="J26" i="5"/>
  <c r="K26" i="5"/>
  <c r="L26" i="5"/>
  <c r="M26" i="5"/>
  <c r="N26" i="5"/>
  <c r="O26" i="5"/>
  <c r="B27" i="5"/>
  <c r="C27" i="5"/>
  <c r="D27" i="5"/>
  <c r="E27" i="5"/>
  <c r="F27" i="5"/>
  <c r="G27" i="5"/>
  <c r="H27" i="5"/>
  <c r="I27" i="5"/>
  <c r="J27" i="5"/>
  <c r="K27" i="5"/>
  <c r="L27" i="5"/>
  <c r="M27" i="5"/>
  <c r="N27" i="5"/>
  <c r="O27" i="5"/>
  <c r="B28" i="5"/>
  <c r="C28" i="5"/>
  <c r="D28" i="5"/>
  <c r="E28" i="5"/>
  <c r="F28" i="5"/>
  <c r="G28" i="5"/>
  <c r="H28" i="5"/>
  <c r="I28" i="5"/>
  <c r="J28" i="5"/>
  <c r="K28" i="5"/>
  <c r="L28" i="5"/>
  <c r="M28" i="5"/>
  <c r="N28" i="5"/>
  <c r="O28" i="5"/>
  <c r="B29" i="5"/>
  <c r="C29" i="5"/>
  <c r="D29" i="5"/>
  <c r="E29" i="5"/>
  <c r="F29" i="5"/>
  <c r="G29" i="5"/>
  <c r="H29" i="5"/>
  <c r="I29" i="5"/>
  <c r="J29" i="5"/>
  <c r="K29" i="5"/>
  <c r="L29" i="5"/>
  <c r="M29" i="5"/>
  <c r="N29" i="5"/>
  <c r="O29" i="5"/>
  <c r="B30" i="5"/>
  <c r="C30" i="5"/>
  <c r="D30" i="5"/>
  <c r="E30" i="5"/>
  <c r="F30" i="5"/>
  <c r="G30" i="5"/>
  <c r="H30" i="5"/>
  <c r="I30" i="5"/>
  <c r="J30" i="5"/>
  <c r="K30" i="5"/>
  <c r="L30" i="5"/>
  <c r="M30" i="5"/>
  <c r="N30" i="5"/>
  <c r="O30" i="5"/>
  <c r="B31" i="5"/>
  <c r="C31" i="5"/>
  <c r="D31" i="5"/>
  <c r="E31" i="5"/>
  <c r="F31" i="5"/>
  <c r="G31" i="5"/>
  <c r="H31" i="5"/>
  <c r="I31" i="5"/>
  <c r="J31" i="5"/>
  <c r="K31" i="5"/>
  <c r="L31" i="5"/>
  <c r="M31" i="5"/>
  <c r="N31" i="5"/>
  <c r="O31" i="5"/>
  <c r="B32" i="5"/>
  <c r="C32" i="5"/>
  <c r="D32" i="5"/>
  <c r="E32" i="5"/>
  <c r="F32" i="5"/>
  <c r="G32" i="5"/>
  <c r="H32" i="5"/>
  <c r="I32" i="5"/>
  <c r="J32" i="5"/>
  <c r="K32" i="5"/>
  <c r="L32" i="5"/>
  <c r="M32" i="5"/>
  <c r="N32" i="5"/>
  <c r="O32" i="5"/>
  <c r="B33" i="5"/>
  <c r="C33" i="5"/>
  <c r="D33" i="5"/>
  <c r="E33" i="5"/>
  <c r="F33" i="5"/>
  <c r="G33" i="5"/>
  <c r="H33" i="5"/>
  <c r="I33" i="5"/>
  <c r="J33" i="5"/>
  <c r="K33" i="5"/>
  <c r="L33" i="5"/>
  <c r="M33" i="5"/>
  <c r="N33" i="5"/>
  <c r="O33" i="5"/>
  <c r="B34" i="5"/>
  <c r="C34" i="5"/>
  <c r="D34" i="5"/>
  <c r="E34" i="5"/>
  <c r="F34" i="5"/>
  <c r="G34" i="5"/>
  <c r="H34" i="5"/>
  <c r="I34" i="5"/>
  <c r="J34" i="5"/>
  <c r="K34" i="5"/>
  <c r="L34" i="5"/>
  <c r="M34" i="5"/>
  <c r="N34" i="5"/>
  <c r="O34" i="5"/>
  <c r="B35" i="5"/>
  <c r="C35" i="5"/>
  <c r="D35" i="5"/>
  <c r="E35" i="5"/>
  <c r="F35" i="5"/>
  <c r="G35" i="5"/>
  <c r="H35" i="5"/>
  <c r="I35" i="5"/>
  <c r="J35" i="5"/>
  <c r="K35" i="5"/>
  <c r="L35" i="5"/>
  <c r="M35" i="5"/>
  <c r="N35" i="5"/>
  <c r="O35" i="5"/>
  <c r="B36" i="5"/>
  <c r="C36" i="5"/>
  <c r="D36" i="5"/>
  <c r="E36" i="5"/>
  <c r="F36" i="5"/>
  <c r="G36" i="5"/>
  <c r="H36" i="5"/>
  <c r="I36" i="5"/>
  <c r="J36" i="5"/>
  <c r="K36" i="5"/>
  <c r="L36" i="5"/>
  <c r="M36" i="5"/>
  <c r="N36" i="5"/>
  <c r="O36" i="5"/>
  <c r="B37" i="5"/>
  <c r="C37" i="5"/>
  <c r="D37" i="5"/>
  <c r="E37" i="5"/>
  <c r="F37" i="5"/>
  <c r="G37" i="5"/>
  <c r="H37" i="5"/>
  <c r="I37" i="5"/>
  <c r="J37" i="5"/>
  <c r="K37" i="5"/>
  <c r="L37" i="5"/>
  <c r="M37" i="5"/>
  <c r="N37" i="5"/>
  <c r="O37" i="5"/>
  <c r="B38" i="5"/>
  <c r="C38" i="5"/>
  <c r="D38" i="5"/>
  <c r="E38" i="5"/>
  <c r="F38" i="5"/>
  <c r="G38" i="5"/>
  <c r="H38" i="5"/>
  <c r="I38" i="5"/>
  <c r="J38" i="5"/>
  <c r="K38" i="5"/>
  <c r="L38" i="5"/>
  <c r="M38" i="5"/>
  <c r="N38" i="5"/>
  <c r="O38" i="5"/>
  <c r="B39" i="5"/>
  <c r="C39" i="5"/>
  <c r="D39" i="5"/>
  <c r="E39" i="5"/>
  <c r="F39" i="5"/>
  <c r="G39" i="5"/>
  <c r="H39" i="5"/>
  <c r="I39" i="5"/>
  <c r="J39" i="5"/>
  <c r="K39" i="5"/>
  <c r="L39" i="5"/>
  <c r="M39" i="5"/>
  <c r="N39" i="5"/>
  <c r="O39" i="5"/>
  <c r="B40" i="5"/>
  <c r="C40" i="5"/>
  <c r="D40" i="5"/>
  <c r="E40" i="5"/>
  <c r="F40" i="5"/>
  <c r="G40" i="5"/>
  <c r="H40" i="5"/>
  <c r="I40" i="5"/>
  <c r="J40" i="5"/>
  <c r="K40" i="5"/>
  <c r="L40" i="5"/>
  <c r="M40" i="5"/>
  <c r="N40" i="5"/>
  <c r="O40" i="5"/>
  <c r="B41" i="5"/>
  <c r="C41" i="5"/>
  <c r="D41" i="5"/>
  <c r="E41" i="5"/>
  <c r="F41" i="5"/>
  <c r="G41" i="5"/>
  <c r="H41" i="5"/>
  <c r="I41" i="5"/>
  <c r="J41" i="5"/>
  <c r="K41" i="5"/>
  <c r="L41" i="5"/>
  <c r="M41" i="5"/>
  <c r="N41" i="5"/>
  <c r="O41" i="5"/>
  <c r="B42" i="5"/>
  <c r="C42" i="5"/>
  <c r="D42" i="5"/>
  <c r="E42" i="5"/>
  <c r="F42" i="5"/>
  <c r="G42" i="5"/>
  <c r="H42" i="5"/>
  <c r="I42" i="5"/>
  <c r="J42" i="5"/>
  <c r="K42" i="5"/>
  <c r="L42" i="5"/>
  <c r="M42" i="5"/>
  <c r="N42" i="5"/>
  <c r="O42" i="5"/>
  <c r="B43" i="5"/>
  <c r="C43" i="5"/>
  <c r="D43" i="5"/>
  <c r="E43" i="5"/>
  <c r="F43" i="5"/>
  <c r="G43" i="5"/>
  <c r="H43" i="5"/>
  <c r="I43" i="5"/>
  <c r="J43" i="5"/>
  <c r="K43" i="5"/>
  <c r="L43" i="5"/>
  <c r="M43" i="5"/>
  <c r="N43" i="5"/>
  <c r="O43" i="5"/>
  <c r="B44" i="5"/>
  <c r="C44" i="5"/>
  <c r="D44" i="5"/>
  <c r="E44" i="5"/>
  <c r="F44" i="5"/>
  <c r="G44" i="5"/>
  <c r="H44" i="5"/>
  <c r="I44" i="5"/>
  <c r="J44" i="5"/>
  <c r="K44" i="5"/>
  <c r="L44" i="5"/>
  <c r="M44" i="5"/>
  <c r="N44" i="5"/>
  <c r="O44" i="5"/>
  <c r="B45" i="5"/>
  <c r="C45" i="5"/>
  <c r="D45" i="5"/>
  <c r="E45" i="5"/>
  <c r="F45" i="5"/>
  <c r="G45" i="5"/>
  <c r="H45" i="5"/>
  <c r="I45" i="5"/>
  <c r="J45" i="5"/>
  <c r="K45" i="5"/>
  <c r="L45" i="5"/>
  <c r="M45" i="5"/>
  <c r="N45" i="5"/>
  <c r="O45" i="5"/>
  <c r="B46" i="5"/>
  <c r="C46" i="5"/>
  <c r="D46" i="5"/>
  <c r="E46" i="5"/>
  <c r="F46" i="5"/>
  <c r="G46" i="5"/>
  <c r="H46" i="5"/>
  <c r="I46" i="5"/>
  <c r="J46" i="5"/>
  <c r="K46" i="5"/>
  <c r="L46" i="5"/>
  <c r="M46" i="5"/>
  <c r="N46" i="5"/>
  <c r="O46" i="5"/>
  <c r="B47" i="5"/>
  <c r="C47" i="5"/>
  <c r="D47" i="5"/>
  <c r="E47" i="5"/>
  <c r="F47" i="5"/>
  <c r="G47" i="5"/>
  <c r="H47" i="5"/>
  <c r="I47" i="5"/>
  <c r="J47" i="5"/>
  <c r="K47" i="5"/>
  <c r="L47" i="5"/>
  <c r="M47" i="5"/>
  <c r="N47" i="5"/>
  <c r="O47" i="5"/>
  <c r="B48" i="5"/>
  <c r="C48" i="5"/>
  <c r="D48" i="5"/>
  <c r="E48" i="5"/>
  <c r="F48" i="5"/>
  <c r="G48" i="5"/>
  <c r="H48" i="5"/>
  <c r="I48" i="5"/>
  <c r="J48" i="5"/>
  <c r="K48" i="5"/>
  <c r="L48" i="5"/>
  <c r="M48" i="5"/>
  <c r="N48" i="5"/>
  <c r="O48" i="5"/>
  <c r="B49" i="5"/>
  <c r="C49" i="5"/>
  <c r="D49" i="5"/>
  <c r="E49" i="5"/>
  <c r="F49" i="5"/>
  <c r="G49" i="5"/>
  <c r="H49" i="5"/>
  <c r="I49" i="5"/>
  <c r="J49" i="5"/>
  <c r="K49" i="5"/>
  <c r="L49" i="5"/>
  <c r="M49" i="5"/>
  <c r="N49" i="5"/>
  <c r="O49" i="5"/>
  <c r="B50" i="5"/>
  <c r="C50" i="5"/>
  <c r="D50" i="5"/>
  <c r="E50" i="5"/>
  <c r="F50" i="5"/>
  <c r="G50" i="5"/>
  <c r="H50" i="5"/>
  <c r="I50" i="5"/>
  <c r="J50" i="5"/>
  <c r="K50" i="5"/>
  <c r="L50" i="5"/>
  <c r="M50" i="5"/>
  <c r="N50" i="5"/>
  <c r="O50" i="5"/>
  <c r="B51" i="5"/>
  <c r="C51" i="5"/>
  <c r="D51" i="5"/>
  <c r="E51" i="5"/>
  <c r="F51" i="5"/>
  <c r="G51" i="5"/>
  <c r="H51" i="5"/>
  <c r="I51" i="5"/>
  <c r="J51" i="5"/>
  <c r="K51" i="5"/>
  <c r="L51" i="5"/>
  <c r="M51" i="5"/>
  <c r="N51" i="5"/>
  <c r="O51" i="5"/>
  <c r="B52" i="5"/>
  <c r="C52" i="5"/>
  <c r="D52" i="5"/>
  <c r="E52" i="5"/>
  <c r="F52" i="5"/>
  <c r="G52" i="5"/>
  <c r="H52" i="5"/>
  <c r="I52" i="5"/>
  <c r="J52" i="5"/>
  <c r="K52" i="5"/>
  <c r="L52" i="5"/>
  <c r="M52" i="5"/>
  <c r="N52" i="5"/>
  <c r="O52" i="5"/>
  <c r="B53" i="5"/>
  <c r="C53" i="5"/>
  <c r="D53" i="5"/>
  <c r="E53" i="5"/>
  <c r="F53" i="5"/>
  <c r="G53" i="5"/>
  <c r="H53" i="5"/>
  <c r="I53" i="5"/>
  <c r="J53" i="5"/>
  <c r="K53" i="5"/>
  <c r="L53" i="5"/>
  <c r="M53" i="5"/>
  <c r="N53" i="5"/>
  <c r="O53" i="5"/>
  <c r="B55" i="5"/>
  <c r="C55" i="5"/>
  <c r="D55" i="5"/>
  <c r="E55" i="5"/>
  <c r="F55" i="5"/>
  <c r="G55" i="5"/>
  <c r="H55" i="5"/>
  <c r="I55" i="5"/>
  <c r="J55" i="5"/>
  <c r="K55" i="5"/>
  <c r="L55" i="5"/>
  <c r="M55" i="5"/>
  <c r="N55" i="5"/>
  <c r="O55" i="5"/>
  <c r="B56" i="5"/>
  <c r="C56" i="5"/>
  <c r="D56" i="5"/>
  <c r="E56" i="5"/>
  <c r="F56" i="5"/>
  <c r="G56" i="5"/>
  <c r="H56" i="5"/>
  <c r="I56" i="5"/>
  <c r="J56" i="5"/>
  <c r="K56" i="5"/>
  <c r="L56" i="5"/>
  <c r="M56" i="5"/>
  <c r="N56" i="5"/>
  <c r="O56" i="5"/>
  <c r="B57" i="5"/>
  <c r="C57" i="5"/>
  <c r="D57" i="5"/>
  <c r="E57" i="5"/>
  <c r="F57" i="5"/>
  <c r="G57" i="5"/>
  <c r="H57" i="5"/>
  <c r="I57" i="5"/>
  <c r="J57" i="5"/>
  <c r="K57" i="5"/>
  <c r="L57" i="5"/>
  <c r="M57" i="5"/>
  <c r="N57" i="5"/>
  <c r="O57" i="5"/>
  <c r="B58" i="5"/>
  <c r="C58" i="5"/>
  <c r="D58" i="5"/>
  <c r="E58" i="5"/>
  <c r="F58" i="5"/>
  <c r="G58" i="5"/>
  <c r="H58" i="5"/>
  <c r="I58" i="5"/>
  <c r="J58" i="5"/>
  <c r="K58" i="5"/>
  <c r="L58" i="5"/>
  <c r="M58" i="5"/>
  <c r="N58" i="5"/>
  <c r="O58" i="5"/>
  <c r="B59" i="5"/>
  <c r="C59" i="5"/>
  <c r="D59" i="5"/>
  <c r="E59" i="5"/>
  <c r="F59" i="5"/>
  <c r="G59" i="5"/>
  <c r="H59" i="5"/>
  <c r="I59" i="5"/>
  <c r="J59" i="5"/>
  <c r="K59" i="5"/>
  <c r="L59" i="5"/>
  <c r="M59" i="5"/>
  <c r="N59" i="5"/>
  <c r="O59" i="5"/>
  <c r="B60" i="5"/>
  <c r="C60" i="5"/>
  <c r="D60" i="5"/>
  <c r="E60" i="5"/>
  <c r="F60" i="5"/>
  <c r="G60" i="5"/>
  <c r="H60" i="5"/>
  <c r="I60" i="5"/>
  <c r="J60" i="5"/>
  <c r="K60" i="5"/>
  <c r="L60" i="5"/>
  <c r="M60" i="5"/>
  <c r="N60" i="5"/>
  <c r="O60" i="5"/>
  <c r="B61" i="5"/>
  <c r="C61" i="5"/>
  <c r="D61" i="5"/>
  <c r="E61" i="5"/>
  <c r="F61" i="5"/>
  <c r="G61" i="5"/>
  <c r="H61" i="5"/>
  <c r="I61" i="5"/>
  <c r="J61" i="5"/>
  <c r="K61" i="5"/>
  <c r="L61" i="5"/>
  <c r="M61" i="5"/>
  <c r="N61" i="5"/>
  <c r="O61" i="5"/>
  <c r="B62" i="5"/>
  <c r="C62" i="5"/>
  <c r="D62" i="5"/>
  <c r="E62" i="5"/>
  <c r="F62" i="5"/>
  <c r="G62" i="5"/>
  <c r="H62" i="5"/>
  <c r="I62" i="5"/>
  <c r="J62" i="5"/>
  <c r="K62" i="5"/>
  <c r="L62" i="5"/>
  <c r="M62" i="5"/>
  <c r="N62" i="5"/>
  <c r="O62" i="5"/>
  <c r="B63" i="5"/>
  <c r="C63" i="5"/>
  <c r="D63" i="5"/>
  <c r="E63" i="5"/>
  <c r="F63" i="5"/>
  <c r="G63" i="5"/>
  <c r="H63" i="5"/>
  <c r="I63" i="5"/>
  <c r="J63" i="5"/>
  <c r="K63" i="5"/>
  <c r="L63" i="5"/>
  <c r="M63" i="5"/>
  <c r="N63" i="5"/>
  <c r="O63" i="5"/>
  <c r="B64" i="5"/>
  <c r="C64" i="5"/>
  <c r="D64" i="5"/>
  <c r="E64" i="5"/>
  <c r="F64" i="5"/>
  <c r="G64" i="5"/>
  <c r="H64" i="5"/>
  <c r="I64" i="5"/>
  <c r="J64" i="5"/>
  <c r="K64" i="5"/>
  <c r="L64" i="5"/>
  <c r="M64" i="5"/>
  <c r="N64" i="5"/>
  <c r="O64" i="5"/>
  <c r="B65" i="5"/>
  <c r="C65" i="5"/>
  <c r="D65" i="5"/>
  <c r="E65" i="5"/>
  <c r="F65" i="5"/>
  <c r="G65" i="5"/>
  <c r="H65" i="5"/>
  <c r="I65" i="5"/>
  <c r="J65" i="5"/>
  <c r="K65" i="5"/>
  <c r="L65" i="5"/>
  <c r="M65" i="5"/>
  <c r="N65" i="5"/>
  <c r="O65" i="5"/>
  <c r="B66" i="5"/>
  <c r="C66" i="5"/>
  <c r="D66" i="5"/>
  <c r="E66" i="5"/>
  <c r="F66" i="5"/>
  <c r="G66" i="5"/>
  <c r="H66" i="5"/>
  <c r="I66" i="5"/>
  <c r="J66" i="5"/>
  <c r="K66" i="5"/>
  <c r="L66" i="5"/>
  <c r="M66" i="5"/>
  <c r="N66" i="5"/>
  <c r="O66" i="5"/>
  <c r="B67" i="5"/>
  <c r="C67" i="5"/>
  <c r="D67" i="5"/>
  <c r="E67" i="5"/>
  <c r="F67" i="5"/>
  <c r="G67" i="5"/>
  <c r="H67" i="5"/>
  <c r="I67" i="5"/>
  <c r="J67" i="5"/>
  <c r="K67" i="5"/>
  <c r="L67" i="5"/>
  <c r="M67" i="5"/>
  <c r="N67" i="5"/>
  <c r="O67" i="5"/>
  <c r="B68" i="5"/>
  <c r="C68" i="5"/>
  <c r="D68" i="5"/>
  <c r="E68" i="5"/>
  <c r="F68" i="5"/>
  <c r="G68" i="5"/>
  <c r="H68" i="5"/>
  <c r="I68" i="5"/>
  <c r="J68" i="5"/>
  <c r="K68" i="5"/>
  <c r="L68" i="5"/>
  <c r="M68" i="5"/>
  <c r="N68" i="5"/>
  <c r="O68" i="5"/>
  <c r="B69" i="5"/>
  <c r="C69" i="5"/>
  <c r="D69" i="5"/>
  <c r="E69" i="5"/>
  <c r="F69" i="5"/>
  <c r="G69" i="5"/>
  <c r="H69" i="5"/>
  <c r="I69" i="5"/>
  <c r="J69" i="5"/>
  <c r="K69" i="5"/>
  <c r="L69" i="5"/>
  <c r="M69" i="5"/>
  <c r="N69" i="5"/>
  <c r="O69" i="5"/>
  <c r="B70" i="5"/>
  <c r="C70" i="5"/>
  <c r="D70" i="5"/>
  <c r="E70" i="5"/>
  <c r="F70" i="5"/>
  <c r="G70" i="5"/>
  <c r="H70" i="5"/>
  <c r="I70" i="5"/>
  <c r="J70" i="5"/>
  <c r="K70" i="5"/>
  <c r="L70" i="5"/>
  <c r="M70" i="5"/>
  <c r="N70" i="5"/>
  <c r="O70" i="5"/>
  <c r="B71" i="5"/>
  <c r="C71" i="5"/>
  <c r="D71" i="5"/>
  <c r="E71" i="5"/>
  <c r="F71" i="5"/>
  <c r="G71" i="5"/>
  <c r="H71" i="5"/>
  <c r="I71" i="5"/>
  <c r="J71" i="5"/>
  <c r="K71" i="5"/>
  <c r="L71" i="5"/>
  <c r="M71" i="5"/>
  <c r="N71" i="5"/>
  <c r="O71" i="5"/>
  <c r="B72" i="5"/>
  <c r="C72" i="5"/>
  <c r="D72" i="5"/>
  <c r="E72" i="5"/>
  <c r="F72" i="5"/>
  <c r="G72" i="5"/>
  <c r="H72" i="5"/>
  <c r="I72" i="5"/>
  <c r="J72" i="5"/>
  <c r="K72" i="5"/>
  <c r="L72" i="5"/>
  <c r="M72" i="5"/>
  <c r="N72" i="5"/>
  <c r="O72" i="5"/>
  <c r="B73" i="5"/>
  <c r="C73" i="5"/>
  <c r="D73" i="5"/>
  <c r="E73" i="5"/>
  <c r="F73" i="5"/>
  <c r="G73" i="5"/>
  <c r="H73" i="5"/>
  <c r="I73" i="5"/>
  <c r="J73" i="5"/>
  <c r="K73" i="5"/>
  <c r="L73" i="5"/>
  <c r="M73" i="5"/>
  <c r="N73" i="5"/>
  <c r="O73" i="5"/>
  <c r="B74" i="5"/>
  <c r="C74" i="5"/>
  <c r="D74" i="5"/>
  <c r="E74" i="5"/>
  <c r="F74" i="5"/>
  <c r="G74" i="5"/>
  <c r="H74" i="5"/>
  <c r="I74" i="5"/>
  <c r="J74" i="5"/>
  <c r="K74" i="5"/>
  <c r="L74" i="5"/>
  <c r="M74" i="5"/>
  <c r="N74" i="5"/>
  <c r="O74" i="5"/>
  <c r="B75" i="5"/>
  <c r="C75" i="5"/>
  <c r="D75" i="5"/>
  <c r="E75" i="5"/>
  <c r="F75" i="5"/>
  <c r="G75" i="5"/>
  <c r="H75" i="5"/>
  <c r="I75" i="5"/>
  <c r="J75" i="5"/>
  <c r="K75" i="5"/>
  <c r="L75" i="5"/>
  <c r="M75" i="5"/>
  <c r="N75" i="5"/>
  <c r="O75" i="5"/>
  <c r="B76" i="5"/>
  <c r="C76" i="5"/>
  <c r="D76" i="5"/>
  <c r="E76" i="5"/>
  <c r="F76" i="5"/>
  <c r="G76" i="5"/>
  <c r="H76" i="5"/>
  <c r="I76" i="5"/>
  <c r="J76" i="5"/>
  <c r="K76" i="5"/>
  <c r="L76" i="5"/>
  <c r="M76" i="5"/>
  <c r="N76" i="5"/>
  <c r="O76" i="5"/>
  <c r="B77" i="5"/>
  <c r="C77" i="5"/>
  <c r="D77" i="5"/>
  <c r="E77" i="5"/>
  <c r="F77" i="5"/>
  <c r="G77" i="5"/>
  <c r="H77" i="5"/>
  <c r="I77" i="5"/>
  <c r="J77" i="5"/>
  <c r="K77" i="5"/>
  <c r="L77" i="5"/>
  <c r="M77" i="5"/>
  <c r="N77" i="5"/>
  <c r="O77" i="5"/>
  <c r="B78" i="5"/>
  <c r="C78" i="5"/>
  <c r="D78" i="5"/>
  <c r="E78" i="5"/>
  <c r="F78" i="5"/>
  <c r="G78" i="5"/>
  <c r="H78" i="5"/>
  <c r="I78" i="5"/>
  <c r="J78" i="5"/>
  <c r="K78" i="5"/>
  <c r="L78" i="5"/>
  <c r="M78" i="5"/>
  <c r="N78" i="5"/>
  <c r="O78" i="5"/>
  <c r="B79" i="5"/>
  <c r="C79" i="5"/>
  <c r="D79" i="5"/>
  <c r="E79" i="5"/>
  <c r="F79" i="5"/>
  <c r="G79" i="5"/>
  <c r="H79" i="5"/>
  <c r="I79" i="5"/>
  <c r="J79" i="5"/>
  <c r="K79" i="5"/>
  <c r="L79" i="5"/>
  <c r="M79" i="5"/>
  <c r="N79" i="5"/>
  <c r="O79" i="5"/>
  <c r="B80" i="5"/>
  <c r="C80" i="5"/>
  <c r="D80" i="5"/>
  <c r="D56" i="3" s="1"/>
  <c r="E80" i="5"/>
  <c r="F56" i="3" s="1"/>
  <c r="F80" i="5"/>
  <c r="H56" i="3" s="1"/>
  <c r="G80" i="5"/>
  <c r="J56" i="3" s="1"/>
  <c r="H80" i="5"/>
  <c r="L56" i="3" s="1"/>
  <c r="I80" i="5"/>
  <c r="N56" i="3" s="1"/>
  <c r="J80" i="5"/>
  <c r="P56" i="3" s="1"/>
  <c r="K80" i="5"/>
  <c r="R56" i="3" s="1"/>
  <c r="L80" i="5"/>
  <c r="T56" i="3" s="1"/>
  <c r="M80" i="5"/>
  <c r="V56" i="3" s="1"/>
  <c r="N80" i="5"/>
  <c r="X56" i="3" s="1"/>
  <c r="O80" i="5"/>
  <c r="Z56" i="3" s="1"/>
  <c r="B81" i="5"/>
  <c r="C81" i="5"/>
  <c r="D81" i="5"/>
  <c r="E81" i="5"/>
  <c r="F81" i="5"/>
  <c r="G81" i="5"/>
  <c r="H81" i="5"/>
  <c r="I81" i="5"/>
  <c r="J81" i="5"/>
  <c r="K81" i="5"/>
  <c r="L81" i="5"/>
  <c r="M81" i="5"/>
  <c r="N81" i="5"/>
  <c r="O81" i="5"/>
  <c r="B82" i="5"/>
  <c r="C82" i="5"/>
  <c r="D82" i="5"/>
  <c r="E82" i="5"/>
  <c r="F82" i="5"/>
  <c r="G82" i="5"/>
  <c r="H82" i="5"/>
  <c r="I82" i="5"/>
  <c r="J82" i="5"/>
  <c r="K82" i="5"/>
  <c r="L82" i="5"/>
  <c r="M82" i="5"/>
  <c r="N82" i="5"/>
  <c r="O82" i="5"/>
  <c r="B83" i="5"/>
  <c r="C83" i="5"/>
  <c r="D83" i="5"/>
  <c r="E83" i="5"/>
  <c r="F83" i="5"/>
  <c r="G83" i="5"/>
  <c r="H83" i="5"/>
  <c r="I83" i="5"/>
  <c r="J83" i="5"/>
  <c r="K83" i="5"/>
  <c r="L83" i="5"/>
  <c r="M83" i="5"/>
  <c r="N83" i="5"/>
  <c r="O83" i="5"/>
  <c r="B84" i="5"/>
  <c r="C84" i="5"/>
  <c r="D84" i="5"/>
  <c r="E84" i="5"/>
  <c r="F84" i="5"/>
  <c r="G84" i="5"/>
  <c r="H84" i="5"/>
  <c r="I84" i="5"/>
  <c r="J84" i="5"/>
  <c r="K84" i="5"/>
  <c r="L84" i="5"/>
  <c r="M84" i="5"/>
  <c r="N84" i="5"/>
  <c r="O84" i="5"/>
  <c r="B85" i="5"/>
  <c r="C85" i="5"/>
  <c r="D85" i="5"/>
  <c r="E85" i="5"/>
  <c r="F85" i="5"/>
  <c r="G85" i="5"/>
  <c r="H85" i="5"/>
  <c r="I85" i="5"/>
  <c r="J85" i="5"/>
  <c r="K85" i="5"/>
  <c r="L85" i="5"/>
  <c r="M85" i="5"/>
  <c r="N85" i="5"/>
  <c r="O85" i="5"/>
  <c r="B86" i="5"/>
  <c r="C86" i="5"/>
  <c r="D86" i="5"/>
  <c r="E86" i="5"/>
  <c r="F86" i="5"/>
  <c r="G86" i="5"/>
  <c r="H86" i="5"/>
  <c r="I86" i="5"/>
  <c r="J86" i="5"/>
  <c r="K86" i="5"/>
  <c r="L86" i="5"/>
  <c r="M86" i="5"/>
  <c r="N86" i="5"/>
  <c r="O86" i="5"/>
  <c r="B87" i="5"/>
  <c r="C87" i="5"/>
  <c r="D87" i="5"/>
  <c r="E87" i="5"/>
  <c r="F87" i="5"/>
  <c r="G87" i="5"/>
  <c r="H87" i="5"/>
  <c r="I87" i="5"/>
  <c r="J87" i="5"/>
  <c r="K87" i="5"/>
  <c r="L87" i="5"/>
  <c r="M87" i="5"/>
  <c r="N87" i="5"/>
  <c r="O87" i="5"/>
  <c r="B88" i="5"/>
  <c r="C88" i="5"/>
  <c r="D88" i="5"/>
  <c r="E88" i="5"/>
  <c r="F88" i="5"/>
  <c r="G88" i="5"/>
  <c r="H88" i="5"/>
  <c r="I88" i="5"/>
  <c r="J88" i="5"/>
  <c r="K88" i="5"/>
  <c r="L88" i="5"/>
  <c r="M88" i="5"/>
  <c r="N88" i="5"/>
  <c r="O88" i="5"/>
  <c r="B89" i="5"/>
  <c r="C89" i="5"/>
  <c r="D89" i="5"/>
  <c r="E89" i="5"/>
  <c r="F89" i="5"/>
  <c r="G89" i="5"/>
  <c r="H89" i="5"/>
  <c r="I89" i="5"/>
  <c r="J89" i="5"/>
  <c r="K89" i="5"/>
  <c r="L89" i="5"/>
  <c r="M89" i="5"/>
  <c r="N89" i="5"/>
  <c r="O89" i="5"/>
  <c r="B90" i="5"/>
  <c r="C90" i="5"/>
  <c r="D90" i="5"/>
  <c r="E90" i="5"/>
  <c r="F90" i="5"/>
  <c r="G90" i="5"/>
  <c r="H90" i="5"/>
  <c r="I90" i="5"/>
  <c r="J90" i="5"/>
  <c r="K90" i="5"/>
  <c r="L90" i="5"/>
  <c r="M90" i="5"/>
  <c r="N90" i="5"/>
  <c r="O90" i="5"/>
  <c r="B91" i="5"/>
  <c r="C91" i="5"/>
  <c r="D91" i="5"/>
  <c r="E91" i="5"/>
  <c r="F91" i="5"/>
  <c r="G91" i="5"/>
  <c r="H91" i="5"/>
  <c r="I91" i="5"/>
  <c r="J91" i="5"/>
  <c r="K91" i="5"/>
  <c r="L91" i="5"/>
  <c r="M91" i="5"/>
  <c r="N91" i="5"/>
  <c r="O91" i="5"/>
  <c r="B92" i="5"/>
  <c r="C92" i="5"/>
  <c r="D92" i="5"/>
  <c r="E92" i="5"/>
  <c r="F92" i="5"/>
  <c r="G92" i="5"/>
  <c r="H92" i="5"/>
  <c r="I92" i="5"/>
  <c r="J92" i="5"/>
  <c r="K92" i="5"/>
  <c r="L92" i="5"/>
  <c r="M92" i="5"/>
  <c r="N92" i="5"/>
  <c r="O92" i="5"/>
  <c r="B93" i="5"/>
  <c r="C93" i="5"/>
  <c r="D93" i="5"/>
  <c r="E93" i="5"/>
  <c r="F93" i="5"/>
  <c r="G93" i="5"/>
  <c r="H93" i="5"/>
  <c r="I93" i="5"/>
  <c r="J93" i="5"/>
  <c r="K93" i="5"/>
  <c r="L93" i="5"/>
  <c r="M93" i="5"/>
  <c r="N93" i="5"/>
  <c r="O93" i="5"/>
  <c r="B94" i="5"/>
  <c r="C94" i="5"/>
  <c r="D94" i="5"/>
  <c r="E94" i="5"/>
  <c r="F94" i="5"/>
  <c r="G94" i="5"/>
  <c r="H94" i="5"/>
  <c r="I94" i="5"/>
  <c r="J94" i="5"/>
  <c r="K94" i="5"/>
  <c r="L94" i="5"/>
  <c r="M94" i="5"/>
  <c r="N94" i="5"/>
  <c r="O94" i="5"/>
  <c r="C100" i="5"/>
  <c r="D100" i="5"/>
  <c r="E100" i="5"/>
  <c r="F100" i="5"/>
  <c r="G100" i="5"/>
  <c r="H100" i="5"/>
  <c r="I100" i="5"/>
  <c r="J100" i="5"/>
  <c r="K100" i="5"/>
  <c r="L100" i="5"/>
  <c r="M100" i="5"/>
  <c r="N100" i="5"/>
  <c r="O100" i="5"/>
  <c r="B101" i="5"/>
  <c r="C101" i="5"/>
  <c r="D101" i="5"/>
  <c r="E101" i="5"/>
  <c r="F101" i="5"/>
  <c r="G101" i="5"/>
  <c r="H101" i="5"/>
  <c r="I101" i="5"/>
  <c r="J101" i="5"/>
  <c r="K101" i="5"/>
  <c r="L101" i="5"/>
  <c r="M101" i="5"/>
  <c r="N101" i="5"/>
  <c r="O101" i="5"/>
  <c r="B102" i="5"/>
  <c r="C102" i="5"/>
  <c r="D102" i="5"/>
  <c r="E102" i="5"/>
  <c r="F102" i="5"/>
  <c r="G102" i="5"/>
  <c r="H102" i="5"/>
  <c r="I102" i="5"/>
  <c r="J102" i="5"/>
  <c r="K102" i="5"/>
  <c r="L102" i="5"/>
  <c r="M102" i="5"/>
  <c r="N102" i="5"/>
  <c r="O102" i="5"/>
  <c r="B103" i="5"/>
  <c r="C103" i="5"/>
  <c r="D103" i="5"/>
  <c r="E103" i="5"/>
  <c r="F103" i="5"/>
  <c r="G103" i="5"/>
  <c r="H103" i="5"/>
  <c r="I103" i="5"/>
  <c r="J103" i="5"/>
  <c r="K103" i="5"/>
  <c r="L103" i="5"/>
  <c r="M103" i="5"/>
  <c r="N103" i="5"/>
  <c r="O103" i="5"/>
  <c r="O5" i="5"/>
  <c r="N5" i="5"/>
  <c r="M5" i="5"/>
  <c r="L5" i="5"/>
  <c r="K5" i="5"/>
  <c r="J5" i="5"/>
  <c r="I5" i="5"/>
  <c r="H5" i="5"/>
  <c r="G5" i="5"/>
  <c r="F5" i="5"/>
  <c r="E5" i="5"/>
  <c r="D5" i="5"/>
  <c r="C5" i="5"/>
  <c r="B5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6" i="5"/>
  <c r="A5" i="5"/>
  <c r="A4" i="5"/>
  <c r="A3" i="5"/>
  <c r="A2" i="5"/>
  <c r="O96" i="5" l="1"/>
  <c r="N96" i="5"/>
  <c r="Z45" i="7"/>
  <c r="Y45" i="7"/>
  <c r="Z53" i="7"/>
  <c r="AH35" i="7"/>
  <c r="AH44" i="7"/>
  <c r="C96" i="5"/>
  <c r="E16" i="4"/>
  <c r="E11" i="4" s="1"/>
  <c r="M96" i="5"/>
  <c r="L96" i="5"/>
  <c r="I96" i="5"/>
  <c r="K96" i="5"/>
  <c r="J96" i="5"/>
  <c r="G16" i="4"/>
  <c r="G11" i="4" s="1"/>
  <c r="Z46" i="7"/>
  <c r="Y46" i="7"/>
  <c r="H96" i="5"/>
  <c r="G7" i="4"/>
  <c r="F7" i="4"/>
  <c r="E7" i="4"/>
  <c r="G96" i="5"/>
  <c r="F96" i="5"/>
  <c r="E96" i="5"/>
  <c r="D96" i="5"/>
  <c r="F16" i="4"/>
  <c r="F11" i="4" s="1"/>
  <c r="V47" i="7"/>
  <c r="U47" i="7"/>
  <c r="V45" i="7"/>
  <c r="U45" i="7"/>
  <c r="V46" i="7"/>
  <c r="U46" i="7"/>
  <c r="U54" i="7"/>
  <c r="AG54" i="7"/>
  <c r="BA50" i="7"/>
  <c r="Y56" i="3"/>
  <c r="AA27" i="3"/>
  <c r="R35" i="7"/>
  <c r="M108" i="6"/>
  <c r="AW31" i="7"/>
  <c r="AX31" i="7"/>
  <c r="W56" i="3"/>
  <c r="AX33" i="7"/>
  <c r="AW33" i="7"/>
  <c r="AX37" i="7"/>
  <c r="AW37" i="7"/>
  <c r="AX41" i="7"/>
  <c r="AW41" i="7"/>
  <c r="AX45" i="7"/>
  <c r="AW45" i="7"/>
  <c r="AX49" i="7"/>
  <c r="AW49" i="7"/>
  <c r="AW34" i="7"/>
  <c r="AX34" i="7"/>
  <c r="AW38" i="7"/>
  <c r="AX38" i="7"/>
  <c r="AW42" i="7"/>
  <c r="AX42" i="7"/>
  <c r="AW46" i="7"/>
  <c r="AX46" i="7"/>
  <c r="AK53" i="7"/>
  <c r="AV53" i="7"/>
  <c r="AA25" i="3"/>
  <c r="Z24" i="3"/>
  <c r="AV13" i="7"/>
  <c r="AX39" i="7"/>
  <c r="AW39" i="7"/>
  <c r="AW43" i="7"/>
  <c r="AX43" i="7"/>
  <c r="AX47" i="7"/>
  <c r="AW47" i="7"/>
  <c r="AX32" i="7"/>
  <c r="AW32" i="7"/>
  <c r="AX36" i="7"/>
  <c r="AW36" i="7"/>
  <c r="AW40" i="7"/>
  <c r="AX40" i="7"/>
  <c r="AX48" i="7"/>
  <c r="AW48" i="7"/>
  <c r="AM54" i="7"/>
  <c r="AO54" i="7" s="1"/>
  <c r="AU54" i="7"/>
  <c r="AE53" i="7"/>
  <c r="AH53" i="7" s="1"/>
  <c r="AU53" i="7"/>
  <c r="F16" i="7"/>
  <c r="F15" i="7"/>
  <c r="F35" i="7"/>
  <c r="F12" i="7"/>
  <c r="F14" i="7"/>
  <c r="AS54" i="7"/>
  <c r="AT54" i="7"/>
  <c r="AS53" i="7"/>
  <c r="AT39" i="7"/>
  <c r="AS39" i="7"/>
  <c r="AT43" i="7"/>
  <c r="AS43" i="7"/>
  <c r="AT47" i="7"/>
  <c r="AS47" i="7"/>
  <c r="AS31" i="7"/>
  <c r="AT31" i="7"/>
  <c r="AT32" i="7"/>
  <c r="AS32" i="7"/>
  <c r="AT36" i="7"/>
  <c r="AS36" i="7"/>
  <c r="AS40" i="7"/>
  <c r="AT40" i="7"/>
  <c r="AS44" i="7"/>
  <c r="AT44" i="7"/>
  <c r="AT48" i="7"/>
  <c r="AS48" i="7"/>
  <c r="AS37" i="7"/>
  <c r="AT37" i="7"/>
  <c r="AS41" i="7"/>
  <c r="AT41" i="7"/>
  <c r="AS45" i="7"/>
  <c r="AT45" i="7"/>
  <c r="AS49" i="7"/>
  <c r="AT49" i="7"/>
  <c r="AS34" i="7"/>
  <c r="AT34" i="7"/>
  <c r="AT38" i="7"/>
  <c r="AS38" i="7"/>
  <c r="AS42" i="7"/>
  <c r="AT42" i="7"/>
  <c r="AS46" i="7"/>
  <c r="AT46" i="7"/>
  <c r="AT33" i="7"/>
  <c r="AS33" i="7"/>
  <c r="AR13" i="7"/>
  <c r="Y25" i="3"/>
  <c r="Y27" i="3"/>
  <c r="Q56" i="3"/>
  <c r="AD34" i="7"/>
  <c r="AD42" i="7"/>
  <c r="AP31" i="7"/>
  <c r="AO31" i="7"/>
  <c r="AP39" i="7"/>
  <c r="AO39" i="7"/>
  <c r="AP43" i="7"/>
  <c r="AO43" i="7"/>
  <c r="AP47" i="7"/>
  <c r="AO47" i="7"/>
  <c r="AO36" i="7"/>
  <c r="AP36" i="7"/>
  <c r="AO40" i="7"/>
  <c r="AP40" i="7"/>
  <c r="AO44" i="7"/>
  <c r="AP44" i="7"/>
  <c r="AO48" i="7"/>
  <c r="AP48" i="7"/>
  <c r="AO32" i="7"/>
  <c r="AP32" i="7"/>
  <c r="O26" i="4"/>
  <c r="O29" i="4" s="1"/>
  <c r="AO33" i="7"/>
  <c r="AP33" i="7"/>
  <c r="AO37" i="7"/>
  <c r="AP37" i="7"/>
  <c r="AO41" i="7"/>
  <c r="AP41" i="7"/>
  <c r="AO45" i="7"/>
  <c r="AP45" i="7"/>
  <c r="AO49" i="7"/>
  <c r="AP49" i="7"/>
  <c r="W27" i="3"/>
  <c r="AP34" i="7"/>
  <c r="AO34" i="7"/>
  <c r="AO38" i="7"/>
  <c r="AP38" i="7"/>
  <c r="AP42" i="7"/>
  <c r="AO42" i="7"/>
  <c r="AP46" i="7"/>
  <c r="AO46" i="7"/>
  <c r="AK17" i="7"/>
  <c r="AL28" i="7"/>
  <c r="W25" i="3"/>
  <c r="O22" i="4"/>
  <c r="K17" i="4"/>
  <c r="O11" i="4"/>
  <c r="M9" i="4"/>
  <c r="E9" i="4"/>
  <c r="U56" i="3"/>
  <c r="M22" i="4"/>
  <c r="K9" i="4"/>
  <c r="L26" i="4"/>
  <c r="L29" i="4" s="1"/>
  <c r="AK40" i="7"/>
  <c r="S56" i="3"/>
  <c r="H17" i="4"/>
  <c r="L11" i="4"/>
  <c r="N10" i="4"/>
  <c r="AK48" i="7"/>
  <c r="AL32" i="7"/>
  <c r="O56" i="3"/>
  <c r="AK24" i="7"/>
  <c r="M17" i="4"/>
  <c r="E17" i="4"/>
  <c r="P26" i="4"/>
  <c r="AK37" i="7"/>
  <c r="AL41" i="7"/>
  <c r="AF26" i="7"/>
  <c r="AK54" i="7"/>
  <c r="AK46" i="7"/>
  <c r="AK39" i="7"/>
  <c r="AK45" i="7"/>
  <c r="AL49" i="7"/>
  <c r="AF24" i="7"/>
  <c r="AL34" i="7"/>
  <c r="AK34" i="7"/>
  <c r="AK36" i="7"/>
  <c r="AL36" i="7"/>
  <c r="AK42" i="7"/>
  <c r="AL42" i="7"/>
  <c r="AL43" i="7"/>
  <c r="T24" i="3"/>
  <c r="AJ13" i="7"/>
  <c r="AF28" i="7"/>
  <c r="AG33" i="7"/>
  <c r="AK33" i="7"/>
  <c r="AL38" i="7"/>
  <c r="AK47" i="7"/>
  <c r="AL31" i="7"/>
  <c r="AH40" i="7"/>
  <c r="AG48" i="7"/>
  <c r="AC49" i="7"/>
  <c r="AL54" i="7"/>
  <c r="AK26" i="7"/>
  <c r="AK28" i="7"/>
  <c r="AI23" i="7"/>
  <c r="AL24" i="7"/>
  <c r="AK27" i="7"/>
  <c r="AL27" i="7"/>
  <c r="AH43" i="7"/>
  <c r="AH54" i="7"/>
  <c r="AH31" i="7"/>
  <c r="AD32" i="7"/>
  <c r="AD40" i="7"/>
  <c r="U25" i="3"/>
  <c r="U27" i="3"/>
  <c r="AG31" i="7"/>
  <c r="AD48" i="7"/>
  <c r="Z47" i="7"/>
  <c r="Y38" i="7"/>
  <c r="AC32" i="7"/>
  <c r="AD49" i="7"/>
  <c r="AH32" i="7"/>
  <c r="AD33" i="7"/>
  <c r="AD41" i="7"/>
  <c r="AH48" i="7"/>
  <c r="Z42" i="7"/>
  <c r="Z39" i="7"/>
  <c r="Y33" i="7"/>
  <c r="AH33" i="7"/>
  <c r="Z41" i="7"/>
  <c r="AG40" i="7"/>
  <c r="AC34" i="7"/>
  <c r="AG34" i="7"/>
  <c r="AH42" i="7"/>
  <c r="AD43" i="7"/>
  <c r="Z43" i="7"/>
  <c r="Y49" i="7"/>
  <c r="Z36" i="7"/>
  <c r="Z34" i="7"/>
  <c r="Y34" i="7"/>
  <c r="AH36" i="7"/>
  <c r="AD45" i="7"/>
  <c r="Y48" i="7"/>
  <c r="Z40" i="7"/>
  <c r="Y37" i="7"/>
  <c r="AD38" i="7"/>
  <c r="AH45" i="7"/>
  <c r="AD46" i="7"/>
  <c r="AC31" i="7"/>
  <c r="AH38" i="7"/>
  <c r="AD39" i="7"/>
  <c r="AH46" i="7"/>
  <c r="AD47" i="7"/>
  <c r="Z32" i="7"/>
  <c r="AC40" i="7"/>
  <c r="Z31" i="7"/>
  <c r="H22" i="4"/>
  <c r="N9" i="4"/>
  <c r="G26" i="4"/>
  <c r="G29" i="4" s="1"/>
  <c r="AD44" i="7"/>
  <c r="AD31" i="7"/>
  <c r="AA19" i="7"/>
  <c r="AG39" i="7"/>
  <c r="AH39" i="7"/>
  <c r="AH47" i="7"/>
  <c r="AA20" i="7"/>
  <c r="AE15" i="7"/>
  <c r="AA15" i="7"/>
  <c r="AE20" i="7"/>
  <c r="AC36" i="7"/>
  <c r="AD36" i="7"/>
  <c r="AA18" i="7"/>
  <c r="AD37" i="7"/>
  <c r="AC37" i="7"/>
  <c r="AE13" i="7"/>
  <c r="AA13" i="7"/>
  <c r="AE18" i="7"/>
  <c r="AG37" i="7"/>
  <c r="AH37" i="7"/>
  <c r="AC21" i="7"/>
  <c r="AE16" i="7"/>
  <c r="AA16" i="7"/>
  <c r="AD53" i="7"/>
  <c r="W54" i="7"/>
  <c r="AA54" i="7"/>
  <c r="AC54" i="7" s="1"/>
  <c r="AG36" i="7"/>
  <c r="AC39" i="7"/>
  <c r="AG35" i="7"/>
  <c r="AE14" i="7"/>
  <c r="AA14" i="7"/>
  <c r="S27" i="7"/>
  <c r="AE19" i="7"/>
  <c r="AA22" i="7"/>
  <c r="AG32" i="7"/>
  <c r="AG38" i="7"/>
  <c r="AC41" i="7"/>
  <c r="AC35" i="7"/>
  <c r="AG21" i="7"/>
  <c r="AH34" i="7"/>
  <c r="AC38" i="7"/>
  <c r="AE22" i="7"/>
  <c r="AH41" i="7"/>
  <c r="AG41" i="7"/>
  <c r="AH49" i="7"/>
  <c r="AG49" i="7"/>
  <c r="AC33" i="7"/>
  <c r="W27" i="7"/>
  <c r="S27" i="3"/>
  <c r="S25" i="3"/>
  <c r="Q25" i="3"/>
  <c r="Q27" i="3"/>
  <c r="T13" i="7"/>
  <c r="T25" i="7" s="1"/>
  <c r="N24" i="3"/>
  <c r="O24" i="3" s="1"/>
  <c r="X13" i="7"/>
  <c r="X25" i="7" s="1"/>
  <c r="W20" i="7"/>
  <c r="W26" i="7" s="1"/>
  <c r="Y16" i="7"/>
  <c r="W13" i="7"/>
  <c r="W18" i="7"/>
  <c r="Z15" i="7"/>
  <c r="W19" i="7"/>
  <c r="W22" i="7"/>
  <c r="W28" i="7" s="1"/>
  <c r="Y15" i="7"/>
  <c r="Z14" i="7"/>
  <c r="Y14" i="7"/>
  <c r="S28" i="7"/>
  <c r="V28" i="7" s="1"/>
  <c r="M56" i="3"/>
  <c r="K10" i="4"/>
  <c r="V54" i="7"/>
  <c r="U32" i="7"/>
  <c r="U48" i="7"/>
  <c r="V41" i="7"/>
  <c r="U42" i="7"/>
  <c r="V42" i="7"/>
  <c r="U49" i="7"/>
  <c r="V34" i="7"/>
  <c r="N22" i="4"/>
  <c r="N11" i="4"/>
  <c r="P10" i="4"/>
  <c r="H10" i="4"/>
  <c r="M26" i="4"/>
  <c r="M29" i="4" s="1"/>
  <c r="V37" i="7"/>
  <c r="V39" i="7"/>
  <c r="U33" i="7"/>
  <c r="V43" i="7"/>
  <c r="U36" i="7"/>
  <c r="M98" i="5"/>
  <c r="S17" i="7"/>
  <c r="N98" i="5"/>
  <c r="V31" i="7"/>
  <c r="U31" i="7"/>
  <c r="K22" i="4"/>
  <c r="H98" i="5"/>
  <c r="O17" i="4"/>
  <c r="K11" i="4"/>
  <c r="M10" i="4"/>
  <c r="E10" i="4"/>
  <c r="V40" i="7"/>
  <c r="U40" i="7"/>
  <c r="U38" i="7"/>
  <c r="G98" i="5"/>
  <c r="N17" i="4"/>
  <c r="P9" i="4"/>
  <c r="U14" i="7"/>
  <c r="V15" i="7"/>
  <c r="V18" i="7"/>
  <c r="U18" i="7"/>
  <c r="U53" i="7"/>
  <c r="S25" i="7"/>
  <c r="V22" i="7"/>
  <c r="U15" i="7"/>
  <c r="V16" i="7"/>
  <c r="U16" i="7"/>
  <c r="S26" i="7"/>
  <c r="V26" i="7" s="1"/>
  <c r="U20" i="7"/>
  <c r="U19" i="7"/>
  <c r="I22" i="4"/>
  <c r="I17" i="4"/>
  <c r="G10" i="4"/>
  <c r="G9" i="4"/>
  <c r="J26" i="4"/>
  <c r="J29" i="4" s="1"/>
  <c r="J10" i="4"/>
  <c r="J9" i="4"/>
  <c r="Q32" i="7"/>
  <c r="K56" i="3"/>
  <c r="P26" i="7"/>
  <c r="P28" i="7"/>
  <c r="R37" i="7"/>
  <c r="Q41" i="7"/>
  <c r="R43" i="7"/>
  <c r="R47" i="7"/>
  <c r="Q49" i="7"/>
  <c r="P53" i="7"/>
  <c r="K18" i="3"/>
  <c r="P13" i="7"/>
  <c r="E12" i="7"/>
  <c r="R38" i="7"/>
  <c r="Q12" i="7"/>
  <c r="N15" i="7"/>
  <c r="J21" i="7"/>
  <c r="M12" i="7"/>
  <c r="O19" i="7"/>
  <c r="Q43" i="7"/>
  <c r="Q36" i="7"/>
  <c r="R36" i="7"/>
  <c r="Q42" i="7"/>
  <c r="R42" i="7"/>
  <c r="Q48" i="7"/>
  <c r="R48" i="7"/>
  <c r="R41" i="7"/>
  <c r="Q37" i="7"/>
  <c r="Q47" i="7"/>
  <c r="R32" i="7"/>
  <c r="R49" i="7"/>
  <c r="O22" i="7"/>
  <c r="R34" i="7"/>
  <c r="Q34" i="7"/>
  <c r="R40" i="7"/>
  <c r="Q40" i="7"/>
  <c r="R46" i="7"/>
  <c r="Q46" i="7"/>
  <c r="Q38" i="7"/>
  <c r="Q21" i="7"/>
  <c r="Q33" i="7"/>
  <c r="R33" i="7"/>
  <c r="Q39" i="7"/>
  <c r="R39" i="7"/>
  <c r="Q45" i="7"/>
  <c r="R45" i="7"/>
  <c r="R31" i="7"/>
  <c r="Q31" i="7"/>
  <c r="O20" i="7"/>
  <c r="R44" i="7"/>
  <c r="Q44" i="7"/>
  <c r="Q35" i="7"/>
  <c r="D29" i="7"/>
  <c r="E36" i="7"/>
  <c r="I54" i="7"/>
  <c r="K27" i="3"/>
  <c r="K25" i="3"/>
  <c r="M37" i="7"/>
  <c r="M43" i="7"/>
  <c r="F42" i="7"/>
  <c r="I56" i="3"/>
  <c r="G56" i="3"/>
  <c r="I11" i="4"/>
  <c r="H11" i="4"/>
  <c r="I26" i="4"/>
  <c r="I29" i="4" s="1"/>
  <c r="N97" i="5"/>
  <c r="M54" i="7"/>
  <c r="L98" i="5"/>
  <c r="J95" i="5"/>
  <c r="L97" i="5"/>
  <c r="M11" i="4"/>
  <c r="O10" i="4"/>
  <c r="I10" i="4"/>
  <c r="O9" i="4"/>
  <c r="I9" i="4"/>
  <c r="N26" i="4"/>
  <c r="N29" i="4" s="1"/>
  <c r="G25" i="3"/>
  <c r="I27" i="3"/>
  <c r="L28" i="7"/>
  <c r="F31" i="7"/>
  <c r="F38" i="7"/>
  <c r="F32" i="7"/>
  <c r="F44" i="7"/>
  <c r="F36" i="7"/>
  <c r="G27" i="3"/>
  <c r="L22" i="4"/>
  <c r="K98" i="5"/>
  <c r="O95" i="5"/>
  <c r="I95" i="5"/>
  <c r="C95" i="5"/>
  <c r="L17" i="4"/>
  <c r="K97" i="5"/>
  <c r="F30" i="7"/>
  <c r="F18" i="7"/>
  <c r="F43" i="7"/>
  <c r="F37" i="7"/>
  <c r="F49" i="7"/>
  <c r="E44" i="7"/>
  <c r="E41" i="7"/>
  <c r="L95" i="5"/>
  <c r="H97" i="5"/>
  <c r="E25" i="3"/>
  <c r="D26" i="7"/>
  <c r="H24" i="3"/>
  <c r="L25" i="7" s="1"/>
  <c r="L13" i="7"/>
  <c r="G97" i="5"/>
  <c r="J98" i="5"/>
  <c r="D98" i="5"/>
  <c r="N95" i="5"/>
  <c r="H95" i="5"/>
  <c r="J97" i="5"/>
  <c r="F26" i="4"/>
  <c r="F29" i="4" s="1"/>
  <c r="I25" i="3"/>
  <c r="L26" i="7"/>
  <c r="E48" i="7"/>
  <c r="E32" i="7"/>
  <c r="K95" i="5"/>
  <c r="M97" i="5"/>
  <c r="P22" i="4"/>
  <c r="J22" i="4"/>
  <c r="O98" i="5"/>
  <c r="I98" i="5"/>
  <c r="C98" i="5"/>
  <c r="M95" i="5"/>
  <c r="G95" i="5"/>
  <c r="P17" i="4"/>
  <c r="J17" i="4"/>
  <c r="O97" i="5"/>
  <c r="I97" i="5"/>
  <c r="C97" i="5"/>
  <c r="P11" i="4"/>
  <c r="J11" i="4"/>
  <c r="L10" i="4"/>
  <c r="F10" i="4"/>
  <c r="L9" i="4"/>
  <c r="F9" i="4"/>
  <c r="K26" i="4"/>
  <c r="K29" i="4" s="1"/>
  <c r="E27" i="3"/>
  <c r="D28" i="7"/>
  <c r="F13" i="7"/>
  <c r="F41" i="7"/>
  <c r="F47" i="7"/>
  <c r="E43" i="7"/>
  <c r="E18" i="7"/>
  <c r="F40" i="7"/>
  <c r="F34" i="7"/>
  <c r="E46" i="7"/>
  <c r="E37" i="7"/>
  <c r="E16" i="7"/>
  <c r="F39" i="7"/>
  <c r="F33" i="7"/>
  <c r="F45" i="7"/>
  <c r="E42" i="7"/>
  <c r="J42" i="7"/>
  <c r="I42" i="7"/>
  <c r="N46" i="7"/>
  <c r="M46" i="7"/>
  <c r="J48" i="7"/>
  <c r="I48" i="7"/>
  <c r="J16" i="7"/>
  <c r="I16" i="7"/>
  <c r="I40" i="7"/>
  <c r="N41" i="7"/>
  <c r="M41" i="7"/>
  <c r="I44" i="7"/>
  <c r="N45" i="7"/>
  <c r="M45" i="7"/>
  <c r="N49" i="7"/>
  <c r="M49" i="7"/>
  <c r="J15" i="7"/>
  <c r="I15" i="7"/>
  <c r="I20" i="7"/>
  <c r="N21" i="7"/>
  <c r="M21" i="7"/>
  <c r="N31" i="7"/>
  <c r="M31" i="7"/>
  <c r="I34" i="7"/>
  <c r="N35" i="7"/>
  <c r="M35" i="7"/>
  <c r="J38" i="7"/>
  <c r="I38" i="7"/>
  <c r="N39" i="7"/>
  <c r="M39" i="7"/>
  <c r="I46" i="7"/>
  <c r="N47" i="7"/>
  <c r="M47" i="7"/>
  <c r="J36" i="7"/>
  <c r="I36" i="7"/>
  <c r="N34" i="7"/>
  <c r="M34" i="7"/>
  <c r="J14" i="7"/>
  <c r="I14" i="7"/>
  <c r="I33" i="7"/>
  <c r="J37" i="7"/>
  <c r="I37" i="7"/>
  <c r="N38" i="7"/>
  <c r="M38" i="7"/>
  <c r="I41" i="7"/>
  <c r="N42" i="7"/>
  <c r="M42" i="7"/>
  <c r="I45" i="7"/>
  <c r="J49" i="7"/>
  <c r="I49" i="7"/>
  <c r="N53" i="7"/>
  <c r="M53" i="7"/>
  <c r="N40" i="7"/>
  <c r="M40" i="7"/>
  <c r="J13" i="7"/>
  <c r="I13" i="7"/>
  <c r="J18" i="7"/>
  <c r="I18" i="7"/>
  <c r="I32" i="7"/>
  <c r="N33" i="7"/>
  <c r="M33" i="7"/>
  <c r="I12" i="7"/>
  <c r="I21" i="7"/>
  <c r="N22" i="7"/>
  <c r="M22" i="7"/>
  <c r="J31" i="7"/>
  <c r="I31" i="7"/>
  <c r="N32" i="7"/>
  <c r="M32" i="7"/>
  <c r="I35" i="7"/>
  <c r="N36" i="7"/>
  <c r="M36" i="7"/>
  <c r="I39" i="7"/>
  <c r="J43" i="7"/>
  <c r="I43" i="7"/>
  <c r="N44" i="7"/>
  <c r="M44" i="7"/>
  <c r="I47" i="7"/>
  <c r="N48" i="7"/>
  <c r="M48" i="7"/>
  <c r="F54" i="7"/>
  <c r="J35" i="7"/>
  <c r="J41" i="7"/>
  <c r="J47" i="7"/>
  <c r="N54" i="7"/>
  <c r="E22" i="7"/>
  <c r="F22" i="7"/>
  <c r="E34" i="7"/>
  <c r="N37" i="7"/>
  <c r="J34" i="7"/>
  <c r="J40" i="7"/>
  <c r="J46" i="7"/>
  <c r="E45" i="7"/>
  <c r="E38" i="7"/>
  <c r="E31" i="7"/>
  <c r="E30" i="7"/>
  <c r="E47" i="7"/>
  <c r="E13" i="7"/>
  <c r="E54" i="7"/>
  <c r="E40" i="7"/>
  <c r="N43" i="7"/>
  <c r="J12" i="7"/>
  <c r="J33" i="7"/>
  <c r="J39" i="7"/>
  <c r="J45" i="7"/>
  <c r="E39" i="7"/>
  <c r="F46" i="7"/>
  <c r="J20" i="7"/>
  <c r="J32" i="7"/>
  <c r="J44" i="7"/>
  <c r="E19" i="7"/>
  <c r="F19" i="7"/>
  <c r="E33" i="7"/>
  <c r="E35" i="7"/>
  <c r="E15" i="7"/>
  <c r="E20" i="7"/>
  <c r="F20" i="7"/>
  <c r="F48" i="7"/>
  <c r="E49" i="7"/>
  <c r="E14" i="7"/>
  <c r="J54" i="7"/>
  <c r="I53" i="7"/>
  <c r="M16" i="7"/>
  <c r="M18" i="7"/>
  <c r="K19" i="7"/>
  <c r="M19" i="7" s="1"/>
  <c r="K20" i="7"/>
  <c r="M20" i="7" s="1"/>
  <c r="C17" i="7"/>
  <c r="C29" i="7"/>
  <c r="G22" i="4"/>
  <c r="F98" i="5"/>
  <c r="D95" i="5"/>
  <c r="G17" i="4"/>
  <c r="F97" i="5"/>
  <c r="H26" i="4"/>
  <c r="H29" i="4" s="1"/>
  <c r="F22" i="4"/>
  <c r="E98" i="5"/>
  <c r="F17" i="4"/>
  <c r="E97" i="5"/>
  <c r="H9" i="4"/>
  <c r="D97" i="5"/>
  <c r="E95" i="5"/>
  <c r="E56" i="3"/>
  <c r="F95" i="5"/>
  <c r="AU17" i="7"/>
  <c r="AA18" i="3"/>
  <c r="U24" i="3"/>
  <c r="U17" i="3"/>
  <c r="AA24" i="3"/>
  <c r="AA17" i="3"/>
  <c r="P24" i="3"/>
  <c r="Q18" i="3"/>
  <c r="J24" i="3"/>
  <c r="V24" i="3"/>
  <c r="W18" i="3"/>
  <c r="G18" i="3"/>
  <c r="O18" i="3"/>
  <c r="Y23" i="3"/>
  <c r="M17" i="3"/>
  <c r="R24" i="3"/>
  <c r="S18" i="3"/>
  <c r="Q17" i="3"/>
  <c r="I18" i="3"/>
  <c r="U18" i="3"/>
  <c r="L24" i="3"/>
  <c r="M18" i="3"/>
  <c r="X24" i="3"/>
  <c r="Y18" i="3"/>
  <c r="S23" i="3"/>
  <c r="Y17" i="3"/>
  <c r="O23" i="3"/>
  <c r="O17" i="3"/>
  <c r="K17" i="3"/>
  <c r="M23" i="3"/>
  <c r="S17" i="3"/>
  <c r="AA23" i="3"/>
  <c r="R28" i="3"/>
  <c r="AF29" i="7" s="1"/>
  <c r="D28" i="3"/>
  <c r="P28" i="3"/>
  <c r="AB29" i="7" s="1"/>
  <c r="L28" i="3"/>
  <c r="T29" i="7" s="1"/>
  <c r="X28" i="3"/>
  <c r="AR29" i="7" s="1"/>
  <c r="F28" i="3"/>
  <c r="H29" i="7" s="1"/>
  <c r="H28" i="3"/>
  <c r="L29" i="7" s="1"/>
  <c r="T28" i="3"/>
  <c r="AJ29" i="7" s="1"/>
  <c r="J28" i="3"/>
  <c r="P29" i="7" s="1"/>
  <c r="V28" i="3"/>
  <c r="AN29" i="7" s="1"/>
  <c r="N28" i="3"/>
  <c r="Z28" i="3"/>
  <c r="AV29" i="7" s="1"/>
  <c r="P23" i="3"/>
  <c r="T23" i="3"/>
  <c r="J23" i="3"/>
  <c r="O20" i="1"/>
  <c r="O21" i="1"/>
  <c r="O22" i="1"/>
  <c r="N45" i="1"/>
  <c r="N15" i="1"/>
  <c r="Z16" i="3" s="1"/>
  <c r="AV17" i="7" s="1"/>
  <c r="N8" i="1"/>
  <c r="Z10" i="3" s="1"/>
  <c r="AV11" i="7" s="1"/>
  <c r="Z54" i="7" l="1"/>
  <c r="BA54" i="7"/>
  <c r="AG53" i="7"/>
  <c r="BA53" i="7"/>
  <c r="BA19" i="7"/>
  <c r="Y54" i="7"/>
  <c r="H21" i="4"/>
  <c r="H18" i="4" s="1"/>
  <c r="C23" i="7"/>
  <c r="I21" i="4"/>
  <c r="I18" i="4" s="1"/>
  <c r="N21" i="4"/>
  <c r="N18" i="4" s="1"/>
  <c r="P21" i="4"/>
  <c r="P18" i="4" s="1"/>
  <c r="AP54" i="7"/>
  <c r="BA39" i="7"/>
  <c r="N108" i="6"/>
  <c r="BA35" i="7"/>
  <c r="AV23" i="7"/>
  <c r="AW17" i="7"/>
  <c r="AT30" i="7"/>
  <c r="AV25" i="7"/>
  <c r="AX13" i="7"/>
  <c r="AW13" i="7"/>
  <c r="AS30" i="7"/>
  <c r="AQ23" i="7"/>
  <c r="AQ51" i="7" s="1"/>
  <c r="AQ55" i="7" s="1"/>
  <c r="W24" i="3"/>
  <c r="AX17" i="7"/>
  <c r="BB14" i="7"/>
  <c r="BA16" i="7"/>
  <c r="BA20" i="7"/>
  <c r="BB15" i="7"/>
  <c r="BA18" i="7"/>
  <c r="AW54" i="7"/>
  <c r="AX54" i="7"/>
  <c r="AX53" i="7"/>
  <c r="AW53" i="7"/>
  <c r="Z26" i="3"/>
  <c r="AA20" i="3"/>
  <c r="AS29" i="7"/>
  <c r="AT29" i="7"/>
  <c r="Z4" i="3"/>
  <c r="AT13" i="7"/>
  <c r="AS13" i="7"/>
  <c r="AR25" i="7"/>
  <c r="Y24" i="3"/>
  <c r="AR11" i="7"/>
  <c r="P13" i="4"/>
  <c r="O13" i="4"/>
  <c r="BA41" i="7"/>
  <c r="BA22" i="7"/>
  <c r="O21" i="4"/>
  <c r="O18" i="4" s="1"/>
  <c r="AP11" i="7"/>
  <c r="AO11" i="7"/>
  <c r="AM23" i="7"/>
  <c r="BA44" i="7"/>
  <c r="BA47" i="7"/>
  <c r="BA40" i="7"/>
  <c r="T11" i="7"/>
  <c r="L15" i="4"/>
  <c r="L14" i="4" s="1"/>
  <c r="K21" i="4"/>
  <c r="K18" i="4" s="1"/>
  <c r="BA38" i="7"/>
  <c r="BA49" i="7"/>
  <c r="E12" i="4"/>
  <c r="M21" i="4"/>
  <c r="M18" i="4" s="1"/>
  <c r="X11" i="7"/>
  <c r="N15" i="4"/>
  <c r="N14" i="4" s="1"/>
  <c r="M12" i="4"/>
  <c r="M15" i="4"/>
  <c r="M14" i="4" s="1"/>
  <c r="N13" i="4"/>
  <c r="BB54" i="7"/>
  <c r="Q23" i="3"/>
  <c r="BA46" i="7"/>
  <c r="AJ25" i="7"/>
  <c r="AL13" i="7"/>
  <c r="AK13" i="7"/>
  <c r="AK11" i="7" s="1"/>
  <c r="AK23" i="7" s="1"/>
  <c r="R12" i="7"/>
  <c r="BA33" i="7"/>
  <c r="BA36" i="7"/>
  <c r="AK30" i="7"/>
  <c r="AL30" i="7"/>
  <c r="BA45" i="7"/>
  <c r="BA42" i="7"/>
  <c r="V25" i="7"/>
  <c r="BA43" i="7"/>
  <c r="BA34" i="7"/>
  <c r="AF25" i="7"/>
  <c r="V13" i="7"/>
  <c r="U23" i="3"/>
  <c r="F21" i="4"/>
  <c r="F18" i="4" s="1"/>
  <c r="J21" i="4"/>
  <c r="J18" i="4" s="1"/>
  <c r="AG19" i="7"/>
  <c r="AH19" i="7"/>
  <c r="AC13" i="7"/>
  <c r="AD13" i="7"/>
  <c r="AA25" i="7"/>
  <c r="AE25" i="7"/>
  <c r="AH13" i="7"/>
  <c r="AG13" i="7"/>
  <c r="AE17" i="7"/>
  <c r="AH20" i="7"/>
  <c r="AG20" i="7"/>
  <c r="AD12" i="7"/>
  <c r="AC12" i="7"/>
  <c r="AA24" i="7"/>
  <c r="AC19" i="7"/>
  <c r="AD19" i="7"/>
  <c r="AH12" i="7"/>
  <c r="AG12" i="7"/>
  <c r="AE24" i="7"/>
  <c r="AD54" i="7"/>
  <c r="AD15" i="7"/>
  <c r="AC15" i="7"/>
  <c r="AA27" i="7"/>
  <c r="AD14" i="7"/>
  <c r="AC14" i="7"/>
  <c r="AA26" i="7"/>
  <c r="AC18" i="7"/>
  <c r="AA17" i="7"/>
  <c r="AD18" i="7"/>
  <c r="AG15" i="7"/>
  <c r="AH15" i="7"/>
  <c r="AE27" i="7"/>
  <c r="AG22" i="7"/>
  <c r="AH22" i="7"/>
  <c r="AD22" i="7"/>
  <c r="AC22" i="7"/>
  <c r="AH14" i="7"/>
  <c r="AG14" i="7"/>
  <c r="AE26" i="7"/>
  <c r="AD16" i="7"/>
  <c r="AC16" i="7"/>
  <c r="AA28" i="7"/>
  <c r="AG18" i="7"/>
  <c r="AH18" i="7"/>
  <c r="AG16" i="7"/>
  <c r="AE28" i="7"/>
  <c r="AH16" i="7"/>
  <c r="AC20" i="7"/>
  <c r="AD20" i="7"/>
  <c r="BA31" i="7"/>
  <c r="BA48" i="7"/>
  <c r="BA37" i="7"/>
  <c r="U28" i="7"/>
  <c r="U13" i="7"/>
  <c r="BA32" i="7"/>
  <c r="Q24" i="3"/>
  <c r="X29" i="7"/>
  <c r="I24" i="3"/>
  <c r="S24" i="3"/>
  <c r="K27" i="7"/>
  <c r="Y28" i="7"/>
  <c r="Z28" i="7"/>
  <c r="Z26" i="7"/>
  <c r="Y26" i="7"/>
  <c r="Z22" i="7"/>
  <c r="Y22" i="7"/>
  <c r="Z18" i="7"/>
  <c r="Y18" i="7"/>
  <c r="Z30" i="7"/>
  <c r="Y30" i="7"/>
  <c r="Y29" i="7" s="1"/>
  <c r="Y20" i="7"/>
  <c r="Z20" i="7"/>
  <c r="M15" i="7"/>
  <c r="Y12" i="7"/>
  <c r="W24" i="7"/>
  <c r="Z12" i="7"/>
  <c r="W17" i="7"/>
  <c r="Z19" i="7"/>
  <c r="Y19" i="7"/>
  <c r="Z13" i="7"/>
  <c r="Y13" i="7"/>
  <c r="W25" i="7"/>
  <c r="Q13" i="7"/>
  <c r="E21" i="4"/>
  <c r="K13" i="4"/>
  <c r="I13" i="4"/>
  <c r="O25" i="7"/>
  <c r="H13" i="4"/>
  <c r="R13" i="7"/>
  <c r="F15" i="4"/>
  <c r="F14" i="4" s="1"/>
  <c r="H15" i="4"/>
  <c r="H14" i="4" s="1"/>
  <c r="O12" i="4"/>
  <c r="M13" i="4"/>
  <c r="U26" i="7"/>
  <c r="V53" i="7"/>
  <c r="U25" i="7"/>
  <c r="U12" i="7"/>
  <c r="S11" i="7"/>
  <c r="S24" i="7"/>
  <c r="V12" i="7"/>
  <c r="N13" i="7"/>
  <c r="M14" i="7"/>
  <c r="N14" i="7"/>
  <c r="F29" i="7"/>
  <c r="M24" i="3"/>
  <c r="J13" i="4"/>
  <c r="M13" i="7"/>
  <c r="P24" i="7"/>
  <c r="P25" i="7"/>
  <c r="E13" i="4"/>
  <c r="N12" i="7"/>
  <c r="P15" i="4"/>
  <c r="P14" i="4" s="1"/>
  <c r="K15" i="4"/>
  <c r="K14" i="4" s="1"/>
  <c r="J12" i="4"/>
  <c r="P12" i="4"/>
  <c r="N12" i="4"/>
  <c r="O26" i="7"/>
  <c r="R14" i="7"/>
  <c r="Q14" i="7"/>
  <c r="R54" i="7"/>
  <c r="Q54" i="7"/>
  <c r="Q15" i="7"/>
  <c r="O27" i="7"/>
  <c r="R15" i="7"/>
  <c r="R20" i="7"/>
  <c r="Q20" i="7"/>
  <c r="R16" i="7"/>
  <c r="O28" i="7"/>
  <c r="Q16" i="7"/>
  <c r="Q53" i="7"/>
  <c r="R53" i="7"/>
  <c r="R19" i="7"/>
  <c r="Q19" i="7"/>
  <c r="R18" i="7"/>
  <c r="Q18" i="7"/>
  <c r="O24" i="7"/>
  <c r="O17" i="7"/>
  <c r="R22" i="7"/>
  <c r="Q22" i="7"/>
  <c r="O11" i="7"/>
  <c r="K24" i="3"/>
  <c r="K23" i="3"/>
  <c r="G21" i="4"/>
  <c r="G18" i="4" s="1"/>
  <c r="G13" i="4"/>
  <c r="I15" i="4"/>
  <c r="I14" i="4" s="1"/>
  <c r="G15" i="4"/>
  <c r="G14" i="4" s="1"/>
  <c r="K12" i="4"/>
  <c r="J15" i="4"/>
  <c r="J14" i="4" s="1"/>
  <c r="L13" i="4"/>
  <c r="O15" i="4"/>
  <c r="O14" i="4" s="1"/>
  <c r="E11" i="7"/>
  <c r="H12" i="4"/>
  <c r="L12" i="4"/>
  <c r="I12" i="4"/>
  <c r="L21" i="4"/>
  <c r="L18" i="4" s="1"/>
  <c r="I26" i="7"/>
  <c r="BB45" i="7"/>
  <c r="BB41" i="7"/>
  <c r="BB37" i="7"/>
  <c r="BB33" i="7"/>
  <c r="BB36" i="7"/>
  <c r="I30" i="7"/>
  <c r="I29" i="7" s="1"/>
  <c r="J11" i="7"/>
  <c r="M17" i="7"/>
  <c r="BB32" i="7"/>
  <c r="BB49" i="7"/>
  <c r="BB44" i="7"/>
  <c r="BB40" i="7"/>
  <c r="I22" i="7"/>
  <c r="BB39" i="7"/>
  <c r="BB35" i="7"/>
  <c r="BB31" i="7"/>
  <c r="BB46" i="7"/>
  <c r="BB38" i="7"/>
  <c r="BB48" i="7"/>
  <c r="BB42" i="7"/>
  <c r="I19" i="7"/>
  <c r="BB47" i="7"/>
  <c r="BB43" i="7"/>
  <c r="BB34" i="7"/>
  <c r="I11" i="7"/>
  <c r="N20" i="7"/>
  <c r="J22" i="7"/>
  <c r="K25" i="7"/>
  <c r="N19" i="7"/>
  <c r="F28" i="7"/>
  <c r="E28" i="7"/>
  <c r="J19" i="7"/>
  <c r="K24" i="7"/>
  <c r="N18" i="7"/>
  <c r="E29" i="7"/>
  <c r="G29" i="7"/>
  <c r="J30" i="7"/>
  <c r="F53" i="7"/>
  <c r="E53" i="7"/>
  <c r="F26" i="7"/>
  <c r="E26" i="7"/>
  <c r="K28" i="7"/>
  <c r="N16" i="7"/>
  <c r="J26" i="7"/>
  <c r="J53" i="7"/>
  <c r="K17" i="7"/>
  <c r="M30" i="7"/>
  <c r="M29" i="7" s="1"/>
  <c r="K26" i="7"/>
  <c r="K11" i="7"/>
  <c r="I23" i="3"/>
  <c r="G12" i="4"/>
  <c r="F12" i="4"/>
  <c r="F13" i="4"/>
  <c r="AP29" i="7"/>
  <c r="O53" i="3"/>
  <c r="O46" i="3"/>
  <c r="O40" i="3"/>
  <c r="O34" i="3"/>
  <c r="O28" i="3"/>
  <c r="O10" i="3"/>
  <c r="O52" i="3"/>
  <c r="O45" i="3"/>
  <c r="O39" i="3"/>
  <c r="O33" i="3"/>
  <c r="O14" i="3"/>
  <c r="O44" i="3"/>
  <c r="O38" i="3"/>
  <c r="O32" i="3"/>
  <c r="O15" i="3"/>
  <c r="O49" i="3"/>
  <c r="O37" i="3"/>
  <c r="O11" i="3"/>
  <c r="O42" i="3"/>
  <c r="O48" i="3"/>
  <c r="O36" i="3"/>
  <c r="O43" i="3"/>
  <c r="O31" i="3"/>
  <c r="O30" i="3"/>
  <c r="O13" i="3"/>
  <c r="O41" i="3"/>
  <c r="O29" i="3"/>
  <c r="O47" i="3"/>
  <c r="O35" i="3"/>
  <c r="O12" i="3"/>
  <c r="M44" i="3"/>
  <c r="M38" i="3"/>
  <c r="M32" i="3"/>
  <c r="M15" i="3"/>
  <c r="M49" i="3"/>
  <c r="M43" i="3"/>
  <c r="M37" i="3"/>
  <c r="M31" i="3"/>
  <c r="M13" i="3"/>
  <c r="M48" i="3"/>
  <c r="M42" i="3"/>
  <c r="M36" i="3"/>
  <c r="M30" i="3"/>
  <c r="M12" i="3"/>
  <c r="M45" i="3"/>
  <c r="M33" i="3"/>
  <c r="M47" i="3"/>
  <c r="M41" i="3"/>
  <c r="M29" i="3"/>
  <c r="M14" i="3"/>
  <c r="M52" i="3"/>
  <c r="M39" i="3"/>
  <c r="M10" i="3"/>
  <c r="M35" i="3"/>
  <c r="M46" i="3"/>
  <c r="M34" i="3"/>
  <c r="M53" i="3"/>
  <c r="M40" i="3"/>
  <c r="M28" i="3"/>
  <c r="M11" i="3"/>
  <c r="Y44" i="3"/>
  <c r="Y38" i="3"/>
  <c r="Y32" i="3"/>
  <c r="Y15" i="3"/>
  <c r="Y49" i="3"/>
  <c r="Y43" i="3"/>
  <c r="Y37" i="3"/>
  <c r="Y31" i="3"/>
  <c r="Y13" i="3"/>
  <c r="Y48" i="3"/>
  <c r="Y42" i="3"/>
  <c r="Y36" i="3"/>
  <c r="Y30" i="3"/>
  <c r="Y12" i="3"/>
  <c r="Y47" i="3"/>
  <c r="Y35" i="3"/>
  <c r="Y53" i="3"/>
  <c r="Y28" i="3"/>
  <c r="Y11" i="3"/>
  <c r="Y46" i="3"/>
  <c r="Y34" i="3"/>
  <c r="Y29" i="3"/>
  <c r="Y14" i="3"/>
  <c r="Y40" i="3"/>
  <c r="Y52" i="3"/>
  <c r="Y39" i="3"/>
  <c r="Y10" i="3"/>
  <c r="Y45" i="3"/>
  <c r="Y33" i="3"/>
  <c r="Y41" i="3"/>
  <c r="AA53" i="3"/>
  <c r="AA46" i="3"/>
  <c r="AA40" i="3"/>
  <c r="AA34" i="3"/>
  <c r="AA28" i="3"/>
  <c r="AA16" i="3"/>
  <c r="AA10" i="3"/>
  <c r="AA52" i="3"/>
  <c r="AA45" i="3"/>
  <c r="AA39" i="3"/>
  <c r="AA33" i="3"/>
  <c r="AA14" i="3"/>
  <c r="AA44" i="3"/>
  <c r="AA38" i="3"/>
  <c r="AA32" i="3"/>
  <c r="AA15" i="3"/>
  <c r="AA42" i="3"/>
  <c r="AA30" i="3"/>
  <c r="AA13" i="3"/>
  <c r="AA47" i="3"/>
  <c r="AA41" i="3"/>
  <c r="AA29" i="3"/>
  <c r="AA12" i="3"/>
  <c r="AA36" i="3"/>
  <c r="AA35" i="3"/>
  <c r="AA43" i="3"/>
  <c r="AA31" i="3"/>
  <c r="AA49" i="3"/>
  <c r="AA37" i="3"/>
  <c r="AA11" i="3"/>
  <c r="AA48" i="3"/>
  <c r="W48" i="3"/>
  <c r="W42" i="3"/>
  <c r="W36" i="3"/>
  <c r="W30" i="3"/>
  <c r="W12" i="3"/>
  <c r="W47" i="3"/>
  <c r="W41" i="3"/>
  <c r="W35" i="3"/>
  <c r="W29" i="3"/>
  <c r="W53" i="3"/>
  <c r="W46" i="3"/>
  <c r="W40" i="3"/>
  <c r="W34" i="3"/>
  <c r="W28" i="3"/>
  <c r="W10" i="3"/>
  <c r="W43" i="3"/>
  <c r="W31" i="3"/>
  <c r="W45" i="3"/>
  <c r="W52" i="3"/>
  <c r="W39" i="3"/>
  <c r="W14" i="3"/>
  <c r="W37" i="3"/>
  <c r="W13" i="3"/>
  <c r="W33" i="3"/>
  <c r="W44" i="3"/>
  <c r="W32" i="3"/>
  <c r="W38" i="3"/>
  <c r="W15" i="3"/>
  <c r="W49" i="3"/>
  <c r="Z22" i="3"/>
  <c r="AA22" i="3" s="1"/>
  <c r="Z2" i="3"/>
  <c r="N16" i="1"/>
  <c r="N46" i="1" s="1"/>
  <c r="N57" i="1" l="1"/>
  <c r="N63" i="1" s="1"/>
  <c r="M26" i="7"/>
  <c r="M25" i="7"/>
  <c r="M28" i="7"/>
  <c r="BA28" i="7"/>
  <c r="M24" i="7"/>
  <c r="O108" i="6"/>
  <c r="BA14" i="7"/>
  <c r="AX11" i="7"/>
  <c r="AU23" i="7"/>
  <c r="AW23" i="7" s="1"/>
  <c r="AW11" i="7"/>
  <c r="AV51" i="7"/>
  <c r="AA26" i="3"/>
  <c r="AX30" i="7"/>
  <c r="AW30" i="7"/>
  <c r="AX25" i="7"/>
  <c r="AW25" i="7"/>
  <c r="BA30" i="7"/>
  <c r="BA26" i="7"/>
  <c r="AS11" i="7"/>
  <c r="AT11" i="7"/>
  <c r="Z11" i="7"/>
  <c r="AS25" i="7"/>
  <c r="AT25" i="7"/>
  <c r="V11" i="7"/>
  <c r="AP30" i="7"/>
  <c r="AO30" i="7"/>
  <c r="AM51" i="7"/>
  <c r="AO29" i="7"/>
  <c r="BA13" i="7"/>
  <c r="Z29" i="7"/>
  <c r="AK25" i="7"/>
  <c r="AL25" i="7"/>
  <c r="AK29" i="7"/>
  <c r="AK51" i="7" s="1"/>
  <c r="AK55" i="7" s="1"/>
  <c r="AC11" i="7"/>
  <c r="AH29" i="7"/>
  <c r="AH26" i="7"/>
  <c r="AG26" i="7"/>
  <c r="AD26" i="7"/>
  <c r="AC26" i="7"/>
  <c r="AG11" i="7"/>
  <c r="BA15" i="7"/>
  <c r="AD25" i="7"/>
  <c r="AC25" i="7"/>
  <c r="AG17" i="7"/>
  <c r="AH30" i="7"/>
  <c r="AG30" i="7"/>
  <c r="AD28" i="7"/>
  <c r="AC28" i="7"/>
  <c r="AD30" i="7"/>
  <c r="AD29" i="7"/>
  <c r="AC30" i="7"/>
  <c r="AC29" i="7" s="1"/>
  <c r="AG28" i="7"/>
  <c r="AH28" i="7"/>
  <c r="AC17" i="7"/>
  <c r="AC27" i="7"/>
  <c r="AD27" i="7"/>
  <c r="AA23" i="7"/>
  <c r="AG24" i="7"/>
  <c r="AH24" i="7"/>
  <c r="AE23" i="7"/>
  <c r="AD24" i="7"/>
  <c r="AC24" i="7"/>
  <c r="AG25" i="7"/>
  <c r="AH25" i="7"/>
  <c r="U11" i="7"/>
  <c r="BB53" i="7"/>
  <c r="Z25" i="7"/>
  <c r="Y25" i="7"/>
  <c r="Z24" i="7"/>
  <c r="Y24" i="7"/>
  <c r="W23" i="7"/>
  <c r="Y11" i="7"/>
  <c r="Q25" i="7"/>
  <c r="V24" i="7"/>
  <c r="U24" i="7"/>
  <c r="S23" i="7"/>
  <c r="U30" i="7"/>
  <c r="U29" i="7" s="1"/>
  <c r="V30" i="7"/>
  <c r="S29" i="7"/>
  <c r="V29" i="7" s="1"/>
  <c r="BB13" i="7"/>
  <c r="M11" i="7"/>
  <c r="M23" i="7" s="1"/>
  <c r="M51" i="7" s="1"/>
  <c r="R25" i="7"/>
  <c r="BB16" i="7"/>
  <c r="Q24" i="7"/>
  <c r="O23" i="7"/>
  <c r="R24" i="7"/>
  <c r="Q17" i="7"/>
  <c r="Q11" i="7"/>
  <c r="R28" i="7"/>
  <c r="Q28" i="7"/>
  <c r="Q30" i="7"/>
  <c r="Q29" i="7" s="1"/>
  <c r="R30" i="7"/>
  <c r="O29" i="7"/>
  <c r="R29" i="7" s="1"/>
  <c r="Q26" i="7"/>
  <c r="R26" i="7"/>
  <c r="I28" i="7"/>
  <c r="BB22" i="7"/>
  <c r="BB18" i="7"/>
  <c r="BB19" i="7"/>
  <c r="I17" i="7"/>
  <c r="I23" i="7" s="1"/>
  <c r="I51" i="7" s="1"/>
  <c r="BB20" i="7"/>
  <c r="K29" i="7"/>
  <c r="N30" i="7"/>
  <c r="N24" i="7"/>
  <c r="J28" i="7"/>
  <c r="N25" i="7"/>
  <c r="C51" i="7"/>
  <c r="N28" i="7"/>
  <c r="J29" i="7"/>
  <c r="N26" i="7"/>
  <c r="K23" i="7"/>
  <c r="Z3" i="3"/>
  <c r="Z50" i="3"/>
  <c r="AA50" i="3" s="1"/>
  <c r="I45" i="1"/>
  <c r="P4" i="3" s="1"/>
  <c r="J45" i="1"/>
  <c r="R4" i="3" s="1"/>
  <c r="K45" i="1"/>
  <c r="T4" i="3" s="1"/>
  <c r="L45" i="1"/>
  <c r="V4" i="3" s="1"/>
  <c r="M45" i="1"/>
  <c r="X4" i="3" s="1"/>
  <c r="N65" i="1" l="1"/>
  <c r="P6" i="4"/>
  <c r="P5" i="4" s="1"/>
  <c r="P24" i="4" s="1"/>
  <c r="P27" i="4" s="1"/>
  <c r="AV55" i="7"/>
  <c r="AX23" i="7"/>
  <c r="AU51" i="7"/>
  <c r="BB29" i="7"/>
  <c r="AX29" i="7"/>
  <c r="AW29" i="7"/>
  <c r="C52" i="7"/>
  <c r="AM55" i="7"/>
  <c r="AL29" i="7"/>
  <c r="AI51" i="7"/>
  <c r="AG23" i="7"/>
  <c r="AC23" i="7"/>
  <c r="AC51" i="7" s="1"/>
  <c r="AC55" i="7" s="1"/>
  <c r="AE51" i="7"/>
  <c r="AG29" i="7"/>
  <c r="AA51" i="7"/>
  <c r="G51" i="7"/>
  <c r="W51" i="7"/>
  <c r="S51" i="7"/>
  <c r="O51" i="7"/>
  <c r="Q23" i="7"/>
  <c r="Q51" i="7" s="1"/>
  <c r="I55" i="7"/>
  <c r="BB28" i="7"/>
  <c r="BB30" i="7"/>
  <c r="M55" i="7"/>
  <c r="BB26" i="7"/>
  <c r="K51" i="7"/>
  <c r="K55" i="7" s="1"/>
  <c r="C55" i="7"/>
  <c r="N29" i="7"/>
  <c r="Z54" i="3"/>
  <c r="Z5" i="3"/>
  <c r="O19" i="1"/>
  <c r="G52" i="7" l="1"/>
  <c r="K52" i="7" s="1"/>
  <c r="O52" i="7" s="1"/>
  <c r="S52" i="7" s="1"/>
  <c r="W52" i="7" s="1"/>
  <c r="AA52" i="7" s="1"/>
  <c r="AE52" i="7" s="1"/>
  <c r="AI52" i="7" s="1"/>
  <c r="AM52" i="7" s="1"/>
  <c r="AQ52" i="7" s="1"/>
  <c r="AU52" i="7" s="1"/>
  <c r="BA29" i="7"/>
  <c r="AX51" i="7"/>
  <c r="AU55" i="7"/>
  <c r="AX55" i="7" s="1"/>
  <c r="AW55" i="7"/>
  <c r="AW51" i="7"/>
  <c r="Z6" i="3"/>
  <c r="AA54" i="3"/>
  <c r="AG51" i="7"/>
  <c r="AG55" i="7" s="1"/>
  <c r="AI55" i="7"/>
  <c r="AA55" i="7"/>
  <c r="AE55" i="7"/>
  <c r="G55" i="7"/>
  <c r="W55" i="7"/>
  <c r="S55" i="7"/>
  <c r="Q55" i="7"/>
  <c r="O55" i="7"/>
  <c r="C56" i="7"/>
  <c r="S76" i="6" l="1"/>
  <c r="S105" i="6" s="1"/>
  <c r="S108" i="6" s="1"/>
  <c r="T76" i="6" s="1"/>
  <c r="T105" i="6" s="1"/>
  <c r="T108" i="6" s="1"/>
  <c r="U76" i="6" s="1"/>
  <c r="U105" i="6" s="1"/>
  <c r="U108" i="6" s="1"/>
  <c r="V76" i="6" s="1"/>
  <c r="V105" i="6" s="1"/>
  <c r="V108" i="6" s="1"/>
  <c r="W76" i="6" s="1"/>
  <c r="W105" i="6" s="1"/>
  <c r="W108" i="6" s="1"/>
  <c r="X76" i="6" s="1"/>
  <c r="X105" i="6" s="1"/>
  <c r="X108" i="6" s="1"/>
  <c r="Y76" i="6" s="1"/>
  <c r="Y105" i="6" s="1"/>
  <c r="Y108" i="6" s="1"/>
  <c r="Z76" i="6" s="1"/>
  <c r="Z105" i="6" s="1"/>
  <c r="Z108" i="6" s="1"/>
  <c r="G56" i="7"/>
  <c r="K56" i="7" s="1"/>
  <c r="O56" i="7" l="1"/>
  <c r="S56" i="7" l="1"/>
  <c r="W56" i="7" s="1"/>
  <c r="AA56" i="7" s="1"/>
  <c r="D45" i="1"/>
  <c r="F4" i="3" s="1"/>
  <c r="E45" i="1"/>
  <c r="H4" i="3" s="1"/>
  <c r="F45" i="1"/>
  <c r="J4" i="3" s="1"/>
  <c r="G45" i="1"/>
  <c r="L4" i="3" s="1"/>
  <c r="H45" i="1"/>
  <c r="N4" i="3" s="1"/>
  <c r="C45" i="1"/>
  <c r="D4" i="3" s="1"/>
  <c r="M15" i="1"/>
  <c r="X16" i="3" s="1"/>
  <c r="L15" i="1"/>
  <c r="V16" i="3" s="1"/>
  <c r="K15" i="1"/>
  <c r="T16" i="3" s="1"/>
  <c r="J15" i="1"/>
  <c r="R16" i="3" s="1"/>
  <c r="AF17" i="7" s="1"/>
  <c r="AH17" i="7" s="1"/>
  <c r="I15" i="1"/>
  <c r="P16" i="3" s="1"/>
  <c r="AB17" i="7" s="1"/>
  <c r="AD17" i="7" s="1"/>
  <c r="H15" i="1"/>
  <c r="N16" i="3" s="1"/>
  <c r="G15" i="1"/>
  <c r="L16" i="3" s="1"/>
  <c r="F15" i="1"/>
  <c r="J16" i="3" s="1"/>
  <c r="E15" i="1"/>
  <c r="D15" i="1"/>
  <c r="F16" i="3" s="1"/>
  <c r="H17" i="7" s="1"/>
  <c r="J17" i="7" s="1"/>
  <c r="C15" i="1"/>
  <c r="D8" i="1"/>
  <c r="F10" i="3" s="1"/>
  <c r="E8" i="1"/>
  <c r="F8" i="1"/>
  <c r="G8" i="1"/>
  <c r="L2" i="3" s="1"/>
  <c r="H8" i="1"/>
  <c r="N2" i="3" s="1"/>
  <c r="I8" i="1"/>
  <c r="P10" i="3" s="1"/>
  <c r="J8" i="1"/>
  <c r="K8" i="1"/>
  <c r="L8" i="1"/>
  <c r="M8" i="1"/>
  <c r="X2" i="3" s="1"/>
  <c r="C8" i="1"/>
  <c r="D10" i="3" s="1"/>
  <c r="D11" i="7" s="1"/>
  <c r="V2" i="3" l="1"/>
  <c r="V11" i="3"/>
  <c r="T10" i="3"/>
  <c r="Y16" i="3"/>
  <c r="AR17" i="7"/>
  <c r="W16" i="3"/>
  <c r="AN17" i="7"/>
  <c r="F11" i="7"/>
  <c r="AJ17" i="7"/>
  <c r="R10" i="3"/>
  <c r="AB11" i="7"/>
  <c r="Q35" i="3"/>
  <c r="Q10" i="3"/>
  <c r="Q32" i="3"/>
  <c r="Q48" i="3"/>
  <c r="Q29" i="3"/>
  <c r="Q43" i="3"/>
  <c r="Q52" i="3"/>
  <c r="Q46" i="3"/>
  <c r="Q13" i="3"/>
  <c r="Q42" i="3"/>
  <c r="Q11" i="3"/>
  <c r="Q39" i="3"/>
  <c r="Q31" i="3"/>
  <c r="Q37" i="3"/>
  <c r="Q40" i="3"/>
  <c r="Q34" i="3"/>
  <c r="Q36" i="3"/>
  <c r="Q53" i="3"/>
  <c r="Q14" i="3"/>
  <c r="Q49" i="3"/>
  <c r="Q38" i="3"/>
  <c r="Q47" i="3"/>
  <c r="Q30" i="3"/>
  <c r="Q44" i="3"/>
  <c r="Q33" i="3"/>
  <c r="Q12" i="3"/>
  <c r="Q15" i="3"/>
  <c r="Q41" i="3"/>
  <c r="Q28" i="3"/>
  <c r="Q45" i="3"/>
  <c r="Q16" i="3"/>
  <c r="AE56" i="7"/>
  <c r="AI56" i="7" s="1"/>
  <c r="AM56" i="7" s="1"/>
  <c r="AQ56" i="7" s="1"/>
  <c r="AU56" i="7" s="1"/>
  <c r="O16" i="3"/>
  <c r="X21" i="7"/>
  <c r="X17" i="7"/>
  <c r="I16" i="1"/>
  <c r="I46" i="1" s="1"/>
  <c r="P2" i="3"/>
  <c r="M16" i="3"/>
  <c r="T21" i="7"/>
  <c r="T17" i="7"/>
  <c r="J10" i="3"/>
  <c r="P17" i="7"/>
  <c r="R17" i="7" s="1"/>
  <c r="H16" i="3"/>
  <c r="L17" i="7" s="1"/>
  <c r="N17" i="7" s="1"/>
  <c r="H10" i="3"/>
  <c r="S20" i="3"/>
  <c r="I20" i="3"/>
  <c r="U20" i="3"/>
  <c r="T22" i="3"/>
  <c r="U22" i="3" s="1"/>
  <c r="N22" i="3"/>
  <c r="O22" i="3" s="1"/>
  <c r="Q20" i="3"/>
  <c r="P22" i="3"/>
  <c r="Q22" i="3" s="1"/>
  <c r="K20" i="3"/>
  <c r="W20" i="3"/>
  <c r="V22" i="3"/>
  <c r="W22" i="3" s="1"/>
  <c r="L22" i="3"/>
  <c r="M22" i="3" s="1"/>
  <c r="Y20" i="3"/>
  <c r="X22" i="3"/>
  <c r="Y22" i="3" s="1"/>
  <c r="L16" i="1"/>
  <c r="L46" i="1" s="1"/>
  <c r="M16" i="1"/>
  <c r="G16" i="1"/>
  <c r="G46" i="1" s="1"/>
  <c r="G57" i="1" s="1"/>
  <c r="J16" i="1"/>
  <c r="K16" i="1"/>
  <c r="F16" i="1"/>
  <c r="F46" i="1" s="1"/>
  <c r="F57" i="1" s="1"/>
  <c r="C16" i="1"/>
  <c r="C46" i="1" s="1"/>
  <c r="H16" i="1"/>
  <c r="H46" i="1" s="1"/>
  <c r="H57" i="1" s="1"/>
  <c r="D16" i="1"/>
  <c r="D46" i="1" s="1"/>
  <c r="E16" i="1"/>
  <c r="E46" i="1" s="1"/>
  <c r="E57" i="1" s="1"/>
  <c r="I57" i="1" l="1"/>
  <c r="I63" i="1" s="1"/>
  <c r="L57" i="1"/>
  <c r="L63" i="1" s="1"/>
  <c r="C57" i="1"/>
  <c r="C63" i="1" s="1"/>
  <c r="C65" i="1" s="1"/>
  <c r="D57" i="1"/>
  <c r="D63" i="1" s="1"/>
  <c r="AN12" i="7"/>
  <c r="V23" i="3"/>
  <c r="W17" i="3"/>
  <c r="W23" i="3"/>
  <c r="W11" i="3"/>
  <c r="AJ11" i="7"/>
  <c r="AL11" i="7" s="1"/>
  <c r="U45" i="3"/>
  <c r="U41" i="3"/>
  <c r="U31" i="3"/>
  <c r="U30" i="3"/>
  <c r="U13" i="3"/>
  <c r="U53" i="3"/>
  <c r="U39" i="3"/>
  <c r="U29" i="3"/>
  <c r="U42" i="3"/>
  <c r="U46" i="3"/>
  <c r="U33" i="3"/>
  <c r="U12" i="3"/>
  <c r="U40" i="3"/>
  <c r="U14" i="3"/>
  <c r="U43" i="3"/>
  <c r="U34" i="3"/>
  <c r="U44" i="3"/>
  <c r="U49" i="3"/>
  <c r="U48" i="3"/>
  <c r="U28" i="3"/>
  <c r="U38" i="3"/>
  <c r="U37" i="3"/>
  <c r="U36" i="3"/>
  <c r="U10" i="3"/>
  <c r="U32" i="3"/>
  <c r="U11" i="3"/>
  <c r="U47" i="3"/>
  <c r="U52" i="3"/>
  <c r="U15" i="3"/>
  <c r="U35" i="3"/>
  <c r="T2" i="3"/>
  <c r="U16" i="3"/>
  <c r="I13" i="3"/>
  <c r="I15" i="3"/>
  <c r="I14" i="3"/>
  <c r="I12" i="3"/>
  <c r="K13" i="3"/>
  <c r="K14" i="3"/>
  <c r="K15" i="3"/>
  <c r="K12" i="3"/>
  <c r="AT17" i="7"/>
  <c r="AS17" i="7"/>
  <c r="AR23" i="7"/>
  <c r="AP17" i="7"/>
  <c r="AN23" i="7"/>
  <c r="AO17" i="7"/>
  <c r="R22" i="3"/>
  <c r="R50" i="3" s="1"/>
  <c r="S50" i="3" s="1"/>
  <c r="S16" i="3"/>
  <c r="J2" i="3"/>
  <c r="AL17" i="7"/>
  <c r="K16" i="3"/>
  <c r="AB23" i="7"/>
  <c r="AD11" i="7"/>
  <c r="AF11" i="7"/>
  <c r="AH11" i="7" s="1"/>
  <c r="S15" i="3"/>
  <c r="S36" i="3"/>
  <c r="S40" i="3"/>
  <c r="S53" i="3"/>
  <c r="S49" i="3"/>
  <c r="S30" i="3"/>
  <c r="S39" i="3"/>
  <c r="S28" i="3"/>
  <c r="S43" i="3"/>
  <c r="S45" i="3"/>
  <c r="S48" i="3"/>
  <c r="S32" i="3"/>
  <c r="S12" i="3"/>
  <c r="S10" i="3"/>
  <c r="S11" i="3"/>
  <c r="S37" i="3"/>
  <c r="S46" i="3"/>
  <c r="S47" i="3"/>
  <c r="S31" i="3"/>
  <c r="S34" i="3"/>
  <c r="S35" i="3"/>
  <c r="S29" i="3"/>
  <c r="S44" i="3"/>
  <c r="S13" i="3"/>
  <c r="S52" i="3"/>
  <c r="S41" i="3"/>
  <c r="S38" i="3"/>
  <c r="S42" i="3"/>
  <c r="S33" i="3"/>
  <c r="S14" i="3"/>
  <c r="R2" i="3"/>
  <c r="O20" i="3"/>
  <c r="M20" i="3"/>
  <c r="X23" i="7"/>
  <c r="Z23" i="7" s="1"/>
  <c r="Z17" i="7"/>
  <c r="X27" i="7"/>
  <c r="Z21" i="7"/>
  <c r="Y21" i="7"/>
  <c r="Y17" i="7" s="1"/>
  <c r="Y23" i="7" s="1"/>
  <c r="Y51" i="7" s="1"/>
  <c r="Y55" i="7" s="1"/>
  <c r="T23" i="7"/>
  <c r="V23" i="7" s="1"/>
  <c r="V17" i="7"/>
  <c r="T27" i="7"/>
  <c r="U21" i="7"/>
  <c r="U17" i="7" s="1"/>
  <c r="U23" i="7" s="1"/>
  <c r="U51" i="7" s="1"/>
  <c r="U55" i="7" s="1"/>
  <c r="V21" i="7"/>
  <c r="J22" i="3"/>
  <c r="J50" i="3" s="1"/>
  <c r="P11" i="7"/>
  <c r="R11" i="7" s="1"/>
  <c r="K30" i="3"/>
  <c r="K29" i="3"/>
  <c r="K47" i="3"/>
  <c r="K40" i="3"/>
  <c r="K49" i="3"/>
  <c r="K31" i="3"/>
  <c r="K33" i="3"/>
  <c r="K34" i="3"/>
  <c r="K37" i="3"/>
  <c r="K39" i="3"/>
  <c r="K41" i="3"/>
  <c r="K48" i="3"/>
  <c r="K35" i="3"/>
  <c r="K28" i="3"/>
  <c r="K10" i="3"/>
  <c r="K52" i="3"/>
  <c r="K38" i="3"/>
  <c r="K36" i="3"/>
  <c r="K53" i="3"/>
  <c r="K11" i="3"/>
  <c r="K32" i="3"/>
  <c r="K46" i="3"/>
  <c r="K43" i="3"/>
  <c r="K45" i="3"/>
  <c r="K42" i="3"/>
  <c r="K44" i="3"/>
  <c r="H22" i="3"/>
  <c r="H50" i="3" s="1"/>
  <c r="L11" i="7"/>
  <c r="I47" i="3"/>
  <c r="I28" i="3"/>
  <c r="I41" i="3"/>
  <c r="I35" i="3"/>
  <c r="I10" i="3"/>
  <c r="I52" i="3"/>
  <c r="I29" i="3"/>
  <c r="I42" i="3"/>
  <c r="I11" i="3"/>
  <c r="I49" i="3"/>
  <c r="I43" i="3"/>
  <c r="I45" i="3"/>
  <c r="I44" i="3"/>
  <c r="I36" i="3"/>
  <c r="I46" i="3"/>
  <c r="I39" i="3"/>
  <c r="I38" i="3"/>
  <c r="I30" i="3"/>
  <c r="I40" i="3"/>
  <c r="I37" i="3"/>
  <c r="I33" i="3"/>
  <c r="I32" i="3"/>
  <c r="I34" i="3"/>
  <c r="I31" i="3"/>
  <c r="I48" i="3"/>
  <c r="I53" i="3"/>
  <c r="I16" i="3"/>
  <c r="H2" i="3"/>
  <c r="N3" i="3"/>
  <c r="N50" i="3"/>
  <c r="V3" i="3"/>
  <c r="V50" i="3"/>
  <c r="W50" i="3" s="1"/>
  <c r="J26" i="3"/>
  <c r="P27" i="7" s="1"/>
  <c r="X3" i="3"/>
  <c r="X50" i="3"/>
  <c r="Y50" i="3" s="1"/>
  <c r="L26" i="3"/>
  <c r="P26" i="3"/>
  <c r="T50" i="3"/>
  <c r="U50" i="3" s="1"/>
  <c r="T3" i="3"/>
  <c r="H26" i="3"/>
  <c r="L27" i="7" s="1"/>
  <c r="X26" i="3"/>
  <c r="T26" i="3"/>
  <c r="L3" i="3"/>
  <c r="L50" i="3"/>
  <c r="N26" i="3"/>
  <c r="V26" i="3"/>
  <c r="P3" i="3"/>
  <c r="P50" i="3"/>
  <c r="Q50" i="3" s="1"/>
  <c r="R26" i="3"/>
  <c r="AF27" i="7" s="1"/>
  <c r="F63" i="1"/>
  <c r="E63" i="1"/>
  <c r="K46" i="1"/>
  <c r="K57" i="1" s="1"/>
  <c r="J46" i="1"/>
  <c r="H63" i="1"/>
  <c r="G63" i="1"/>
  <c r="M46" i="1"/>
  <c r="N6" i="4" l="1"/>
  <c r="N5" i="4" s="1"/>
  <c r="N24" i="4" s="1"/>
  <c r="N27" i="4" s="1"/>
  <c r="L65" i="1"/>
  <c r="F6" i="4"/>
  <c r="F5" i="4" s="1"/>
  <c r="F24" i="4" s="1"/>
  <c r="F27" i="4" s="1"/>
  <c r="D65" i="1"/>
  <c r="K6" i="4"/>
  <c r="K5" i="4" s="1"/>
  <c r="K24" i="4" s="1"/>
  <c r="K27" i="4" s="1"/>
  <c r="I65" i="1"/>
  <c r="J57" i="1"/>
  <c r="J63" i="1" s="1"/>
  <c r="BB11" i="7"/>
  <c r="M57" i="1"/>
  <c r="M63" i="1" s="1"/>
  <c r="AO12" i="7"/>
  <c r="AP12" i="7"/>
  <c r="AN24" i="7"/>
  <c r="AJ23" i="7"/>
  <c r="AL23" i="7" s="1"/>
  <c r="AR51" i="7"/>
  <c r="AS23" i="7"/>
  <c r="AT23" i="7"/>
  <c r="Y26" i="3"/>
  <c r="R3" i="3"/>
  <c r="AF23" i="7"/>
  <c r="AH23" i="7" s="1"/>
  <c r="S22" i="3"/>
  <c r="AO23" i="7"/>
  <c r="AN51" i="7"/>
  <c r="AP23" i="7"/>
  <c r="W26" i="3"/>
  <c r="AG27" i="7"/>
  <c r="AH27" i="7"/>
  <c r="U26" i="3"/>
  <c r="AB51" i="7"/>
  <c r="AD23" i="7"/>
  <c r="S26" i="3"/>
  <c r="Q26" i="3"/>
  <c r="Z27" i="7"/>
  <c r="Y27" i="7"/>
  <c r="O50" i="3"/>
  <c r="X51" i="7"/>
  <c r="Z51" i="7" s="1"/>
  <c r="O26" i="3"/>
  <c r="M50" i="3"/>
  <c r="T51" i="7"/>
  <c r="V51" i="7" s="1"/>
  <c r="V27" i="7"/>
  <c r="U27" i="7"/>
  <c r="M26" i="3"/>
  <c r="P23" i="7"/>
  <c r="R23" i="7" s="1"/>
  <c r="K22" i="3"/>
  <c r="H3" i="3"/>
  <c r="J3" i="3"/>
  <c r="R27" i="7"/>
  <c r="Q27" i="7"/>
  <c r="K50" i="3"/>
  <c r="P51" i="7"/>
  <c r="R51" i="7" s="1"/>
  <c r="K26" i="3"/>
  <c r="I50" i="3"/>
  <c r="L51" i="7"/>
  <c r="N51" i="7" s="1"/>
  <c r="N11" i="7"/>
  <c r="M27" i="7"/>
  <c r="N27" i="7"/>
  <c r="I22" i="3"/>
  <c r="L23" i="7"/>
  <c r="N23" i="7" s="1"/>
  <c r="I26" i="3"/>
  <c r="H65" i="1"/>
  <c r="J6" i="4"/>
  <c r="J5" i="4" s="1"/>
  <c r="J24" i="4" s="1"/>
  <c r="J27" i="4" s="1"/>
  <c r="T54" i="3"/>
  <c r="U54" i="3" s="1"/>
  <c r="T5" i="3"/>
  <c r="P5" i="3"/>
  <c r="P54" i="3"/>
  <c r="Q54" i="3" s="1"/>
  <c r="E65" i="1"/>
  <c r="G6" i="4"/>
  <c r="G5" i="4" s="1"/>
  <c r="G24" i="4" s="1"/>
  <c r="G27" i="4" s="1"/>
  <c r="N54" i="3"/>
  <c r="N5" i="3"/>
  <c r="X5" i="3"/>
  <c r="X54" i="3"/>
  <c r="Y54" i="3" s="1"/>
  <c r="L54" i="3"/>
  <c r="L5" i="3"/>
  <c r="F65" i="1"/>
  <c r="H6" i="4"/>
  <c r="H5" i="4" s="1"/>
  <c r="H24" i="4" s="1"/>
  <c r="H27" i="4" s="1"/>
  <c r="H5" i="3"/>
  <c r="H54" i="3"/>
  <c r="R54" i="3"/>
  <c r="S54" i="3" s="1"/>
  <c r="R5" i="3"/>
  <c r="V54" i="3"/>
  <c r="W54" i="3" s="1"/>
  <c r="V5" i="3"/>
  <c r="G65" i="1"/>
  <c r="I6" i="4"/>
  <c r="I5" i="4" s="1"/>
  <c r="I24" i="4" s="1"/>
  <c r="I27" i="4" s="1"/>
  <c r="J5" i="3"/>
  <c r="J54" i="3"/>
  <c r="K63" i="1"/>
  <c r="O5" i="1"/>
  <c r="O7" i="1"/>
  <c r="O8" i="1"/>
  <c r="O9" i="1"/>
  <c r="O10" i="1"/>
  <c r="O11" i="1"/>
  <c r="O12" i="1"/>
  <c r="O13" i="1"/>
  <c r="O14" i="1"/>
  <c r="O15" i="1"/>
  <c r="O16" i="1"/>
  <c r="O17" i="1"/>
  <c r="O18" i="1"/>
  <c r="O23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7" i="1"/>
  <c r="O48" i="1"/>
  <c r="O49" i="1"/>
  <c r="O50" i="1"/>
  <c r="O51" i="1"/>
  <c r="O52" i="1"/>
  <c r="O53" i="1"/>
  <c r="O54" i="1"/>
  <c r="O55" i="1"/>
  <c r="O56" i="1"/>
  <c r="O58" i="1"/>
  <c r="O59" i="1"/>
  <c r="O60" i="1"/>
  <c r="O61" i="1"/>
  <c r="O62" i="1"/>
  <c r="O64" i="1"/>
  <c r="O3" i="1"/>
  <c r="L1" i="1"/>
  <c r="M1" i="1"/>
  <c r="AJ51" i="7" l="1"/>
  <c r="AJ55" i="7" s="1"/>
  <c r="M65" i="1"/>
  <c r="O6" i="4"/>
  <c r="O5" i="4" s="1"/>
  <c r="O24" i="4" s="1"/>
  <c r="O27" i="4" s="1"/>
  <c r="J65" i="1"/>
  <c r="L6" i="4"/>
  <c r="L5" i="4" s="1"/>
  <c r="L24" i="4" s="1"/>
  <c r="L27" i="4" s="1"/>
  <c r="BA12" i="7"/>
  <c r="BB12" i="7"/>
  <c r="X9" i="3"/>
  <c r="AQ9" i="7" s="1"/>
  <c r="Q10" i="6"/>
  <c r="Q75" i="6" s="1"/>
  <c r="AP24" i="7"/>
  <c r="AO24" i="7"/>
  <c r="V9" i="3"/>
  <c r="AM9" i="7" s="1"/>
  <c r="P10" i="6"/>
  <c r="P75" i="6" s="1"/>
  <c r="AF51" i="7"/>
  <c r="AF55" i="7" s="1"/>
  <c r="AH55" i="7" s="1"/>
  <c r="AS51" i="7"/>
  <c r="AR55" i="7"/>
  <c r="AT51" i="7"/>
  <c r="BA11" i="7"/>
  <c r="AN55" i="7"/>
  <c r="AO51" i="7"/>
  <c r="N30" i="4" s="1"/>
  <c r="AP51" i="7"/>
  <c r="AB55" i="7"/>
  <c r="AD51" i="7"/>
  <c r="O54" i="3"/>
  <c r="X55" i="7"/>
  <c r="Z55" i="7" s="1"/>
  <c r="M54" i="3"/>
  <c r="T55" i="7"/>
  <c r="V55" i="7" s="1"/>
  <c r="K54" i="3"/>
  <c r="P55" i="7"/>
  <c r="R55" i="7" s="1"/>
  <c r="I54" i="3"/>
  <c r="L55" i="7"/>
  <c r="N55" i="7" s="1"/>
  <c r="H6" i="3"/>
  <c r="X6" i="3"/>
  <c r="K65" i="1"/>
  <c r="M6" i="4"/>
  <c r="M5" i="4" s="1"/>
  <c r="M24" i="4" s="1"/>
  <c r="M27" i="4" s="1"/>
  <c r="J6" i="3"/>
  <c r="V6" i="3"/>
  <c r="T6" i="3"/>
  <c r="P6" i="3"/>
  <c r="R6" i="3"/>
  <c r="L6" i="3"/>
  <c r="N6" i="3"/>
  <c r="O45" i="1"/>
  <c r="O57" i="1"/>
  <c r="O46" i="1"/>
  <c r="AL51" i="7" l="1"/>
  <c r="AH51" i="7"/>
  <c r="AS55" i="7"/>
  <c r="O30" i="4" s="1"/>
  <c r="AT55" i="7"/>
  <c r="AO55" i="7"/>
  <c r="AP55" i="7"/>
  <c r="AL55" i="7"/>
  <c r="AD55" i="7"/>
  <c r="O63" i="1"/>
  <c r="O65" i="1"/>
  <c r="D16" i="3"/>
  <c r="D17" i="7" s="1"/>
  <c r="O1" i="5"/>
  <c r="P4" i="4" s="1"/>
  <c r="N1" i="5"/>
  <c r="O4" i="4" s="1"/>
  <c r="M1" i="5"/>
  <c r="N4" i="4" s="1"/>
  <c r="D1" i="1"/>
  <c r="H10" i="6" s="1"/>
  <c r="H75" i="6" s="1"/>
  <c r="E1" i="1"/>
  <c r="F1" i="1"/>
  <c r="G1" i="1"/>
  <c r="H1" i="1"/>
  <c r="I1" i="1"/>
  <c r="J1" i="1"/>
  <c r="K1" i="1"/>
  <c r="N1" i="1"/>
  <c r="C1" i="1"/>
  <c r="G10" i="6" s="1"/>
  <c r="G75" i="6" s="1"/>
  <c r="L1" i="5"/>
  <c r="M4" i="4" s="1"/>
  <c r="K1" i="5"/>
  <c r="L4" i="4" s="1"/>
  <c r="J1" i="5"/>
  <c r="K4" i="4" s="1"/>
  <c r="I1" i="5"/>
  <c r="J4" i="4" s="1"/>
  <c r="H1" i="5"/>
  <c r="I4" i="4" s="1"/>
  <c r="G1" i="5"/>
  <c r="H4" i="4" s="1"/>
  <c r="F1" i="5"/>
  <c r="G4" i="4" s="1"/>
  <c r="E2" i="4"/>
  <c r="E8" i="4"/>
  <c r="E15" i="4" s="1"/>
  <c r="E6" i="4"/>
  <c r="B4" i="4"/>
  <c r="E18" i="3"/>
  <c r="F24" i="3"/>
  <c r="J9" i="3" l="1"/>
  <c r="J10" i="6"/>
  <c r="J75" i="6" s="1"/>
  <c r="H9" i="3"/>
  <c r="K9" i="7" s="1"/>
  <c r="I10" i="6"/>
  <c r="I75" i="6" s="1"/>
  <c r="Z9" i="3"/>
  <c r="AU9" i="7" s="1"/>
  <c r="R10" i="6"/>
  <c r="R75" i="6" s="1"/>
  <c r="R9" i="3"/>
  <c r="N10" i="6"/>
  <c r="N75" i="6" s="1"/>
  <c r="T9" i="3"/>
  <c r="O10" i="6"/>
  <c r="O75" i="6" s="1"/>
  <c r="P9" i="3"/>
  <c r="M10" i="6"/>
  <c r="M75" i="6" s="1"/>
  <c r="N9" i="3"/>
  <c r="W9" i="7" s="1"/>
  <c r="L10" i="6"/>
  <c r="L75" i="6" s="1"/>
  <c r="L9" i="3"/>
  <c r="S9" i="7" s="1"/>
  <c r="K10" i="6"/>
  <c r="K75" i="6" s="1"/>
  <c r="D9" i="3"/>
  <c r="C9" i="7" s="1"/>
  <c r="E4" i="4"/>
  <c r="F9" i="3"/>
  <c r="G9" i="7" s="1"/>
  <c r="F4" i="4"/>
  <c r="AE9" i="7"/>
  <c r="AA9" i="7"/>
  <c r="AI9" i="7"/>
  <c r="BA17" i="7"/>
  <c r="O9" i="7"/>
  <c r="I25" i="7"/>
  <c r="J25" i="7"/>
  <c r="BB17" i="7"/>
  <c r="D23" i="7"/>
  <c r="F17" i="7"/>
  <c r="G24" i="3"/>
  <c r="D21" i="7"/>
  <c r="E17" i="3"/>
  <c r="E26" i="4"/>
  <c r="E29" i="4" s="1"/>
  <c r="G20" i="3"/>
  <c r="E22" i="4"/>
  <c r="F23" i="3"/>
  <c r="D25" i="7"/>
  <c r="D24" i="7"/>
  <c r="BA24" i="7" l="1"/>
  <c r="BA21" i="7"/>
  <c r="BA25" i="7"/>
  <c r="E24" i="7"/>
  <c r="F24" i="7"/>
  <c r="D51" i="7"/>
  <c r="F23" i="7"/>
  <c r="F25" i="7"/>
  <c r="E25" i="7"/>
  <c r="F21" i="7"/>
  <c r="E21" i="7"/>
  <c r="E17" i="7" s="1"/>
  <c r="E23" i="7" s="1"/>
  <c r="E51" i="7" s="1"/>
  <c r="J24" i="7"/>
  <c r="I24" i="7"/>
  <c r="E24" i="3"/>
  <c r="E23" i="3"/>
  <c r="G23" i="3"/>
  <c r="E18" i="4"/>
  <c r="E14" i="4"/>
  <c r="E55" i="7" l="1"/>
  <c r="E56" i="7" s="1"/>
  <c r="E52" i="7"/>
  <c r="BB21" i="7"/>
  <c r="D55" i="7"/>
  <c r="D52" i="7"/>
  <c r="F51" i="7"/>
  <c r="BB25" i="7"/>
  <c r="BB24" i="7"/>
  <c r="E5" i="4"/>
  <c r="E24" i="4" l="1"/>
  <c r="E27" i="4" s="1"/>
  <c r="F52" i="7"/>
  <c r="D56" i="7"/>
  <c r="F56" i="7" s="1"/>
  <c r="F55" i="7"/>
  <c r="D27" i="7"/>
  <c r="E20" i="3"/>
  <c r="E27" i="7" l="1"/>
  <c r="F27" i="7"/>
  <c r="E26" i="3"/>
  <c r="D2" i="3"/>
  <c r="E52" i="3"/>
  <c r="E43" i="3"/>
  <c r="E30" i="3"/>
  <c r="E37" i="3"/>
  <c r="E28" i="3"/>
  <c r="E35" i="3"/>
  <c r="E36" i="3"/>
  <c r="E46" i="3"/>
  <c r="E13" i="3"/>
  <c r="E45" i="3"/>
  <c r="E10" i="3"/>
  <c r="E14" i="3"/>
  <c r="E12" i="3"/>
  <c r="E41" i="3"/>
  <c r="E34" i="3"/>
  <c r="E29" i="3"/>
  <c r="E40" i="3"/>
  <c r="D22" i="3"/>
  <c r="E48" i="3"/>
  <c r="E38" i="3"/>
  <c r="E16" i="3"/>
  <c r="E11" i="3"/>
  <c r="E32" i="3"/>
  <c r="E47" i="3"/>
  <c r="E15" i="3"/>
  <c r="E44" i="3"/>
  <c r="E49" i="3"/>
  <c r="E42" i="3"/>
  <c r="E39" i="3"/>
  <c r="E31" i="3"/>
  <c r="E53" i="3"/>
  <c r="E33" i="3"/>
  <c r="D3" i="3" l="1"/>
  <c r="D50" i="3"/>
  <c r="E22" i="3"/>
  <c r="D5" i="3" l="1"/>
  <c r="E50" i="3"/>
  <c r="D51" i="3"/>
  <c r="D54" i="3"/>
  <c r="F26" i="3"/>
  <c r="BA27" i="7" l="1"/>
  <c r="I27" i="7"/>
  <c r="J27" i="7"/>
  <c r="D6" i="3"/>
  <c r="G26" i="3"/>
  <c r="F2" i="3"/>
  <c r="G44" i="3"/>
  <c r="G38" i="3"/>
  <c r="G32" i="3"/>
  <c r="G15" i="3"/>
  <c r="G46" i="3"/>
  <c r="G49" i="3"/>
  <c r="G43" i="3"/>
  <c r="G37" i="3"/>
  <c r="G31" i="3"/>
  <c r="G13" i="3"/>
  <c r="G34" i="3"/>
  <c r="G10" i="3"/>
  <c r="G39" i="3"/>
  <c r="G33" i="3"/>
  <c r="G48" i="3"/>
  <c r="G42" i="3"/>
  <c r="G36" i="3"/>
  <c r="G30" i="3"/>
  <c r="G12" i="3"/>
  <c r="G53" i="3"/>
  <c r="G28" i="3"/>
  <c r="G52" i="3"/>
  <c r="G14" i="3"/>
  <c r="G47" i="3"/>
  <c r="G41" i="3"/>
  <c r="G35" i="3"/>
  <c r="G29" i="3"/>
  <c r="G11" i="3"/>
  <c r="G40" i="3"/>
  <c r="G16" i="3"/>
  <c r="G45" i="3"/>
  <c r="E54" i="3"/>
  <c r="D55" i="3"/>
  <c r="F22" i="3"/>
  <c r="H23" i="7" s="1"/>
  <c r="BA23" i="7" l="1"/>
  <c r="BB27" i="7"/>
  <c r="J23" i="7"/>
  <c r="F3" i="3"/>
  <c r="G22" i="3"/>
  <c r="F50" i="3"/>
  <c r="H51" i="7" l="1"/>
  <c r="F51" i="3"/>
  <c r="H51" i="3" s="1"/>
  <c r="J51" i="3" s="1"/>
  <c r="L51" i="3" s="1"/>
  <c r="N51" i="3" s="1"/>
  <c r="P51" i="3" s="1"/>
  <c r="R51" i="3" s="1"/>
  <c r="T51" i="3" s="1"/>
  <c r="V51" i="3" s="1"/>
  <c r="X51" i="3" s="1"/>
  <c r="Z51" i="3" s="1"/>
  <c r="BB23" i="7"/>
  <c r="F5" i="3"/>
  <c r="G50" i="3"/>
  <c r="F54" i="3"/>
  <c r="H55" i="7" s="1"/>
  <c r="BA55" i="7" l="1"/>
  <c r="J51" i="7"/>
  <c r="H52" i="7"/>
  <c r="J55" i="7"/>
  <c r="H56" i="7"/>
  <c r="G54" i="3"/>
  <c r="F55" i="3"/>
  <c r="H55" i="3" s="1"/>
  <c r="F6" i="3"/>
  <c r="I52" i="7" l="1"/>
  <c r="L56" i="7"/>
  <c r="M56" i="7" s="1"/>
  <c r="I56" i="7"/>
  <c r="BA51" i="7"/>
  <c r="L52" i="7"/>
  <c r="J52" i="7"/>
  <c r="BB51" i="7"/>
  <c r="BB55" i="7"/>
  <c r="J55" i="3"/>
  <c r="J56" i="7"/>
  <c r="P52" i="7" l="1"/>
  <c r="R52" i="7" s="1"/>
  <c r="M52" i="7"/>
  <c r="N52" i="7"/>
  <c r="P56" i="7"/>
  <c r="R56" i="7" s="1"/>
  <c r="L55" i="3"/>
  <c r="N55" i="3" s="1"/>
  <c r="P55" i="3" s="1"/>
  <c r="R55" i="3" s="1"/>
  <c r="T55" i="3" s="1"/>
  <c r="V55" i="3" s="1"/>
  <c r="X55" i="3" s="1"/>
  <c r="Z55" i="3" s="1"/>
  <c r="BB56" i="7"/>
  <c r="N56" i="7"/>
  <c r="T52" i="7" l="1"/>
  <c r="Q52" i="7"/>
  <c r="Q56" i="7"/>
  <c r="T56" i="7"/>
  <c r="X56" i="7" l="1"/>
  <c r="Z56" i="7" s="1"/>
  <c r="U56" i="7"/>
  <c r="X52" i="7"/>
  <c r="U52" i="7"/>
  <c r="V52" i="7"/>
  <c r="V56" i="7"/>
  <c r="AB52" i="7" l="1"/>
  <c r="Y52" i="7"/>
  <c r="Z52" i="7"/>
  <c r="AB56" i="7"/>
  <c r="Y56" i="7"/>
  <c r="AC56" i="7" l="1"/>
  <c r="AD56" i="7"/>
  <c r="AF56" i="7"/>
  <c r="AF52" i="7"/>
  <c r="AC52" i="7"/>
  <c r="AD52" i="7"/>
  <c r="AJ52" i="7" l="1"/>
  <c r="AG52" i="7"/>
  <c r="AH52" i="7"/>
  <c r="AJ56" i="7"/>
  <c r="AG56" i="7"/>
  <c r="AH56" i="7"/>
  <c r="AN56" i="7" l="1"/>
  <c r="AK56" i="7"/>
  <c r="AL56" i="7"/>
  <c r="AN52" i="7"/>
  <c r="AK52" i="7"/>
  <c r="AL52" i="7"/>
  <c r="AR52" i="7" l="1"/>
  <c r="AO52" i="7"/>
  <c r="AP52" i="7"/>
  <c r="AR56" i="7"/>
  <c r="AO56" i="7"/>
  <c r="AP56" i="7"/>
  <c r="AV56" i="7" l="1"/>
  <c r="AS56" i="7"/>
  <c r="AT56" i="7"/>
  <c r="AV52" i="7"/>
  <c r="AS52" i="7"/>
  <c r="AT52" i="7"/>
  <c r="AX52" i="7" l="1"/>
  <c r="AW52" i="7"/>
  <c r="AW56" i="7"/>
  <c r="AX56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ユーザー</author>
  </authors>
  <commentList>
    <comment ref="N4" authorId="0" shapeId="0" xr:uid="{00000000-0006-0000-0300-000001000000}">
      <text>
        <r>
          <rPr>
            <b/>
            <sz val="9"/>
            <color indexed="81"/>
            <rFont val="MS P ゴシック"/>
            <family val="3"/>
            <charset val="128"/>
          </rPr>
          <t>Windows ユーザー:</t>
        </r>
        <r>
          <rPr>
            <sz val="9"/>
            <color indexed="81"/>
            <rFont val="MS P ゴシック"/>
            <family val="3"/>
            <charset val="128"/>
          </rPr>
          <t xml:space="preserve">
BOKASHI +100千円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池田雅彦</author>
  </authors>
  <commentList>
    <comment ref="S19" authorId="0" shapeId="0" xr:uid="{00000000-0006-0000-0400-000001000000}">
      <text>
        <r>
          <rPr>
            <b/>
            <sz val="9"/>
            <color indexed="81"/>
            <rFont val="MS P ゴシック"/>
            <family val="3"/>
            <charset val="128"/>
          </rPr>
          <t>池田雅彦:</t>
        </r>
        <r>
          <rPr>
            <sz val="9"/>
            <color indexed="81"/>
            <rFont val="MS P ゴシック"/>
            <family val="3"/>
            <charset val="128"/>
          </rPr>
          <t xml:space="preserve">
設定40%</t>
        </r>
      </text>
    </comment>
  </commentList>
</comments>
</file>

<file path=xl/sharedStrings.xml><?xml version="1.0" encoding="utf-8"?>
<sst xmlns="http://schemas.openxmlformats.org/spreadsheetml/2006/main" count="561" uniqueCount="386">
  <si>
    <t>勘定科目</t>
  </si>
  <si>
    <t>7月</t>
  </si>
  <si>
    <t>8月</t>
  </si>
  <si>
    <t>売上高</t>
  </si>
  <si>
    <t>売上高合計</t>
  </si>
  <si>
    <t>売上原価</t>
  </si>
  <si>
    <t>売上総利益</t>
  </si>
  <si>
    <t>販売費及び一般管理費</t>
  </si>
  <si>
    <t>役員報酬</t>
  </si>
  <si>
    <t>雑給</t>
  </si>
  <si>
    <t>法定福利費</t>
  </si>
  <si>
    <t>福利厚生費</t>
  </si>
  <si>
    <t>業務委託費</t>
  </si>
  <si>
    <t>広告宣伝費</t>
  </si>
  <si>
    <t>接待交際費</t>
  </si>
  <si>
    <t>旅費交通費</t>
  </si>
  <si>
    <t>通信費</t>
  </si>
  <si>
    <t>水道光熱費</t>
  </si>
  <si>
    <t>修繕費</t>
  </si>
  <si>
    <t>消耗品費</t>
  </si>
  <si>
    <t>リース料</t>
  </si>
  <si>
    <t>地代家賃</t>
  </si>
  <si>
    <t>賃借料</t>
  </si>
  <si>
    <t>保険料</t>
  </si>
  <si>
    <t>租税公課</t>
  </si>
  <si>
    <t>支払手数料</t>
  </si>
  <si>
    <t>新聞図書費</t>
  </si>
  <si>
    <t>減価償却費</t>
  </si>
  <si>
    <t>雑費</t>
  </si>
  <si>
    <t>管理諸費</t>
  </si>
  <si>
    <t>販売費及び一般管理費合計</t>
  </si>
  <si>
    <t>営業利益</t>
  </si>
  <si>
    <t>営業外収益</t>
  </si>
  <si>
    <t>受取利息</t>
  </si>
  <si>
    <t>雑収入</t>
  </si>
  <si>
    <t>営業外収益合計</t>
  </si>
  <si>
    <t>営業外費用</t>
  </si>
  <si>
    <t>支払利息</t>
  </si>
  <si>
    <t>雑損失</t>
  </si>
  <si>
    <t>補助事業費</t>
  </si>
  <si>
    <t>営業外費用合計</t>
  </si>
  <si>
    <t>経常利益</t>
  </si>
  <si>
    <t>特別利益</t>
  </si>
  <si>
    <t>特別利益合計</t>
  </si>
  <si>
    <t>特別損失</t>
  </si>
  <si>
    <t>特別損失合計</t>
  </si>
  <si>
    <t>当期純損益</t>
  </si>
  <si>
    <t>税引前当期純利益</t>
  </si>
  <si>
    <t>当期純利益</t>
  </si>
  <si>
    <t>資産の部</t>
  </si>
  <si>
    <t>流動資産</t>
  </si>
  <si>
    <t>現金及び預金</t>
  </si>
  <si>
    <t>現金</t>
  </si>
  <si>
    <t>普通預金</t>
  </si>
  <si>
    <t>現金及び預金合計</t>
  </si>
  <si>
    <t>売上債権</t>
  </si>
  <si>
    <t>売掛金</t>
  </si>
  <si>
    <t>売上債権合計</t>
  </si>
  <si>
    <t>有価証券</t>
  </si>
  <si>
    <t>有価証券合計</t>
  </si>
  <si>
    <t>棚卸資産</t>
  </si>
  <si>
    <t>商品</t>
  </si>
  <si>
    <t>棚卸資産合計</t>
  </si>
  <si>
    <t>その他流動資産</t>
  </si>
  <si>
    <t>立替金</t>
  </si>
  <si>
    <t>仮払消費税</t>
  </si>
  <si>
    <t>その他流動資産合計</t>
  </si>
  <si>
    <t>流動資産合計</t>
  </si>
  <si>
    <t>固定資産</t>
  </si>
  <si>
    <t>有形固定資産</t>
  </si>
  <si>
    <t>建物</t>
  </si>
  <si>
    <t>工具器具備品</t>
  </si>
  <si>
    <t>一括償却資産</t>
  </si>
  <si>
    <t>減価償却累計額</t>
  </si>
  <si>
    <t>有形固定資産合計</t>
  </si>
  <si>
    <t>無形固定資産</t>
  </si>
  <si>
    <t>無形固定資産合計</t>
  </si>
  <si>
    <t>投資その他の資産</t>
  </si>
  <si>
    <t>敷金</t>
  </si>
  <si>
    <t>投資その他の資産合計</t>
  </si>
  <si>
    <t>固定資産合計</t>
  </si>
  <si>
    <t>繰延資産</t>
  </si>
  <si>
    <t>繰延資産合計</t>
  </si>
  <si>
    <t>諸口</t>
  </si>
  <si>
    <t>諸口合計</t>
  </si>
  <si>
    <t>資産の部合計</t>
  </si>
  <si>
    <t>負債の部</t>
  </si>
  <si>
    <t>流動負債</t>
  </si>
  <si>
    <t>仕入債務</t>
  </si>
  <si>
    <t>買掛金</t>
  </si>
  <si>
    <t>仕入債務合計</t>
  </si>
  <si>
    <t>その他流動負債</t>
  </si>
  <si>
    <t>未払金</t>
  </si>
  <si>
    <t>未払費用</t>
  </si>
  <si>
    <t>預り金</t>
  </si>
  <si>
    <t>仮受金</t>
  </si>
  <si>
    <t>未払法人税等</t>
  </si>
  <si>
    <t>仮受消費税</t>
  </si>
  <si>
    <t>一年以内返済長期借入金</t>
  </si>
  <si>
    <t>その他流動負債合計</t>
  </si>
  <si>
    <t>流動負債合計</t>
  </si>
  <si>
    <t>固定負債</t>
  </si>
  <si>
    <t>長期借入金</t>
  </si>
  <si>
    <t>固定負債合計</t>
  </si>
  <si>
    <t>負債の部合計</t>
  </si>
  <si>
    <t>純資産の部</t>
  </si>
  <si>
    <t>株主資本</t>
  </si>
  <si>
    <t>資本金</t>
  </si>
  <si>
    <t>資本金合計</t>
  </si>
  <si>
    <t>新株式申込証拠金</t>
  </si>
  <si>
    <t>新株式申込証拠金合計</t>
  </si>
  <si>
    <t>資本剰余金</t>
  </si>
  <si>
    <t>資本剰余金合計</t>
  </si>
  <si>
    <t>利益剰余金</t>
  </si>
  <si>
    <t>繰越利益剰余金</t>
  </si>
  <si>
    <t>（うち当期純利益）</t>
  </si>
  <si>
    <t>利益剰余金合計</t>
  </si>
  <si>
    <t>自己株式</t>
  </si>
  <si>
    <t>自己株式合計</t>
  </si>
  <si>
    <t>自己株式申込証拠金</t>
  </si>
  <si>
    <t>自己株式申込証拠金合計</t>
  </si>
  <si>
    <t>株主資本合計</t>
  </si>
  <si>
    <t>評価・換算差額等</t>
  </si>
  <si>
    <t>評価・換算差額等合計</t>
  </si>
  <si>
    <t>新株予約権</t>
  </si>
  <si>
    <t>新株予約権合計</t>
  </si>
  <si>
    <t>純資産の部合計</t>
  </si>
  <si>
    <t>負債・純資産の部合計</t>
  </si>
  <si>
    <t>売上高</t>
    <rPh sb="0" eb="3">
      <t>ウリアゲダカ</t>
    </rPh>
    <phoneticPr fontId="1"/>
  </si>
  <si>
    <t>その他</t>
    <rPh sb="2" eb="3">
      <t>タ</t>
    </rPh>
    <phoneticPr fontId="1"/>
  </si>
  <si>
    <t>売上原価</t>
    <rPh sb="0" eb="4">
      <t>ウリアゲゲンカ</t>
    </rPh>
    <phoneticPr fontId="1"/>
  </si>
  <si>
    <t>粗利益</t>
    <rPh sb="0" eb="3">
      <t>アラリエキ</t>
    </rPh>
    <phoneticPr fontId="1"/>
  </si>
  <si>
    <t>販売管理費</t>
    <rPh sb="0" eb="5">
      <t>ハンバイカンリヒ</t>
    </rPh>
    <phoneticPr fontId="1"/>
  </si>
  <si>
    <t>人件費</t>
    <rPh sb="0" eb="3">
      <t>ジンケンヒ</t>
    </rPh>
    <phoneticPr fontId="1"/>
  </si>
  <si>
    <t>減価償却費</t>
    <rPh sb="0" eb="5">
      <t>ゲンカショウキャクヒ</t>
    </rPh>
    <phoneticPr fontId="1"/>
  </si>
  <si>
    <t>営業外収益</t>
    <rPh sb="0" eb="5">
      <t>エイギョウガイシュウエキ</t>
    </rPh>
    <phoneticPr fontId="1"/>
  </si>
  <si>
    <t>営業外費用</t>
    <rPh sb="0" eb="5">
      <t>エイギョウガイヒヨウ</t>
    </rPh>
    <phoneticPr fontId="1"/>
  </si>
  <si>
    <t>経常損益</t>
    <rPh sb="0" eb="4">
      <t>ケイジョウソンエキ</t>
    </rPh>
    <phoneticPr fontId="1"/>
  </si>
  <si>
    <t>営業損益</t>
    <rPh sb="0" eb="2">
      <t>エイギョウ</t>
    </rPh>
    <rPh sb="2" eb="4">
      <t>ソンエキ</t>
    </rPh>
    <phoneticPr fontId="1"/>
  </si>
  <si>
    <t>年度</t>
    <rPh sb="0" eb="2">
      <t>ネンド</t>
    </rPh>
    <phoneticPr fontId="1"/>
  </si>
  <si>
    <t>項目</t>
    <rPh sb="0" eb="2">
      <t>コウモク</t>
    </rPh>
    <phoneticPr fontId="1"/>
  </si>
  <si>
    <t>単位：千円</t>
    <rPh sb="0" eb="2">
      <t>タンイ</t>
    </rPh>
    <rPh sb="3" eb="5">
      <t>センエン</t>
    </rPh>
    <phoneticPr fontId="1"/>
  </si>
  <si>
    <t>概算値</t>
    <rPh sb="0" eb="3">
      <t>ガイサンチ</t>
    </rPh>
    <phoneticPr fontId="1"/>
  </si>
  <si>
    <t>異常値</t>
    <rPh sb="0" eb="3">
      <t>イジョウチ</t>
    </rPh>
    <phoneticPr fontId="1"/>
  </si>
  <si>
    <t>特記事項</t>
    <rPh sb="0" eb="4">
      <t>トッキジコウ</t>
    </rPh>
    <phoneticPr fontId="1"/>
  </si>
  <si>
    <t>注意事項</t>
    <rPh sb="0" eb="4">
      <t>チュウイジコウ</t>
    </rPh>
    <phoneticPr fontId="1"/>
  </si>
  <si>
    <t>期首残</t>
    <rPh sb="0" eb="3">
      <t>キシュザン</t>
    </rPh>
    <phoneticPr fontId="1"/>
  </si>
  <si>
    <t>■月次報告PL</t>
    <rPh sb="1" eb="5">
      <t>ゲツジホウコク</t>
    </rPh>
    <phoneticPr fontId="1"/>
  </si>
  <si>
    <t>■月次報告CF</t>
    <rPh sb="1" eb="3">
      <t>ゲツジ</t>
    </rPh>
    <rPh sb="3" eb="5">
      <t>ホウコク</t>
    </rPh>
    <phoneticPr fontId="1"/>
  </si>
  <si>
    <t>１．営業活動CF</t>
    <rPh sb="2" eb="4">
      <t>エイギョウ</t>
    </rPh>
    <rPh sb="4" eb="6">
      <t>カツドウ</t>
    </rPh>
    <phoneticPr fontId="1"/>
  </si>
  <si>
    <t>税引前利益</t>
    <rPh sb="0" eb="5">
      <t>ゼイビキマエリエキ</t>
    </rPh>
    <phoneticPr fontId="1"/>
  </si>
  <si>
    <t>決算関係納税</t>
    <rPh sb="0" eb="6">
      <t>ケッサンカンケイノウゼイ</t>
    </rPh>
    <phoneticPr fontId="1"/>
  </si>
  <si>
    <t>売掛債権</t>
    <rPh sb="0" eb="4">
      <t>ウリカケサイケン</t>
    </rPh>
    <phoneticPr fontId="1"/>
  </si>
  <si>
    <t>棚卸資産</t>
    <rPh sb="0" eb="4">
      <t>タナオロシシサン</t>
    </rPh>
    <phoneticPr fontId="1"/>
  </si>
  <si>
    <t>その他流動資産</t>
    <rPh sb="2" eb="3">
      <t>タ</t>
    </rPh>
    <rPh sb="3" eb="7">
      <t>リュウドウシサン</t>
    </rPh>
    <phoneticPr fontId="1"/>
  </si>
  <si>
    <t>買掛未払債務</t>
    <rPh sb="0" eb="2">
      <t>カイカケ</t>
    </rPh>
    <rPh sb="2" eb="6">
      <t>ミハライサイム</t>
    </rPh>
    <phoneticPr fontId="1"/>
  </si>
  <si>
    <t>その他流動負債</t>
    <rPh sb="2" eb="3">
      <t>タ</t>
    </rPh>
    <rPh sb="3" eb="7">
      <t>リュウドウフサイ</t>
    </rPh>
    <phoneticPr fontId="1"/>
  </si>
  <si>
    <t>＋</t>
    <phoneticPr fontId="1"/>
  </si>
  <si>
    <t>－</t>
  </si>
  <si>
    <t>－</t>
    <phoneticPr fontId="1"/>
  </si>
  <si>
    <t>２．投資活動CF</t>
    <rPh sb="2" eb="6">
      <t>トウシカツドウ</t>
    </rPh>
    <phoneticPr fontId="1"/>
  </si>
  <si>
    <t>固定資産への投資</t>
    <rPh sb="0" eb="4">
      <t>コテイシサン</t>
    </rPh>
    <rPh sb="6" eb="8">
      <t>トウシ</t>
    </rPh>
    <phoneticPr fontId="1"/>
  </si>
  <si>
    <t>投資勘定への支出</t>
    <rPh sb="0" eb="4">
      <t>トウシカンジョウ</t>
    </rPh>
    <rPh sb="6" eb="8">
      <t>シシュツ</t>
    </rPh>
    <phoneticPr fontId="1"/>
  </si>
  <si>
    <t>貸付金</t>
    <rPh sb="0" eb="3">
      <t>カシツケキン</t>
    </rPh>
    <phoneticPr fontId="1"/>
  </si>
  <si>
    <t>３．財務活動CF</t>
    <rPh sb="2" eb="6">
      <t>ザイムカツドウ</t>
    </rPh>
    <phoneticPr fontId="1"/>
  </si>
  <si>
    <t>短期借入金</t>
    <rPh sb="0" eb="2">
      <t>タンキ</t>
    </rPh>
    <rPh sb="2" eb="4">
      <t>カリイレ</t>
    </rPh>
    <rPh sb="4" eb="5">
      <t>キン</t>
    </rPh>
    <phoneticPr fontId="1"/>
  </si>
  <si>
    <t>長期借入金調達</t>
    <rPh sb="0" eb="5">
      <t>チョウキカリイレキン</t>
    </rPh>
    <rPh sb="5" eb="7">
      <t>チョウタツ</t>
    </rPh>
    <phoneticPr fontId="1"/>
  </si>
  <si>
    <t>長期借入金返済</t>
    <rPh sb="0" eb="7">
      <t>チョウキカリイレキンヘンサイ</t>
    </rPh>
    <phoneticPr fontId="1"/>
  </si>
  <si>
    <t>資本の増減</t>
    <rPh sb="0" eb="2">
      <t>シホン</t>
    </rPh>
    <rPh sb="3" eb="5">
      <t>ゾウゲン</t>
    </rPh>
    <phoneticPr fontId="1"/>
  </si>
  <si>
    <t>４．月次CF</t>
    <rPh sb="2" eb="4">
      <t>ゲツジ</t>
    </rPh>
    <phoneticPr fontId="1"/>
  </si>
  <si>
    <t>現金預金の増減額</t>
    <rPh sb="0" eb="4">
      <t>ゲンキンヨキン</t>
    </rPh>
    <rPh sb="5" eb="8">
      <t>ゾウゲンガク</t>
    </rPh>
    <phoneticPr fontId="1"/>
  </si>
  <si>
    <t>□ＣＦ特記事項等</t>
    <rPh sb="3" eb="7">
      <t>トッキジコウ</t>
    </rPh>
    <rPh sb="7" eb="8">
      <t>ナド</t>
    </rPh>
    <phoneticPr fontId="1"/>
  </si>
  <si>
    <t>改善</t>
    <rPh sb="0" eb="2">
      <t>カイゼン</t>
    </rPh>
    <phoneticPr fontId="1"/>
  </si>
  <si>
    <t>不確定含む</t>
    <rPh sb="0" eb="4">
      <t>フカクテイフク</t>
    </rPh>
    <phoneticPr fontId="1"/>
  </si>
  <si>
    <t>要検証</t>
    <rPh sb="0" eb="1">
      <t>ヨウ</t>
    </rPh>
    <rPh sb="1" eb="3">
      <t>ケンショウ</t>
    </rPh>
    <phoneticPr fontId="1"/>
  </si>
  <si>
    <t>出資金</t>
    <rPh sb="0" eb="3">
      <t>シュッシキン</t>
    </rPh>
    <phoneticPr fontId="1"/>
  </si>
  <si>
    <t>ソフトウェア</t>
  </si>
  <si>
    <t>会議費</t>
  </si>
  <si>
    <t>CF:CK</t>
    <phoneticPr fontId="1"/>
  </si>
  <si>
    <t>期中累計</t>
    <rPh sb="0" eb="4">
      <t>キチュウルイケイ</t>
    </rPh>
    <phoneticPr fontId="1"/>
  </si>
  <si>
    <t>受取配当金</t>
  </si>
  <si>
    <t>法人税等</t>
  </si>
  <si>
    <t>営業利益</t>
    <rPh sb="0" eb="4">
      <t>エイギョウリエキ</t>
    </rPh>
    <phoneticPr fontId="1"/>
  </si>
  <si>
    <t>CF計画比</t>
    <rPh sb="2" eb="5">
      <t>ケイカクヒ</t>
    </rPh>
    <phoneticPr fontId="1"/>
  </si>
  <si>
    <t>現金売上・売掛回収</t>
    <rPh sb="0" eb="4">
      <t>ゲンキンウリアゲ</t>
    </rPh>
    <rPh sb="5" eb="9">
      <t>ウリカケカイシュウ</t>
    </rPh>
    <phoneticPr fontId="1"/>
  </si>
  <si>
    <t>現金仕入・買掛未払</t>
    <rPh sb="0" eb="4">
      <t>ゲンキンシイ</t>
    </rPh>
    <rPh sb="5" eb="7">
      <t>カイカケ</t>
    </rPh>
    <rPh sb="7" eb="9">
      <t>ミハライ</t>
    </rPh>
    <phoneticPr fontId="1"/>
  </si>
  <si>
    <t>経費支出</t>
    <rPh sb="0" eb="2">
      <t>ケイヒ</t>
    </rPh>
    <rPh sb="2" eb="4">
      <t>シシュツ</t>
    </rPh>
    <phoneticPr fontId="1"/>
  </si>
  <si>
    <t>納税その他</t>
    <rPh sb="0" eb="2">
      <t>ノウゼイ</t>
    </rPh>
    <rPh sb="4" eb="5">
      <t>タ</t>
    </rPh>
    <phoneticPr fontId="1"/>
  </si>
  <si>
    <t>累計</t>
    <rPh sb="0" eb="2">
      <t>ルイケイ</t>
    </rPh>
    <phoneticPr fontId="1"/>
  </si>
  <si>
    <t>繰越利益剰余金(BS)</t>
    <rPh sb="0" eb="2">
      <t>クリコシ</t>
    </rPh>
    <rPh sb="2" eb="4">
      <t>リエキ</t>
    </rPh>
    <rPh sb="4" eb="7">
      <t>ジョウヨキン</t>
    </rPh>
    <phoneticPr fontId="1"/>
  </si>
  <si>
    <t>長期前払費用</t>
  </si>
  <si>
    <t>[B/S CK]</t>
    <phoneticPr fontId="1"/>
  </si>
  <si>
    <t>給料賃金</t>
  </si>
  <si>
    <t>予算検討</t>
    <rPh sb="0" eb="2">
      <t>ヨサン</t>
    </rPh>
    <rPh sb="2" eb="4">
      <t>ケントウ</t>
    </rPh>
    <phoneticPr fontId="1"/>
  </si>
  <si>
    <t>経常利益</t>
    <rPh sb="0" eb="4">
      <t>ケイジョウリエキ</t>
    </rPh>
    <phoneticPr fontId="1"/>
  </si>
  <si>
    <t>賞与</t>
    <rPh sb="0" eb="2">
      <t>ショウヨ</t>
    </rPh>
    <phoneticPr fontId="1"/>
  </si>
  <si>
    <t>前払費用</t>
    <rPh sb="2" eb="4">
      <t>ヒヨウ</t>
    </rPh>
    <phoneticPr fontId="1"/>
  </si>
  <si>
    <t>貯蔵品</t>
  </si>
  <si>
    <t>未払消費税</t>
  </si>
  <si>
    <t>旅費交通費</t>
    <rPh sb="0" eb="2">
      <t>リョヒ</t>
    </rPh>
    <rPh sb="2" eb="5">
      <t>コウツウヒ</t>
    </rPh>
    <phoneticPr fontId="3"/>
  </si>
  <si>
    <t>通信費</t>
    <rPh sb="0" eb="3">
      <t>ツウシンヒ</t>
    </rPh>
    <phoneticPr fontId="3"/>
  </si>
  <si>
    <t>開発費</t>
    <rPh sb="0" eb="3">
      <t>カイハツヒ</t>
    </rPh>
    <phoneticPr fontId="3"/>
  </si>
  <si>
    <t>交際費</t>
    <rPh sb="0" eb="2">
      <t>コウサイ</t>
    </rPh>
    <rPh sb="2" eb="3">
      <t>ヒ</t>
    </rPh>
    <phoneticPr fontId="3"/>
  </si>
  <si>
    <t>会議費</t>
    <rPh sb="0" eb="3">
      <t>カイギヒ</t>
    </rPh>
    <phoneticPr fontId="3"/>
  </si>
  <si>
    <t>減価償却費</t>
    <rPh sb="0" eb="2">
      <t>ゲンカ</t>
    </rPh>
    <rPh sb="2" eb="4">
      <t>ショウキャク</t>
    </rPh>
    <rPh sb="4" eb="5">
      <t>ヒ</t>
    </rPh>
    <phoneticPr fontId="3"/>
  </si>
  <si>
    <t>賃借料</t>
    <rPh sb="0" eb="3">
      <t>チンシャクリョウ</t>
    </rPh>
    <phoneticPr fontId="3"/>
  </si>
  <si>
    <t>地代家賃</t>
    <rPh sb="0" eb="2">
      <t>チダイ</t>
    </rPh>
    <rPh sb="2" eb="4">
      <t>ヤチン</t>
    </rPh>
    <phoneticPr fontId="3"/>
  </si>
  <si>
    <t>リース料</t>
    <rPh sb="3" eb="4">
      <t>リョウ</t>
    </rPh>
    <phoneticPr fontId="3"/>
  </si>
  <si>
    <t>修繕費</t>
    <rPh sb="0" eb="3">
      <t>シュウゼンヒ</t>
    </rPh>
    <phoneticPr fontId="3"/>
  </si>
  <si>
    <t>保険料</t>
    <rPh sb="0" eb="3">
      <t>ホケンリョウ</t>
    </rPh>
    <phoneticPr fontId="3"/>
  </si>
  <si>
    <t>水道光熱費</t>
    <rPh sb="0" eb="2">
      <t>スイドウ</t>
    </rPh>
    <rPh sb="2" eb="5">
      <t>コウネツヒ</t>
    </rPh>
    <phoneticPr fontId="3"/>
  </si>
  <si>
    <t>消耗品費</t>
    <rPh sb="0" eb="2">
      <t>ショウモウ</t>
    </rPh>
    <rPh sb="2" eb="3">
      <t>ヒン</t>
    </rPh>
    <rPh sb="3" eb="4">
      <t>ヒ</t>
    </rPh>
    <phoneticPr fontId="3"/>
  </si>
  <si>
    <t>租税公課</t>
    <rPh sb="0" eb="2">
      <t>ソゼイ</t>
    </rPh>
    <rPh sb="2" eb="4">
      <t>コウカ</t>
    </rPh>
    <phoneticPr fontId="3"/>
  </si>
  <si>
    <t>広告宣伝費</t>
    <rPh sb="0" eb="2">
      <t>コウコク</t>
    </rPh>
    <rPh sb="2" eb="5">
      <t>センデンヒ</t>
    </rPh>
    <phoneticPr fontId="3"/>
  </si>
  <si>
    <t>支払手数料</t>
    <rPh sb="0" eb="2">
      <t>シハライ</t>
    </rPh>
    <rPh sb="2" eb="5">
      <t>テスウリョウ</t>
    </rPh>
    <phoneticPr fontId="3"/>
  </si>
  <si>
    <t>新聞図書費</t>
    <rPh sb="0" eb="2">
      <t>シンブン</t>
    </rPh>
    <rPh sb="2" eb="4">
      <t>トショ</t>
    </rPh>
    <rPh sb="4" eb="5">
      <t>ヒ</t>
    </rPh>
    <phoneticPr fontId="3"/>
  </si>
  <si>
    <t>管理諸費</t>
    <rPh sb="0" eb="2">
      <t>カンリ</t>
    </rPh>
    <rPh sb="2" eb="4">
      <t>ショヒ</t>
    </rPh>
    <phoneticPr fontId="3"/>
  </si>
  <si>
    <t>雑費</t>
    <rPh sb="0" eb="2">
      <t>ザッピ</t>
    </rPh>
    <phoneticPr fontId="3"/>
  </si>
  <si>
    <t>CK</t>
    <phoneticPr fontId="1"/>
  </si>
  <si>
    <t>販管費</t>
    <rPh sb="0" eb="3">
      <t>ハンカンヒ</t>
    </rPh>
    <phoneticPr fontId="1"/>
  </si>
  <si>
    <t>＊＊＊＊</t>
  </si>
  <si>
    <t xml:space="preserve"> 収支予測表　</t>
    <rPh sb="1" eb="3">
      <t>シュウシ</t>
    </rPh>
    <rPh sb="3" eb="5">
      <t>ヨソク</t>
    </rPh>
    <rPh sb="5" eb="6">
      <t>ヒョウ</t>
    </rPh>
    <phoneticPr fontId="47"/>
  </si>
  <si>
    <r>
      <rPr>
        <sz val="10"/>
        <color indexed="9"/>
        <rFont val="ＭＳ ゴシック"/>
        <family val="3"/>
        <charset val="128"/>
      </rPr>
      <t>勘定科目</t>
    </r>
    <rPh sb="0" eb="2">
      <t>カンジョウ</t>
    </rPh>
    <rPh sb="2" eb="4">
      <t>カモク</t>
    </rPh>
    <phoneticPr fontId="47"/>
  </si>
  <si>
    <r>
      <rPr>
        <b/>
        <sz val="10"/>
        <rFont val="ＭＳ ゴシック"/>
        <family val="3"/>
        <charset val="128"/>
      </rPr>
      <t>売上高</t>
    </r>
    <rPh sb="0" eb="2">
      <t>ウリアゲ</t>
    </rPh>
    <rPh sb="2" eb="3">
      <t>ダカ</t>
    </rPh>
    <phoneticPr fontId="47"/>
  </si>
  <si>
    <t>月末売掛残高割合</t>
    <rPh sb="0" eb="2">
      <t>ゲツマツ</t>
    </rPh>
    <rPh sb="2" eb="4">
      <t>ウリカケ</t>
    </rPh>
    <rPh sb="4" eb="5">
      <t>ザン</t>
    </rPh>
    <rPh sb="5" eb="6">
      <t>ダカ</t>
    </rPh>
    <rPh sb="6" eb="8">
      <t>ワリアイ</t>
    </rPh>
    <phoneticPr fontId="47"/>
  </si>
  <si>
    <t>現金割合</t>
    <rPh sb="0" eb="2">
      <t>ゲンキン</t>
    </rPh>
    <rPh sb="2" eb="4">
      <t>ワリアイ</t>
    </rPh>
    <phoneticPr fontId="47"/>
  </si>
  <si>
    <r>
      <rPr>
        <sz val="10"/>
        <rFont val="ＭＳ ゴシック"/>
        <family val="3"/>
        <charset val="128"/>
      </rPr>
      <t>原価率</t>
    </r>
    <rPh sb="0" eb="2">
      <t>ゲンカ</t>
    </rPh>
    <rPh sb="2" eb="3">
      <t>リツ</t>
    </rPh>
    <phoneticPr fontId="47"/>
  </si>
  <si>
    <r>
      <rPr>
        <b/>
        <sz val="10"/>
        <rFont val="ＭＳ ゴシック"/>
        <family val="3"/>
        <charset val="128"/>
      </rPr>
      <t>合計</t>
    </r>
    <rPh sb="0" eb="2">
      <t>ゴウケイ</t>
    </rPh>
    <phoneticPr fontId="47"/>
  </si>
  <si>
    <r>
      <rPr>
        <sz val="10"/>
        <rFont val="ＭＳ ゴシック"/>
        <family val="3"/>
        <charset val="128"/>
      </rPr>
      <t>売上原価</t>
    </r>
    <rPh sb="0" eb="2">
      <t>ウリアゲ</t>
    </rPh>
    <rPh sb="2" eb="4">
      <t>ゲンカ</t>
    </rPh>
    <phoneticPr fontId="47"/>
  </si>
  <si>
    <t>掛割合</t>
    <rPh sb="0" eb="1">
      <t>カカリ</t>
    </rPh>
    <rPh sb="1" eb="3">
      <t>ワリアイ</t>
    </rPh>
    <phoneticPr fontId="47"/>
  </si>
  <si>
    <r>
      <rPr>
        <sz val="10"/>
        <rFont val="ＭＳ ゴシック"/>
        <family val="3"/>
        <charset val="128"/>
      </rPr>
      <t>合計</t>
    </r>
    <rPh sb="0" eb="2">
      <t>ゴウケイ</t>
    </rPh>
    <phoneticPr fontId="47"/>
  </si>
  <si>
    <r>
      <rPr>
        <b/>
        <sz val="10"/>
        <rFont val="ＭＳ ゴシック"/>
        <family val="3"/>
        <charset val="128"/>
      </rPr>
      <t>粗利益</t>
    </r>
    <rPh sb="0" eb="3">
      <t>アラリエキ</t>
    </rPh>
    <phoneticPr fontId="47"/>
  </si>
  <si>
    <t>予測値</t>
    <rPh sb="0" eb="3">
      <t>ヨソクチ</t>
    </rPh>
    <phoneticPr fontId="47"/>
  </si>
  <si>
    <t>人件費</t>
    <rPh sb="0" eb="3">
      <t>ジンケンヒ</t>
    </rPh>
    <phoneticPr fontId="47"/>
  </si>
  <si>
    <t>役員報酬</t>
    <rPh sb="0" eb="2">
      <t>ヤクイン</t>
    </rPh>
    <rPh sb="2" eb="4">
      <t>ホウシュウ</t>
    </rPh>
    <phoneticPr fontId="53"/>
  </si>
  <si>
    <t>給与手当</t>
    <rPh sb="0" eb="2">
      <t>キュウヨ</t>
    </rPh>
    <rPh sb="2" eb="4">
      <t>テアテ</t>
    </rPh>
    <phoneticPr fontId="53"/>
  </si>
  <si>
    <t>＊＊＊＊</t>
    <phoneticPr fontId="47"/>
  </si>
  <si>
    <t>雑給</t>
    <rPh sb="0" eb="2">
      <t>ザッキュウ</t>
    </rPh>
    <phoneticPr fontId="53"/>
  </si>
  <si>
    <t>法定福利費</t>
    <rPh sb="0" eb="2">
      <t>ホウテイ</t>
    </rPh>
    <rPh sb="2" eb="4">
      <t>フクリ</t>
    </rPh>
    <rPh sb="4" eb="5">
      <t>ヒ</t>
    </rPh>
    <phoneticPr fontId="53"/>
  </si>
  <si>
    <t>合計</t>
    <rPh sb="0" eb="2">
      <t>ゴウケイ</t>
    </rPh>
    <phoneticPr fontId="47"/>
  </si>
  <si>
    <t>販売費管理費</t>
    <rPh sb="0" eb="3">
      <t>ハンバイヒ</t>
    </rPh>
    <rPh sb="3" eb="6">
      <t>カンリヒ</t>
    </rPh>
    <phoneticPr fontId="47"/>
  </si>
  <si>
    <t>旅費交通費</t>
    <rPh sb="0" eb="2">
      <t>リョヒ</t>
    </rPh>
    <rPh sb="2" eb="5">
      <t>コウツウヒ</t>
    </rPh>
    <phoneticPr fontId="53"/>
  </si>
  <si>
    <t>通信費</t>
    <rPh sb="0" eb="3">
      <t>ツウシンヒ</t>
    </rPh>
    <phoneticPr fontId="53"/>
  </si>
  <si>
    <t>開発費</t>
    <rPh sb="0" eb="3">
      <t>カイハツヒ</t>
    </rPh>
    <phoneticPr fontId="53"/>
  </si>
  <si>
    <t>交際費</t>
    <rPh sb="0" eb="2">
      <t>コウサイ</t>
    </rPh>
    <rPh sb="2" eb="3">
      <t>ヒ</t>
    </rPh>
    <phoneticPr fontId="53"/>
  </si>
  <si>
    <t>会議費</t>
    <rPh sb="0" eb="3">
      <t>カイギヒ</t>
    </rPh>
    <phoneticPr fontId="53"/>
  </si>
  <si>
    <t>減価償却費</t>
    <rPh sb="0" eb="2">
      <t>ゲンカ</t>
    </rPh>
    <rPh sb="2" eb="4">
      <t>ショウキャク</t>
    </rPh>
    <rPh sb="4" eb="5">
      <t>ヒ</t>
    </rPh>
    <phoneticPr fontId="53"/>
  </si>
  <si>
    <t>賃借料</t>
    <rPh sb="0" eb="3">
      <t>チンシャクリョウ</t>
    </rPh>
    <phoneticPr fontId="53"/>
  </si>
  <si>
    <t>地代家賃</t>
    <rPh sb="0" eb="2">
      <t>チダイ</t>
    </rPh>
    <rPh sb="2" eb="4">
      <t>ヤチン</t>
    </rPh>
    <phoneticPr fontId="53"/>
  </si>
  <si>
    <t>リース料</t>
    <rPh sb="3" eb="4">
      <t>リョウ</t>
    </rPh>
    <phoneticPr fontId="53"/>
  </si>
  <si>
    <t>修繕費</t>
    <rPh sb="0" eb="3">
      <t>シュウゼンヒ</t>
    </rPh>
    <phoneticPr fontId="53"/>
  </si>
  <si>
    <t>保険料</t>
    <rPh sb="0" eb="3">
      <t>ホケンリョウ</t>
    </rPh>
    <phoneticPr fontId="53"/>
  </si>
  <si>
    <t>水道光熱費</t>
    <rPh sb="0" eb="2">
      <t>スイドウ</t>
    </rPh>
    <rPh sb="2" eb="5">
      <t>コウネツヒ</t>
    </rPh>
    <phoneticPr fontId="53"/>
  </si>
  <si>
    <t>消耗品費</t>
    <rPh sb="0" eb="2">
      <t>ショウモウ</t>
    </rPh>
    <rPh sb="2" eb="3">
      <t>ヒン</t>
    </rPh>
    <rPh sb="3" eb="4">
      <t>ヒ</t>
    </rPh>
    <phoneticPr fontId="53"/>
  </si>
  <si>
    <t>租税公課</t>
    <rPh sb="0" eb="2">
      <t>ソゼイ</t>
    </rPh>
    <rPh sb="2" eb="4">
      <t>コウカ</t>
    </rPh>
    <phoneticPr fontId="53"/>
  </si>
  <si>
    <t>広告宣伝費</t>
    <rPh sb="0" eb="2">
      <t>コウコク</t>
    </rPh>
    <rPh sb="2" eb="5">
      <t>センデンヒ</t>
    </rPh>
    <phoneticPr fontId="53"/>
  </si>
  <si>
    <t>支払手数料</t>
    <rPh sb="0" eb="2">
      <t>シハライ</t>
    </rPh>
    <rPh sb="2" eb="5">
      <t>テスウリョウ</t>
    </rPh>
    <phoneticPr fontId="53"/>
  </si>
  <si>
    <t>新聞図書費</t>
    <rPh sb="0" eb="2">
      <t>シンブン</t>
    </rPh>
    <rPh sb="2" eb="4">
      <t>トショ</t>
    </rPh>
    <rPh sb="4" eb="5">
      <t>ヒ</t>
    </rPh>
    <phoneticPr fontId="53"/>
  </si>
  <si>
    <t>管理諸費</t>
    <rPh sb="0" eb="2">
      <t>カンリ</t>
    </rPh>
    <rPh sb="2" eb="4">
      <t>ショヒ</t>
    </rPh>
    <phoneticPr fontId="53"/>
  </si>
  <si>
    <t>雑費</t>
    <rPh sb="0" eb="2">
      <t>ザッピ</t>
    </rPh>
    <phoneticPr fontId="53"/>
  </si>
  <si>
    <t>経費合計</t>
    <rPh sb="0" eb="2">
      <t>ケイヒ</t>
    </rPh>
    <rPh sb="2" eb="4">
      <t>ゴウケイ</t>
    </rPh>
    <phoneticPr fontId="47"/>
  </si>
  <si>
    <t>営業利益</t>
    <rPh sb="0" eb="2">
      <t>エイギョウ</t>
    </rPh>
    <rPh sb="2" eb="4">
      <t>リエキ</t>
    </rPh>
    <phoneticPr fontId="47"/>
  </si>
  <si>
    <t>営業外収益</t>
    <rPh sb="0" eb="3">
      <t>エイギョウガイ</t>
    </rPh>
    <rPh sb="3" eb="5">
      <t>シュウエキ</t>
    </rPh>
    <phoneticPr fontId="47"/>
  </si>
  <si>
    <t>営業外費用</t>
    <rPh sb="0" eb="3">
      <t>エイギョウガイ</t>
    </rPh>
    <rPh sb="3" eb="5">
      <t>ヒヨウ</t>
    </rPh>
    <phoneticPr fontId="47"/>
  </si>
  <si>
    <t>経常利益</t>
    <rPh sb="0" eb="2">
      <t>ケイジョウ</t>
    </rPh>
    <rPh sb="2" eb="4">
      <t>リエキ</t>
    </rPh>
    <phoneticPr fontId="47"/>
  </si>
  <si>
    <t>特別利益</t>
    <rPh sb="0" eb="2">
      <t>トクベツ</t>
    </rPh>
    <rPh sb="2" eb="4">
      <t>リエキ</t>
    </rPh>
    <phoneticPr fontId="47"/>
  </si>
  <si>
    <t>特別損失</t>
    <rPh sb="0" eb="2">
      <t>トクベツ</t>
    </rPh>
    <rPh sb="2" eb="4">
      <t>ソンシツ</t>
    </rPh>
    <phoneticPr fontId="47"/>
  </si>
  <si>
    <t>税引前当期利益</t>
    <rPh sb="0" eb="2">
      <t>ゼイビキ</t>
    </rPh>
    <rPh sb="2" eb="3">
      <t>マエ</t>
    </rPh>
    <rPh sb="3" eb="5">
      <t>トウキ</t>
    </rPh>
    <rPh sb="5" eb="7">
      <t>リエキ</t>
    </rPh>
    <phoneticPr fontId="47"/>
  </si>
  <si>
    <t>期間累計</t>
    <rPh sb="0" eb="2">
      <t>キカン</t>
    </rPh>
    <rPh sb="2" eb="4">
      <t>ルイケイ</t>
    </rPh>
    <phoneticPr fontId="47"/>
  </si>
  <si>
    <t>ＦＬ</t>
    <phoneticPr fontId="47"/>
  </si>
  <si>
    <r>
      <rPr>
        <b/>
        <sz val="10"/>
        <rFont val="ＭＳ Ｐゴシック"/>
        <family val="3"/>
        <charset val="128"/>
      </rPr>
      <t>【資金収支予測】</t>
    </r>
    <rPh sb="1" eb="3">
      <t>シキン</t>
    </rPh>
    <rPh sb="3" eb="5">
      <t>シュウシ</t>
    </rPh>
    <rPh sb="5" eb="7">
      <t>ヨソク</t>
    </rPh>
    <phoneticPr fontId="56"/>
  </si>
  <si>
    <t>項目</t>
    <rPh sb="0" eb="2">
      <t>コウモク</t>
    </rPh>
    <phoneticPr fontId="47"/>
  </si>
  <si>
    <r>
      <t>A.</t>
    </r>
    <r>
      <rPr>
        <sz val="10"/>
        <rFont val="ＭＳ Ｐゴシック"/>
        <family val="3"/>
        <charset val="128"/>
      </rPr>
      <t>前月繰越金</t>
    </r>
    <rPh sb="2" eb="4">
      <t>ゼンゲツ</t>
    </rPh>
    <rPh sb="4" eb="6">
      <t>クリコシ</t>
    </rPh>
    <rPh sb="6" eb="7">
      <t>キン</t>
    </rPh>
    <phoneticPr fontId="56"/>
  </si>
  <si>
    <r>
      <rPr>
        <sz val="10"/>
        <rFont val="ＭＳ Ｐゴシック"/>
        <family val="3"/>
        <charset val="128"/>
      </rPr>
      <t>営業収入</t>
    </r>
    <rPh sb="0" eb="2">
      <t>エイギョウ</t>
    </rPh>
    <rPh sb="2" eb="4">
      <t>シュウニュウ</t>
    </rPh>
    <phoneticPr fontId="56"/>
  </si>
  <si>
    <r>
      <rPr>
        <sz val="10"/>
        <rFont val="ＭＳ Ｐゴシック"/>
        <family val="3"/>
        <charset val="128"/>
      </rPr>
      <t>現金売上</t>
    </r>
    <rPh sb="0" eb="2">
      <t>ゲンキン</t>
    </rPh>
    <rPh sb="2" eb="4">
      <t>ウリアゲ</t>
    </rPh>
    <phoneticPr fontId="56"/>
  </si>
  <si>
    <r>
      <rPr>
        <sz val="10"/>
        <rFont val="ＭＳ Ｐゴシック"/>
        <family val="3"/>
        <charset val="128"/>
      </rPr>
      <t>売掛金入金</t>
    </r>
    <rPh sb="0" eb="2">
      <t>ウリカケ</t>
    </rPh>
    <rPh sb="2" eb="3">
      <t>キン</t>
    </rPh>
    <rPh sb="3" eb="5">
      <t>ニュウキン</t>
    </rPh>
    <phoneticPr fontId="56"/>
  </si>
  <si>
    <r>
      <rPr>
        <sz val="10"/>
        <rFont val="ＭＳ Ｐゴシック"/>
        <family val="3"/>
        <charset val="128"/>
      </rPr>
      <t>営業外収益</t>
    </r>
    <rPh sb="0" eb="3">
      <t>エイギョウガイ</t>
    </rPh>
    <rPh sb="3" eb="5">
      <t>シュウエキ</t>
    </rPh>
    <phoneticPr fontId="56"/>
  </si>
  <si>
    <r>
      <rPr>
        <sz val="10"/>
        <rFont val="ＭＳ Ｐゴシック"/>
        <family val="3"/>
        <charset val="128"/>
      </rPr>
      <t>①合計</t>
    </r>
    <rPh sb="1" eb="3">
      <t>ゴウケイ</t>
    </rPh>
    <phoneticPr fontId="56"/>
  </si>
  <si>
    <r>
      <rPr>
        <sz val="10"/>
        <rFont val="ＭＳ Ｐゴシック"/>
        <family val="3"/>
        <charset val="128"/>
      </rPr>
      <t>営業支出</t>
    </r>
    <rPh sb="0" eb="2">
      <t>エイギョウ</t>
    </rPh>
    <rPh sb="2" eb="4">
      <t>シシュツ</t>
    </rPh>
    <phoneticPr fontId="56"/>
  </si>
  <si>
    <r>
      <rPr>
        <sz val="10"/>
        <rFont val="ＭＳ Ｐゴシック"/>
        <family val="3"/>
        <charset val="128"/>
      </rPr>
      <t>現金仕入</t>
    </r>
    <rPh sb="0" eb="2">
      <t>ゲンキン</t>
    </rPh>
    <rPh sb="2" eb="4">
      <t>シイ</t>
    </rPh>
    <phoneticPr fontId="56"/>
  </si>
  <si>
    <r>
      <rPr>
        <sz val="10"/>
        <rFont val="ＭＳ Ｐゴシック"/>
        <family val="3"/>
        <charset val="128"/>
      </rPr>
      <t>買掛金支払</t>
    </r>
    <rPh sb="0" eb="3">
      <t>カイカケキン</t>
    </rPh>
    <rPh sb="3" eb="5">
      <t>シハライ</t>
    </rPh>
    <phoneticPr fontId="56"/>
  </si>
  <si>
    <t>未払金支払</t>
    <rPh sb="0" eb="2">
      <t>ミハラ</t>
    </rPh>
    <rPh sb="2" eb="3">
      <t>キン</t>
    </rPh>
    <rPh sb="3" eb="5">
      <t>シハライ</t>
    </rPh>
    <phoneticPr fontId="56"/>
  </si>
  <si>
    <r>
      <rPr>
        <sz val="10"/>
        <rFont val="ＭＳ Ｐゴシック"/>
        <family val="3"/>
        <charset val="128"/>
      </rPr>
      <t>現金経費</t>
    </r>
    <rPh sb="0" eb="2">
      <t>ゲンキン</t>
    </rPh>
    <rPh sb="2" eb="4">
      <t>ケイヒ</t>
    </rPh>
    <phoneticPr fontId="56"/>
  </si>
  <si>
    <r>
      <rPr>
        <sz val="10"/>
        <rFont val="ＭＳ Ｐゴシック"/>
        <family val="3"/>
        <charset val="128"/>
      </rPr>
      <t>支払利息</t>
    </r>
    <rPh sb="0" eb="2">
      <t>シハライ</t>
    </rPh>
    <rPh sb="2" eb="4">
      <t>リソク</t>
    </rPh>
    <phoneticPr fontId="56"/>
  </si>
  <si>
    <r>
      <rPr>
        <sz val="10"/>
        <rFont val="ＭＳ Ｐゴシック"/>
        <family val="3"/>
        <charset val="128"/>
      </rPr>
      <t>②合計</t>
    </r>
    <rPh sb="1" eb="3">
      <t>ゴウケイ</t>
    </rPh>
    <phoneticPr fontId="56"/>
  </si>
  <si>
    <r>
      <t>B.</t>
    </r>
    <r>
      <rPr>
        <sz val="10"/>
        <rFont val="ＭＳ Ｐゴシック"/>
        <family val="3"/>
        <charset val="128"/>
      </rPr>
      <t>営業収支</t>
    </r>
    <r>
      <rPr>
        <sz val="10"/>
        <rFont val="Bookman Old Style"/>
        <family val="1"/>
      </rPr>
      <t>(</t>
    </r>
    <r>
      <rPr>
        <sz val="10"/>
        <rFont val="ＭＳ Ｐゴシック"/>
        <family val="3"/>
        <charset val="128"/>
      </rPr>
      <t>①</t>
    </r>
    <r>
      <rPr>
        <sz val="10"/>
        <rFont val="Bookman Old Style"/>
        <family val="1"/>
      </rPr>
      <t>-</t>
    </r>
    <r>
      <rPr>
        <sz val="10"/>
        <rFont val="ＭＳ Ｐゴシック"/>
        <family val="3"/>
        <charset val="128"/>
      </rPr>
      <t>②</t>
    </r>
    <r>
      <rPr>
        <sz val="10"/>
        <rFont val="Bookman Old Style"/>
        <family val="1"/>
      </rPr>
      <t>)</t>
    </r>
    <rPh sb="2" eb="4">
      <t>エイギョウ</t>
    </rPh>
    <rPh sb="4" eb="6">
      <t>シュウシ</t>
    </rPh>
    <phoneticPr fontId="56"/>
  </si>
  <si>
    <r>
      <rPr>
        <sz val="10"/>
        <rFont val="ＭＳ Ｐゴシック"/>
        <family val="3"/>
        <charset val="128"/>
      </rPr>
      <t>財務収入</t>
    </r>
    <rPh sb="0" eb="2">
      <t>ザイム</t>
    </rPh>
    <rPh sb="2" eb="4">
      <t>シュウニュウ</t>
    </rPh>
    <phoneticPr fontId="56"/>
  </si>
  <si>
    <t>短期借入</t>
    <rPh sb="0" eb="2">
      <t>タンキ</t>
    </rPh>
    <rPh sb="2" eb="4">
      <t>カリイレ</t>
    </rPh>
    <phoneticPr fontId="56"/>
  </si>
  <si>
    <r>
      <rPr>
        <sz val="10"/>
        <rFont val="ＭＳ Ｐゴシック"/>
        <family val="3"/>
        <charset val="128"/>
      </rPr>
      <t>長期借入</t>
    </r>
    <rPh sb="0" eb="2">
      <t>チョウキ</t>
    </rPh>
    <rPh sb="2" eb="4">
      <t>カリイレ</t>
    </rPh>
    <phoneticPr fontId="56"/>
  </si>
  <si>
    <t>保険積立金</t>
    <rPh sb="0" eb="2">
      <t>ホケン</t>
    </rPh>
    <rPh sb="2" eb="4">
      <t>ツミタテ</t>
    </rPh>
    <rPh sb="4" eb="5">
      <t>キン</t>
    </rPh>
    <phoneticPr fontId="53"/>
  </si>
  <si>
    <r>
      <rPr>
        <sz val="10"/>
        <rFont val="ＭＳ Ｐゴシック"/>
        <family val="3"/>
        <charset val="128"/>
      </rPr>
      <t>③合計</t>
    </r>
    <rPh sb="1" eb="3">
      <t>ゴウケイ</t>
    </rPh>
    <phoneticPr fontId="56"/>
  </si>
  <si>
    <r>
      <rPr>
        <sz val="10"/>
        <rFont val="ＭＳ Ｐゴシック"/>
        <family val="3"/>
        <charset val="128"/>
      </rPr>
      <t>財務支出</t>
    </r>
    <rPh sb="0" eb="2">
      <t>ザイム</t>
    </rPh>
    <rPh sb="2" eb="4">
      <t>シシュツ</t>
    </rPh>
    <phoneticPr fontId="56"/>
  </si>
  <si>
    <r>
      <rPr>
        <sz val="10"/>
        <rFont val="ＭＳ Ｐゴシック"/>
        <family val="3"/>
        <charset val="128"/>
      </rPr>
      <t>④合計</t>
    </r>
    <rPh sb="1" eb="3">
      <t>ゴウケイ</t>
    </rPh>
    <phoneticPr fontId="56"/>
  </si>
  <si>
    <r>
      <t>C.</t>
    </r>
    <r>
      <rPr>
        <sz val="10"/>
        <rFont val="ＭＳ Ｐゴシック"/>
        <family val="3"/>
        <charset val="128"/>
      </rPr>
      <t>財務収支</t>
    </r>
    <r>
      <rPr>
        <sz val="10"/>
        <rFont val="Bookman Old Style"/>
        <family val="1"/>
      </rPr>
      <t>(</t>
    </r>
    <r>
      <rPr>
        <sz val="10"/>
        <rFont val="ＭＳ Ｐゴシック"/>
        <family val="3"/>
        <charset val="128"/>
      </rPr>
      <t>③</t>
    </r>
    <r>
      <rPr>
        <sz val="10"/>
        <rFont val="Bookman Old Style"/>
        <family val="1"/>
      </rPr>
      <t>-</t>
    </r>
    <r>
      <rPr>
        <sz val="10"/>
        <rFont val="ＭＳ Ｐゴシック"/>
        <family val="3"/>
        <charset val="128"/>
      </rPr>
      <t>④</t>
    </r>
    <r>
      <rPr>
        <sz val="10"/>
        <rFont val="Bookman Old Style"/>
        <family val="1"/>
      </rPr>
      <t>)</t>
    </r>
    <rPh sb="2" eb="4">
      <t>ザイム</t>
    </rPh>
    <rPh sb="4" eb="6">
      <t>シュウシ</t>
    </rPh>
    <phoneticPr fontId="56"/>
  </si>
  <si>
    <r>
      <t>D.</t>
    </r>
    <r>
      <rPr>
        <sz val="10"/>
        <rFont val="ＭＳ Ｐゴシック"/>
        <family val="3"/>
        <charset val="128"/>
      </rPr>
      <t>月次資金収支</t>
    </r>
    <r>
      <rPr>
        <sz val="10"/>
        <rFont val="Bookman Old Style"/>
        <family val="1"/>
      </rPr>
      <t>(B+C)</t>
    </r>
    <rPh sb="2" eb="4">
      <t>ゲツジ</t>
    </rPh>
    <rPh sb="4" eb="6">
      <t>シキン</t>
    </rPh>
    <rPh sb="6" eb="8">
      <t>シュウシ</t>
    </rPh>
    <phoneticPr fontId="56"/>
  </si>
  <si>
    <r>
      <t>E.</t>
    </r>
    <r>
      <rPr>
        <sz val="10"/>
        <rFont val="ＭＳ Ｐゴシック"/>
        <family val="3"/>
        <charset val="128"/>
      </rPr>
      <t>翌月繰越金</t>
    </r>
    <r>
      <rPr>
        <sz val="10"/>
        <rFont val="Bookman Old Style"/>
        <family val="1"/>
      </rPr>
      <t>(A+D)</t>
    </r>
    <rPh sb="2" eb="3">
      <t>ヨク</t>
    </rPh>
    <rPh sb="3" eb="4">
      <t>ツキ</t>
    </rPh>
    <rPh sb="4" eb="6">
      <t>クリコシ</t>
    </rPh>
    <rPh sb="6" eb="7">
      <t>キン</t>
    </rPh>
    <phoneticPr fontId="56"/>
  </si>
  <si>
    <t>実際</t>
    <rPh sb="0" eb="2">
      <t>ジッサイ</t>
    </rPh>
    <phoneticPr fontId="53"/>
  </si>
  <si>
    <t>差額</t>
    <rPh sb="0" eb="2">
      <t>サガク</t>
    </rPh>
    <phoneticPr fontId="53"/>
  </si>
  <si>
    <t>長期借入金</t>
    <rPh sb="0" eb="2">
      <t>チョウキ</t>
    </rPh>
    <rPh sb="2" eb="4">
      <t>カリイレ</t>
    </rPh>
    <rPh sb="4" eb="5">
      <t>キン</t>
    </rPh>
    <phoneticPr fontId="47"/>
  </si>
  <si>
    <t>残高</t>
    <rPh sb="0" eb="2">
      <t>ザンダカ</t>
    </rPh>
    <phoneticPr fontId="53"/>
  </si>
  <si>
    <t>月額</t>
    <rPh sb="0" eb="2">
      <t>ゲツガク</t>
    </rPh>
    <phoneticPr fontId="47"/>
  </si>
  <si>
    <t>㈱ｅｓエンター</t>
    <phoneticPr fontId="53"/>
  </si>
  <si>
    <t>毎月金額</t>
    <rPh sb="0" eb="2">
      <t>マイツキ</t>
    </rPh>
    <rPh sb="2" eb="4">
      <t>キンガク</t>
    </rPh>
    <phoneticPr fontId="53"/>
  </si>
  <si>
    <t>期首残高</t>
    <rPh sb="0" eb="2">
      <t>キシュ</t>
    </rPh>
    <rPh sb="2" eb="4">
      <t>ザンダカ</t>
    </rPh>
    <phoneticPr fontId="53"/>
  </si>
  <si>
    <t>終了年月</t>
    <rPh sb="0" eb="2">
      <t>シュウリョウ</t>
    </rPh>
    <rPh sb="2" eb="4">
      <t>ネンゲツ</t>
    </rPh>
    <phoneticPr fontId="53"/>
  </si>
  <si>
    <t>備考</t>
    <rPh sb="0" eb="2">
      <t>ビコウ</t>
    </rPh>
    <phoneticPr fontId="53"/>
  </si>
  <si>
    <t>日本政策金融公庫③2021/03</t>
    <rPh sb="0" eb="2">
      <t>ニホン</t>
    </rPh>
    <rPh sb="2" eb="4">
      <t>セイサク</t>
    </rPh>
    <rPh sb="4" eb="6">
      <t>キンユウ</t>
    </rPh>
    <rPh sb="6" eb="8">
      <t>コウコ</t>
    </rPh>
    <phoneticPr fontId="53"/>
  </si>
  <si>
    <t>商工中金</t>
    <rPh sb="0" eb="4">
      <t>ショウコウチュウキン</t>
    </rPh>
    <phoneticPr fontId="53"/>
  </si>
  <si>
    <t>R6.3/31開始</t>
    <rPh sb="7" eb="9">
      <t>カイシ</t>
    </rPh>
    <phoneticPr fontId="53"/>
  </si>
  <si>
    <t>合計</t>
    <rPh sb="0" eb="2">
      <t>ゴウケイ</t>
    </rPh>
    <phoneticPr fontId="53"/>
  </si>
  <si>
    <t>グループ合計</t>
    <rPh sb="4" eb="6">
      <t>ゴウケイ</t>
    </rPh>
    <phoneticPr fontId="53"/>
  </si>
  <si>
    <t>毎月返済額</t>
    <rPh sb="0" eb="2">
      <t>マイツキ</t>
    </rPh>
    <rPh sb="2" eb="4">
      <t>ヘンサイ</t>
    </rPh>
    <rPh sb="4" eb="5">
      <t>ガク</t>
    </rPh>
    <phoneticPr fontId="53"/>
  </si>
  <si>
    <t>4年6月末残高</t>
    <rPh sb="1" eb="2">
      <t>ネン</t>
    </rPh>
    <rPh sb="3" eb="4">
      <t>ガツ</t>
    </rPh>
    <rPh sb="4" eb="5">
      <t>マツ</t>
    </rPh>
    <rPh sb="5" eb="7">
      <t>ザンダカ</t>
    </rPh>
    <phoneticPr fontId="53"/>
  </si>
  <si>
    <t>(株)ｅｓ　北洋銀行　コロナ</t>
    <rPh sb="0" eb="3">
      <t>カブ</t>
    </rPh>
    <rPh sb="6" eb="8">
      <t>ホクヨウ</t>
    </rPh>
    <rPh sb="8" eb="10">
      <t>ギンコウ</t>
    </rPh>
    <phoneticPr fontId="53"/>
  </si>
  <si>
    <r>
      <t>R7/10/31</t>
    </r>
    <r>
      <rPr>
        <sz val="10"/>
        <rFont val="ＭＳ Ｐゴシック"/>
        <family val="2"/>
        <charset val="128"/>
      </rPr>
      <t>開始</t>
    </r>
    <rPh sb="8" eb="10">
      <t>カイシ</t>
    </rPh>
    <phoneticPr fontId="53"/>
  </si>
  <si>
    <t>Sクリエイト　北海道信用金庫</t>
    <rPh sb="7" eb="10">
      <t>ホッカイドウ</t>
    </rPh>
    <rPh sb="10" eb="12">
      <t>シンヨウ</t>
    </rPh>
    <rPh sb="12" eb="14">
      <t>キンコ</t>
    </rPh>
    <phoneticPr fontId="53"/>
  </si>
  <si>
    <t>ライフワーク　北洋銀行</t>
    <rPh sb="7" eb="9">
      <t>ホクヨウ</t>
    </rPh>
    <rPh sb="9" eb="11">
      <t>ギンコウ</t>
    </rPh>
    <phoneticPr fontId="53"/>
  </si>
  <si>
    <t>エスプロ　北洋銀行</t>
    <rPh sb="5" eb="7">
      <t>ホクヨウ</t>
    </rPh>
    <rPh sb="7" eb="9">
      <t>ギンコウ</t>
    </rPh>
    <phoneticPr fontId="53"/>
  </si>
  <si>
    <t>バークリ　北洋銀行</t>
    <rPh sb="5" eb="7">
      <t>ホクヨウ</t>
    </rPh>
    <rPh sb="7" eb="9">
      <t>ギンコウ</t>
    </rPh>
    <phoneticPr fontId="53"/>
  </si>
  <si>
    <t>買掛未払債務</t>
    <rPh sb="0" eb="2">
      <t>カイカケ</t>
    </rPh>
    <rPh sb="2" eb="4">
      <t>ミハライ</t>
    </rPh>
    <rPh sb="4" eb="6">
      <t>サイム</t>
    </rPh>
    <phoneticPr fontId="1"/>
  </si>
  <si>
    <t>その他流動負債</t>
    <rPh sb="2" eb="7">
      <t>タリュウドウフサイ</t>
    </rPh>
    <phoneticPr fontId="1"/>
  </si>
  <si>
    <t>有形・無形固定資産</t>
    <rPh sb="0" eb="2">
      <t>ユウケイ</t>
    </rPh>
    <rPh sb="3" eb="5">
      <t>ムケイ</t>
    </rPh>
    <rPh sb="5" eb="9">
      <t>コテイシサン</t>
    </rPh>
    <phoneticPr fontId="1"/>
  </si>
  <si>
    <t>長期借入金</t>
    <phoneticPr fontId="1"/>
  </si>
  <si>
    <t>■月次PL予実対比</t>
    <rPh sb="1" eb="3">
      <t>ゲツジ</t>
    </rPh>
    <rPh sb="5" eb="9">
      <t>ヨジツタイヒ</t>
    </rPh>
    <phoneticPr fontId="1"/>
  </si>
  <si>
    <t>累計</t>
    <rPh sb="0" eb="2">
      <t>ルイケイ</t>
    </rPh>
    <phoneticPr fontId="44"/>
  </si>
  <si>
    <t>計画</t>
  </si>
  <si>
    <t>計画</t>
    <rPh sb="0" eb="2">
      <t>ケイカク</t>
    </rPh>
    <phoneticPr fontId="44"/>
  </si>
  <si>
    <t>実績</t>
  </si>
  <si>
    <t>実績</t>
    <rPh sb="0" eb="2">
      <t>ジッセキ</t>
    </rPh>
    <phoneticPr fontId="44"/>
  </si>
  <si>
    <t>差異</t>
    <rPh sb="0" eb="2">
      <t>サイ</t>
    </rPh>
    <phoneticPr fontId="44"/>
  </si>
  <si>
    <t>計画比</t>
  </si>
  <si>
    <t>計画比</t>
    <rPh sb="0" eb="3">
      <t>ケイカクヒ</t>
    </rPh>
    <phoneticPr fontId="44"/>
  </si>
  <si>
    <t>単位：千円</t>
  </si>
  <si>
    <t>決算整理</t>
    <rPh sb="0" eb="2">
      <t>ケッサン</t>
    </rPh>
    <rPh sb="2" eb="4">
      <t>セイリ</t>
    </rPh>
    <phoneticPr fontId="44"/>
  </si>
  <si>
    <t>手入力</t>
    <rPh sb="0" eb="1">
      <t>テ</t>
    </rPh>
    <rPh sb="1" eb="3">
      <t>ニュウリョク</t>
    </rPh>
    <phoneticPr fontId="53"/>
  </si>
  <si>
    <t>R8.08</t>
  </si>
  <si>
    <t>R8.09</t>
  </si>
  <si>
    <t>R8.10</t>
  </si>
  <si>
    <t>R8.11</t>
  </si>
  <si>
    <t>R8.12</t>
  </si>
  <si>
    <t>R9.01</t>
    <phoneticPr fontId="53"/>
  </si>
  <si>
    <t>R9.02</t>
  </si>
  <si>
    <t>助成金</t>
    <rPh sb="0" eb="3">
      <t>ジョセイキン</t>
    </rPh>
    <phoneticPr fontId="53"/>
  </si>
  <si>
    <t>立替金回収</t>
    <rPh sb="0" eb="3">
      <t>タテカエキン</t>
    </rPh>
    <rPh sb="3" eb="5">
      <t>カイシュウ</t>
    </rPh>
    <phoneticPr fontId="53"/>
  </si>
  <si>
    <t>長期償還資源　営業利益+減価償却費-返済</t>
    <rPh sb="0" eb="2">
      <t>チョウキ</t>
    </rPh>
    <rPh sb="2" eb="4">
      <t>ショウカン</t>
    </rPh>
    <rPh sb="4" eb="6">
      <t>シゲン</t>
    </rPh>
    <rPh sb="7" eb="9">
      <t>エイギョウ</t>
    </rPh>
    <rPh sb="9" eb="11">
      <t>リエキ</t>
    </rPh>
    <rPh sb="12" eb="14">
      <t>ゲンカ</t>
    </rPh>
    <rPh sb="14" eb="16">
      <t>ショウキャク</t>
    </rPh>
    <rPh sb="16" eb="17">
      <t>ヒ</t>
    </rPh>
    <rPh sb="18" eb="20">
      <t>ヘンサイ</t>
    </rPh>
    <phoneticPr fontId="56"/>
  </si>
  <si>
    <t>2026.02.28開始初回のみ215,000円</t>
    <rPh sb="10" eb="12">
      <t>カイシ</t>
    </rPh>
    <rPh sb="12" eb="14">
      <t>ショカイ</t>
    </rPh>
    <rPh sb="23" eb="24">
      <t>エン</t>
    </rPh>
    <phoneticPr fontId="53"/>
  </si>
  <si>
    <t>北洋銀行①</t>
    <rPh sb="0" eb="2">
      <t>ホクヨウ</t>
    </rPh>
    <rPh sb="2" eb="4">
      <t>ギンコウ</t>
    </rPh>
    <phoneticPr fontId="53"/>
  </si>
  <si>
    <t>2026.11.02開始</t>
    <rPh sb="10" eb="12">
      <t>カイシ</t>
    </rPh>
    <phoneticPr fontId="53"/>
  </si>
  <si>
    <t>北洋銀行②</t>
    <rPh sb="0" eb="2">
      <t>ホクヨウ</t>
    </rPh>
    <rPh sb="2" eb="4">
      <t>ギンコウ</t>
    </rPh>
    <phoneticPr fontId="53"/>
  </si>
  <si>
    <t>2027.04.15開始</t>
    <rPh sb="10" eb="12">
      <t>カイシ</t>
    </rPh>
    <phoneticPr fontId="53"/>
  </si>
  <si>
    <t>北洋銀行③</t>
    <rPh sb="0" eb="2">
      <t>ホクヨウ</t>
    </rPh>
    <rPh sb="2" eb="4">
      <t>ギンコウ</t>
    </rPh>
    <phoneticPr fontId="53"/>
  </si>
  <si>
    <t>2027.04.22開始</t>
    <rPh sb="10" eb="12">
      <t>カイシ</t>
    </rPh>
    <phoneticPr fontId="53"/>
  </si>
  <si>
    <t>処理検討</t>
    <rPh sb="0" eb="4">
      <t>ショリケントウ</t>
    </rPh>
    <phoneticPr fontId="1"/>
  </si>
  <si>
    <t>除サウナ</t>
    <rPh sb="0" eb="1">
      <t>ジョ</t>
    </rPh>
    <phoneticPr fontId="44"/>
  </si>
  <si>
    <t>更新日</t>
    <rPh sb="0" eb="3">
      <t>コウシンビ</t>
    </rPh>
    <phoneticPr fontId="44"/>
  </si>
  <si>
    <t>車両運搬具</t>
    <rPh sb="0" eb="5">
      <t>シャリョウウンパング</t>
    </rPh>
    <phoneticPr fontId="1"/>
  </si>
  <si>
    <t>預託金</t>
    <rPh sb="0" eb="3">
      <t>ヨタクキン</t>
    </rPh>
    <phoneticPr fontId="1"/>
  </si>
  <si>
    <t>短期借入金</t>
    <rPh sb="0" eb="5">
      <t>タンキカリイレキン</t>
    </rPh>
    <phoneticPr fontId="1"/>
  </si>
  <si>
    <t>助成引当</t>
    <rPh sb="0" eb="4">
      <t>ジョセイヒキアテ</t>
    </rPh>
    <phoneticPr fontId="1"/>
  </si>
  <si>
    <t>研修採用費</t>
    <rPh sb="0" eb="5">
      <t>ケンシュウサイヨウヒ</t>
    </rPh>
    <phoneticPr fontId="1"/>
  </si>
  <si>
    <t>2025.9.17</t>
    <phoneticPr fontId="44"/>
  </si>
  <si>
    <t>2025.8.21</t>
    <phoneticPr fontId="44"/>
  </si>
  <si>
    <t>その他</t>
  </si>
  <si>
    <t>その他</t>
    <rPh sb="2" eb="3">
      <t>タ</t>
    </rPh>
    <phoneticPr fontId="44"/>
  </si>
  <si>
    <t>納税</t>
    <rPh sb="0" eb="2">
      <t>ノウゼイ</t>
    </rPh>
    <phoneticPr fontId="54"/>
  </si>
  <si>
    <t>消費税</t>
  </si>
  <si>
    <t>長期借入金返済</t>
  </si>
  <si>
    <t>㈱Ｓクリエイト</t>
    <phoneticPr fontId="1"/>
  </si>
  <si>
    <t>仮払金</t>
    <rPh sb="0" eb="3">
      <t>カリバライキン</t>
    </rPh>
    <phoneticPr fontId="1"/>
  </si>
  <si>
    <t>市場調査費</t>
  </si>
  <si>
    <t>市場調査費</t>
    <rPh sb="0" eb="5">
      <t>シジョウチョウサヒ</t>
    </rPh>
    <phoneticPr fontId="1"/>
  </si>
  <si>
    <t>業務委託費</t>
    <rPh sb="0" eb="5">
      <t>ギョウムイタクヒ</t>
    </rPh>
    <phoneticPr fontId="53"/>
  </si>
  <si>
    <t>投資・貸付</t>
  </si>
  <si>
    <t>消費税納付・還付</t>
  </si>
  <si>
    <t>短期貸付金</t>
  </si>
  <si>
    <t>計画利益差異</t>
    <rPh sb="0" eb="6">
      <t>ケイカクリエキサイ</t>
    </rPh>
    <phoneticPr fontId="1"/>
  </si>
  <si>
    <t>借入金返済</t>
    <rPh sb="0" eb="5">
      <t>カリイレキンヘンサイ</t>
    </rPh>
    <phoneticPr fontId="1"/>
  </si>
  <si>
    <t>R7/9ｸﾘｴｲﾄ9 未払</t>
    <rPh sb="11" eb="13">
      <t>ミハライ</t>
    </rPh>
    <phoneticPr fontId="1"/>
  </si>
  <si>
    <t>ライフワーク計画値</t>
    <rPh sb="6" eb="9">
      <t>ケイカクチ</t>
    </rPh>
    <phoneticPr fontId="44"/>
  </si>
  <si>
    <t>前月実績値</t>
    <rPh sb="0" eb="2">
      <t>ゼンゲツ</t>
    </rPh>
    <rPh sb="2" eb="4">
      <t>ジッセキ</t>
    </rPh>
    <rPh sb="4" eb="5">
      <t>チ</t>
    </rPh>
    <phoneticPr fontId="44"/>
  </si>
  <si>
    <t>■決算着地予測</t>
    <rPh sb="1" eb="7">
      <t>ケッサンチャクチヨソク</t>
    </rPh>
    <phoneticPr fontId="44"/>
  </si>
  <si>
    <t>支払消滅戻し</t>
    <rPh sb="0" eb="2">
      <t>シハライ</t>
    </rPh>
    <rPh sb="2" eb="4">
      <t>ショウメツ</t>
    </rPh>
    <rPh sb="4" eb="5">
      <t>モド</t>
    </rPh>
    <phoneticPr fontId="1"/>
  </si>
  <si>
    <t>今期実績平均</t>
    <rPh sb="0" eb="2">
      <t>コンキ</t>
    </rPh>
    <rPh sb="2" eb="4">
      <t>ジッセキ</t>
    </rPh>
    <rPh sb="4" eb="6">
      <t>ヘイキン</t>
    </rPh>
    <phoneticPr fontId="44"/>
  </si>
  <si>
    <t>信用保証料振替</t>
    <rPh sb="0" eb="5">
      <t>シンヨウホショウリョウ</t>
    </rPh>
    <rPh sb="5" eb="7">
      <t>フリカエ</t>
    </rPh>
    <phoneticPr fontId="44"/>
  </si>
  <si>
    <t>R8/6決算見込</t>
    <rPh sb="4" eb="8">
      <t>ケッサンミコ</t>
    </rPh>
    <phoneticPr fontId="44"/>
  </si>
  <si>
    <t>ﾗｲﾌﾜｰｸ未回収</t>
    <rPh sb="6" eb="9">
      <t>ミカイシュウ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</si>
</sst>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.0%"/>
    <numFmt numFmtId="177" formatCode="#,##0_ ;[Red]\-#,##0\ "/>
    <numFmt numFmtId="178" formatCode="0&quot;月&quot;"/>
    <numFmt numFmtId="179" formatCode="0&quot;ヶ&quot;&quot;月&quot;&quot;後&quot;"/>
    <numFmt numFmtId="180" formatCode="&quot;H&quot;0.00&quot;月&quot;"/>
    <numFmt numFmtId="181" formatCode="0&quot;ヶ&quot;&quot;月&quot;&quot;目&quot;"/>
  </numFmts>
  <fonts count="69">
    <font>
      <sz val="11"/>
      <color theme="1"/>
      <name val="游ゴシック"/>
      <family val="3"/>
      <charset val="128"/>
      <scheme val="minor"/>
    </font>
    <font>
      <sz val="6"/>
      <name val="游ゴシック"/>
      <family val="3"/>
      <charset val="128"/>
    </font>
    <font>
      <sz val="11"/>
      <color theme="1"/>
      <name val="游ゴシック"/>
      <family val="3"/>
      <charset val="128"/>
      <scheme val="minor"/>
    </font>
    <font>
      <sz val="11"/>
      <color theme="0"/>
      <name val="游ゴシック"/>
      <family val="3"/>
      <charset val="128"/>
      <scheme val="minor"/>
    </font>
    <font>
      <sz val="18"/>
      <color theme="3"/>
      <name val="游ゴシック Light"/>
      <family val="3"/>
      <charset val="128"/>
      <scheme val="major"/>
    </font>
    <font>
      <b/>
      <sz val="11"/>
      <color theme="0"/>
      <name val="游ゴシック"/>
      <family val="3"/>
      <charset val="128"/>
      <scheme val="minor"/>
    </font>
    <font>
      <sz val="11"/>
      <color rgb="FF9C6500"/>
      <name val="游ゴシック"/>
      <family val="3"/>
      <charset val="128"/>
      <scheme val="minor"/>
    </font>
    <font>
      <sz val="11"/>
      <color rgb="FFFA7D00"/>
      <name val="游ゴシック"/>
      <family val="3"/>
      <charset val="128"/>
      <scheme val="minor"/>
    </font>
    <font>
      <sz val="11"/>
      <color rgb="FF9C0006"/>
      <name val="游ゴシック"/>
      <family val="3"/>
      <charset val="128"/>
      <scheme val="minor"/>
    </font>
    <font>
      <b/>
      <sz val="11"/>
      <color rgb="FFFA7D00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b/>
      <sz val="15"/>
      <color theme="3"/>
      <name val="游ゴシック"/>
      <family val="3"/>
      <charset val="128"/>
      <scheme val="minor"/>
    </font>
    <font>
      <b/>
      <sz val="13"/>
      <color theme="3"/>
      <name val="游ゴシック"/>
      <family val="3"/>
      <charset val="128"/>
      <scheme val="minor"/>
    </font>
    <font>
      <b/>
      <sz val="11"/>
      <color theme="3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1"/>
      <color rgb="FF3F3F3F"/>
      <name val="游ゴシック"/>
      <family val="3"/>
      <charset val="128"/>
      <scheme val="minor"/>
    </font>
    <font>
      <i/>
      <sz val="11"/>
      <color rgb="FF7F7F7F"/>
      <name val="游ゴシック"/>
      <family val="3"/>
      <charset val="128"/>
      <scheme val="minor"/>
    </font>
    <font>
      <sz val="11"/>
      <color rgb="FF3F3F76"/>
      <name val="游ゴシック"/>
      <family val="3"/>
      <charset val="128"/>
      <scheme val="minor"/>
    </font>
    <font>
      <sz val="11"/>
      <color rgb="FF006100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i/>
      <sz val="10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b/>
      <u/>
      <sz val="10"/>
      <color theme="1"/>
      <name val="游ゴシック"/>
      <family val="3"/>
      <charset val="128"/>
      <scheme val="minor"/>
    </font>
    <font>
      <sz val="10"/>
      <color rgb="FFFF0000"/>
      <name val="游ゴシック"/>
      <family val="3"/>
      <charset val="128"/>
      <scheme val="minor"/>
    </font>
    <font>
      <sz val="11"/>
      <color theme="0" tint="-0.499984740745262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sz val="8"/>
      <color theme="0" tint="-0.34998626667073579"/>
      <name val="游ゴシック"/>
      <family val="3"/>
      <charset val="128"/>
      <scheme val="minor"/>
    </font>
    <font>
      <sz val="10"/>
      <name val="游ゴシック"/>
      <family val="3"/>
      <charset val="128"/>
      <scheme val="minor"/>
    </font>
    <font>
      <sz val="9"/>
      <name val="游ゴシック"/>
      <family val="3"/>
      <charset val="128"/>
      <scheme val="minor"/>
    </font>
    <font>
      <sz val="8"/>
      <name val="游ゴシック"/>
      <family val="3"/>
      <charset val="128"/>
      <scheme val="minor"/>
    </font>
    <font>
      <sz val="9"/>
      <color theme="1" tint="0.499984740745262"/>
      <name val="游ゴシック"/>
      <family val="3"/>
      <charset val="128"/>
      <scheme val="minor"/>
    </font>
    <font>
      <sz val="10"/>
      <color theme="1" tint="0.499984740745262"/>
      <name val="游ゴシック"/>
      <family val="3"/>
      <charset val="128"/>
      <scheme val="minor"/>
    </font>
    <font>
      <b/>
      <sz val="10"/>
      <color theme="0"/>
      <name val="游ゴシック"/>
      <family val="3"/>
      <charset val="128"/>
      <scheme val="minor"/>
    </font>
    <font>
      <sz val="10"/>
      <color rgb="FF0070C0"/>
      <name val="游ゴシック"/>
      <family val="3"/>
      <charset val="128"/>
      <scheme val="minor"/>
    </font>
    <font>
      <sz val="8"/>
      <color rgb="FFFF0000"/>
      <name val="游ゴシック"/>
      <family val="3"/>
      <charset val="128"/>
      <scheme val="minor"/>
    </font>
    <font>
      <sz val="10"/>
      <color indexed="9"/>
      <name val="ＭＳ ゴシック"/>
      <family val="3"/>
      <charset val="128"/>
    </font>
    <font>
      <b/>
      <sz val="10"/>
      <name val="ＭＳ ゴシック"/>
      <family val="3"/>
      <charset val="128"/>
    </font>
    <font>
      <sz val="10"/>
      <name val="ＭＳ ゴシック"/>
      <family val="3"/>
      <charset val="128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name val="Bookman Old Style"/>
      <family val="1"/>
    </font>
    <font>
      <sz val="10"/>
      <name val="ＭＳ Ｐゴシック"/>
      <family val="2"/>
      <charset val="128"/>
    </font>
    <font>
      <sz val="10"/>
      <name val="Arial"/>
      <family val="2"/>
    </font>
    <font>
      <sz val="6"/>
      <name val="游ゴシック"/>
      <family val="3"/>
      <charset val="128"/>
      <scheme val="minor"/>
    </font>
    <font>
      <b/>
      <sz val="10"/>
      <color rgb="FFFF0000"/>
      <name val="Arial"/>
      <family val="2"/>
    </font>
    <font>
      <b/>
      <u val="double"/>
      <sz val="16"/>
      <name val="ＭＳ Ｐゴシック"/>
      <family val="3"/>
      <charset val="128"/>
    </font>
    <font>
      <sz val="6"/>
      <name val="ＭＳ ゴシック"/>
      <family val="3"/>
      <charset val="128"/>
    </font>
    <font>
      <b/>
      <u val="double"/>
      <sz val="16"/>
      <name val="Arial"/>
      <family val="2"/>
    </font>
    <font>
      <b/>
      <u/>
      <sz val="11"/>
      <name val="ＭＳ Ｐゴシック"/>
      <family val="3"/>
      <charset val="128"/>
    </font>
    <font>
      <u/>
      <sz val="12"/>
      <name val="ＭＳ Ｐゴシック"/>
      <family val="3"/>
      <charset val="128"/>
    </font>
    <font>
      <sz val="10"/>
      <color theme="0"/>
      <name val="Arial"/>
      <family val="2"/>
    </font>
    <font>
      <sz val="10"/>
      <color theme="0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b/>
      <sz val="10"/>
      <name val="Arial"/>
      <family val="2"/>
    </font>
    <font>
      <b/>
      <sz val="10"/>
      <name val="Bookman Old Style"/>
      <family val="1"/>
    </font>
    <font>
      <sz val="6"/>
      <name val="ＭＳ Ｐゴシック"/>
      <family val="3"/>
      <charset val="128"/>
    </font>
    <font>
      <sz val="10"/>
      <color theme="0"/>
      <name val="ＭＳ ゴシック"/>
      <family val="3"/>
      <charset val="128"/>
    </font>
    <font>
      <sz val="10"/>
      <color rgb="FF0070C0"/>
      <name val="ＭＳ Ｐゴシック"/>
      <family val="3"/>
      <charset val="128"/>
    </font>
    <font>
      <sz val="10"/>
      <color rgb="FF0070C0"/>
      <name val="Bookman Old Style"/>
      <family val="1"/>
    </font>
    <font>
      <i/>
      <sz val="10"/>
      <name val="ＭＳ Ｐゴシック"/>
      <family val="3"/>
      <charset val="128"/>
    </font>
    <font>
      <sz val="10"/>
      <color rgb="FFFF0000"/>
      <name val="ＭＳ Ｐゴシック"/>
      <family val="2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10"/>
      <name val="ＭＳ Ｐ明朝"/>
      <family val="1"/>
      <charset val="128"/>
    </font>
    <font>
      <sz val="10"/>
      <color rgb="FFFF0000"/>
      <name val="Arial"/>
      <family val="2"/>
    </font>
    <font>
      <b/>
      <u/>
      <sz val="10"/>
      <color rgb="FFFF0000"/>
      <name val="Arial"/>
      <family val="2"/>
    </font>
    <font>
      <sz val="9"/>
      <color theme="0" tint="-0.499984740745262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</fonts>
  <fills count="50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208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ouble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 style="hair">
        <color auto="1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/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hair">
        <color auto="1"/>
      </top>
      <bottom/>
      <diagonal/>
    </border>
    <border>
      <left style="hair">
        <color indexed="64"/>
      </left>
      <right/>
      <top style="thin">
        <color indexed="64"/>
      </top>
      <bottom style="double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auto="1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hair">
        <color auto="1"/>
      </top>
      <bottom/>
      <diagonal/>
    </border>
    <border>
      <left/>
      <right style="hair">
        <color indexed="64"/>
      </right>
      <top style="thin">
        <color indexed="64"/>
      </top>
      <bottom style="double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auto="1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/>
      <bottom style="hair">
        <color auto="1"/>
      </bottom>
      <diagonal/>
    </border>
    <border>
      <left style="double">
        <color indexed="64"/>
      </left>
      <right style="thin">
        <color indexed="64"/>
      </right>
      <top style="hair">
        <color auto="1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rgb="FFFF0000"/>
      </left>
      <right/>
      <top style="double">
        <color rgb="FFFF0000"/>
      </top>
      <bottom style="double">
        <color indexed="64"/>
      </bottom>
      <diagonal/>
    </border>
    <border>
      <left style="thin">
        <color indexed="64"/>
      </left>
      <right style="double">
        <color rgb="FFFF0000"/>
      </right>
      <top style="double">
        <color rgb="FFFF0000"/>
      </top>
      <bottom style="double">
        <color indexed="64"/>
      </bottom>
      <diagonal/>
    </border>
    <border>
      <left style="double">
        <color rgb="FFFF0000"/>
      </left>
      <right/>
      <top/>
      <bottom/>
      <diagonal/>
    </border>
    <border>
      <left style="thin">
        <color indexed="64"/>
      </left>
      <right style="double">
        <color rgb="FFFF0000"/>
      </right>
      <top/>
      <bottom/>
      <diagonal/>
    </border>
    <border>
      <left style="double">
        <color rgb="FFFF000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rgb="FFFF0000"/>
      </right>
      <top style="thin">
        <color indexed="64"/>
      </top>
      <bottom style="thin">
        <color indexed="64"/>
      </bottom>
      <diagonal/>
    </border>
    <border>
      <left style="double">
        <color rgb="FFFF0000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rgb="FFFF0000"/>
      </right>
      <top style="thin">
        <color indexed="64"/>
      </top>
      <bottom style="double">
        <color indexed="64"/>
      </bottom>
      <diagonal/>
    </border>
    <border>
      <left style="double">
        <color rgb="FFFF0000"/>
      </left>
      <right/>
      <top style="hair">
        <color auto="1"/>
      </top>
      <bottom/>
      <diagonal/>
    </border>
    <border>
      <left style="thin">
        <color indexed="64"/>
      </left>
      <right style="double">
        <color rgb="FFFF0000"/>
      </right>
      <top style="hair">
        <color auto="1"/>
      </top>
      <bottom/>
      <diagonal/>
    </border>
    <border>
      <left style="double">
        <color rgb="FFFF0000"/>
      </left>
      <right/>
      <top/>
      <bottom style="hair">
        <color auto="1"/>
      </bottom>
      <diagonal/>
    </border>
    <border>
      <left style="thin">
        <color indexed="64"/>
      </left>
      <right style="double">
        <color rgb="FFFF0000"/>
      </right>
      <top/>
      <bottom style="hair">
        <color auto="1"/>
      </bottom>
      <diagonal/>
    </border>
    <border>
      <left style="double">
        <color rgb="FFFF0000"/>
      </left>
      <right/>
      <top style="thin">
        <color indexed="64"/>
      </top>
      <bottom style="double">
        <color rgb="FFFF0000"/>
      </bottom>
      <diagonal/>
    </border>
    <border>
      <left style="thin">
        <color indexed="64"/>
      </left>
      <right style="double">
        <color rgb="FFFF0000"/>
      </right>
      <top style="thin">
        <color indexed="64"/>
      </top>
      <bottom style="double">
        <color rgb="FFFF0000"/>
      </bottom>
      <diagonal/>
    </border>
    <border>
      <left style="double">
        <color indexed="64"/>
      </left>
      <right/>
      <top/>
      <bottom style="hair">
        <color auto="1"/>
      </bottom>
      <diagonal/>
    </border>
  </borders>
  <cellStyleXfs count="45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6" borderId="51" applyNumberFormat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2" fillId="28" borderId="52" applyNumberFormat="0" applyFont="0" applyAlignment="0" applyProtection="0">
      <alignment vertical="center"/>
    </xf>
    <xf numFmtId="0" fontId="7" fillId="0" borderId="53" applyNumberFormat="0" applyFill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9" fillId="30" borderId="54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0" fontId="11" fillId="0" borderId="55" applyNumberFormat="0" applyFill="0" applyAlignment="0" applyProtection="0">
      <alignment vertical="center"/>
    </xf>
    <xf numFmtId="0" fontId="12" fillId="0" borderId="56" applyNumberFormat="0" applyFill="0" applyAlignment="0" applyProtection="0">
      <alignment vertical="center"/>
    </xf>
    <xf numFmtId="0" fontId="13" fillId="0" borderId="5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8" applyNumberFormat="0" applyFill="0" applyAlignment="0" applyProtection="0">
      <alignment vertical="center"/>
    </xf>
    <xf numFmtId="0" fontId="15" fillId="30" borderId="59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1" borderId="54" applyNumberFormat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38" fillId="0" borderId="0">
      <alignment vertical="center"/>
    </xf>
    <xf numFmtId="38" fontId="38" fillId="0" borderId="0" applyFont="0" applyFill="0" applyBorder="0" applyAlignment="0" applyProtection="0">
      <alignment vertical="center"/>
    </xf>
  </cellStyleXfs>
  <cellXfs count="625">
    <xf numFmtId="0" fontId="0" fillId="0" borderId="0" xfId="0">
      <alignment vertical="center"/>
    </xf>
    <xf numFmtId="0" fontId="19" fillId="0" borderId="0" xfId="0" applyFont="1">
      <alignment vertical="center"/>
    </xf>
    <xf numFmtId="38" fontId="19" fillId="0" borderId="0" xfId="33" applyFont="1">
      <alignment vertical="center"/>
    </xf>
    <xf numFmtId="0" fontId="19" fillId="0" borderId="2" xfId="0" applyFont="1" applyBorder="1">
      <alignment vertical="center"/>
    </xf>
    <xf numFmtId="0" fontId="19" fillId="0" borderId="3" xfId="0" applyFont="1" applyBorder="1">
      <alignment vertical="center"/>
    </xf>
    <xf numFmtId="0" fontId="19" fillId="0" borderId="4" xfId="0" applyFont="1" applyBorder="1">
      <alignment vertical="center"/>
    </xf>
    <xf numFmtId="0" fontId="19" fillId="0" borderId="5" xfId="0" applyFont="1" applyBorder="1">
      <alignment vertical="center"/>
    </xf>
    <xf numFmtId="0" fontId="19" fillId="0" borderId="6" xfId="0" applyFont="1" applyBorder="1">
      <alignment vertical="center"/>
    </xf>
    <xf numFmtId="0" fontId="19" fillId="0" borderId="7" xfId="0" applyFont="1" applyBorder="1">
      <alignment vertical="center"/>
    </xf>
    <xf numFmtId="38" fontId="19" fillId="0" borderId="9" xfId="33" applyFont="1" applyBorder="1">
      <alignment vertical="center"/>
    </xf>
    <xf numFmtId="38" fontId="19" fillId="0" borderId="3" xfId="33" applyFont="1" applyBorder="1">
      <alignment vertical="center"/>
    </xf>
    <xf numFmtId="38" fontId="21" fillId="0" borderId="0" xfId="33" applyFont="1">
      <alignment vertical="center"/>
    </xf>
    <xf numFmtId="38" fontId="22" fillId="0" borderId="0" xfId="33" applyFont="1">
      <alignment vertical="center"/>
    </xf>
    <xf numFmtId="176" fontId="19" fillId="0" borderId="0" xfId="0" applyNumberFormat="1" applyFont="1">
      <alignment vertical="center"/>
    </xf>
    <xf numFmtId="38" fontId="19" fillId="33" borderId="0" xfId="33" applyFont="1" applyFill="1" applyAlignment="1">
      <alignment horizontal="center" vertical="center"/>
    </xf>
    <xf numFmtId="38" fontId="19" fillId="34" borderId="0" xfId="33" applyFont="1" applyFill="1" applyAlignment="1">
      <alignment horizontal="center" vertical="center"/>
    </xf>
    <xf numFmtId="38" fontId="19" fillId="35" borderId="0" xfId="33" applyFont="1" applyFill="1" applyAlignment="1">
      <alignment horizontal="center" vertical="center"/>
    </xf>
    <xf numFmtId="38" fontId="23" fillId="0" borderId="20" xfId="33" applyFont="1" applyBorder="1" applyAlignment="1">
      <alignment horizontal="center" vertical="center"/>
    </xf>
    <xf numFmtId="38" fontId="2" fillId="0" borderId="0" xfId="33" applyFont="1">
      <alignment vertical="center"/>
    </xf>
    <xf numFmtId="38" fontId="0" fillId="0" borderId="0" xfId="0" applyNumberFormat="1">
      <alignment vertical="center"/>
    </xf>
    <xf numFmtId="0" fontId="24" fillId="0" borderId="0" xfId="0" applyFont="1">
      <alignment vertical="center"/>
    </xf>
    <xf numFmtId="0" fontId="0" fillId="0" borderId="8" xfId="0" applyBorder="1">
      <alignment vertical="center"/>
    </xf>
    <xf numFmtId="38" fontId="2" fillId="0" borderId="8" xfId="33" applyFont="1" applyBorder="1">
      <alignment vertical="center"/>
    </xf>
    <xf numFmtId="0" fontId="24" fillId="0" borderId="8" xfId="0" applyFont="1" applyBorder="1">
      <alignment vertical="center"/>
    </xf>
    <xf numFmtId="0" fontId="19" fillId="0" borderId="21" xfId="0" applyFont="1" applyBorder="1" applyAlignment="1">
      <alignment horizontal="right" vertical="center"/>
    </xf>
    <xf numFmtId="0" fontId="19" fillId="0" borderId="22" xfId="0" applyFont="1" applyBorder="1" applyAlignment="1">
      <alignment horizontal="right" vertical="center"/>
    </xf>
    <xf numFmtId="0" fontId="19" fillId="0" borderId="23" xfId="0" applyFont="1" applyBorder="1" applyAlignment="1">
      <alignment horizontal="right" vertical="center"/>
    </xf>
    <xf numFmtId="0" fontId="19" fillId="0" borderId="24" xfId="0" applyFont="1" applyBorder="1" applyAlignment="1">
      <alignment horizontal="right" vertical="center"/>
    </xf>
    <xf numFmtId="0" fontId="19" fillId="0" borderId="0" xfId="0" applyFont="1" applyAlignment="1">
      <alignment horizontal="right" vertical="center"/>
    </xf>
    <xf numFmtId="0" fontId="19" fillId="0" borderId="25" xfId="0" applyFont="1" applyBorder="1" applyAlignment="1">
      <alignment horizontal="right" vertical="center"/>
    </xf>
    <xf numFmtId="0" fontId="19" fillId="0" borderId="26" xfId="0" applyFont="1" applyBorder="1">
      <alignment vertical="center"/>
    </xf>
    <xf numFmtId="0" fontId="19" fillId="0" borderId="5" xfId="0" applyFont="1" applyBorder="1" applyAlignment="1">
      <alignment horizontal="right" vertical="center"/>
    </xf>
    <xf numFmtId="0" fontId="21" fillId="0" borderId="0" xfId="0" applyFont="1">
      <alignment vertical="center"/>
    </xf>
    <xf numFmtId="177" fontId="22" fillId="0" borderId="0" xfId="33" applyNumberFormat="1" applyFont="1">
      <alignment vertical="center"/>
    </xf>
    <xf numFmtId="177" fontId="19" fillId="0" borderId="0" xfId="33" applyNumberFormat="1" applyFont="1">
      <alignment vertical="center"/>
    </xf>
    <xf numFmtId="177" fontId="19" fillId="0" borderId="29" xfId="33" applyNumberFormat="1" applyFont="1" applyBorder="1">
      <alignment vertical="center"/>
    </xf>
    <xf numFmtId="177" fontId="19" fillId="0" borderId="30" xfId="33" applyNumberFormat="1" applyFont="1" applyBorder="1">
      <alignment vertical="center"/>
    </xf>
    <xf numFmtId="38" fontId="19" fillId="0" borderId="4" xfId="33" applyFont="1" applyFill="1" applyBorder="1">
      <alignment vertical="center"/>
    </xf>
    <xf numFmtId="176" fontId="20" fillId="0" borderId="14" xfId="33" applyNumberFormat="1" applyFont="1" applyFill="1" applyBorder="1">
      <alignment vertical="center"/>
    </xf>
    <xf numFmtId="177" fontId="19" fillId="35" borderId="0" xfId="33" applyNumberFormat="1" applyFont="1" applyFill="1" applyAlignment="1">
      <alignment horizontal="center" vertical="center"/>
    </xf>
    <xf numFmtId="177" fontId="19" fillId="33" borderId="0" xfId="33" applyNumberFormat="1" applyFont="1" applyFill="1" applyAlignment="1">
      <alignment horizontal="center" vertical="center"/>
    </xf>
    <xf numFmtId="177" fontId="19" fillId="34" borderId="0" xfId="33" applyNumberFormat="1" applyFont="1" applyFill="1" applyAlignment="1">
      <alignment horizontal="center" vertical="center"/>
    </xf>
    <xf numFmtId="177" fontId="19" fillId="0" borderId="0" xfId="33" applyNumberFormat="1" applyFont="1" applyFill="1">
      <alignment vertical="center"/>
    </xf>
    <xf numFmtId="177" fontId="19" fillId="0" borderId="33" xfId="33" applyNumberFormat="1" applyFont="1" applyFill="1" applyBorder="1">
      <alignment vertical="center"/>
    </xf>
    <xf numFmtId="177" fontId="19" fillId="0" borderId="34" xfId="33" applyNumberFormat="1" applyFont="1" applyFill="1" applyBorder="1">
      <alignment vertical="center"/>
    </xf>
    <xf numFmtId="0" fontId="25" fillId="0" borderId="0" xfId="0" applyFont="1">
      <alignment vertical="center"/>
    </xf>
    <xf numFmtId="0" fontId="14" fillId="0" borderId="0" xfId="0" applyFont="1">
      <alignment vertical="center"/>
    </xf>
    <xf numFmtId="177" fontId="25" fillId="0" borderId="0" xfId="33" applyNumberFormat="1" applyFont="1">
      <alignment vertical="center"/>
    </xf>
    <xf numFmtId="0" fontId="25" fillId="0" borderId="21" xfId="0" applyFont="1" applyBorder="1">
      <alignment vertical="center"/>
    </xf>
    <xf numFmtId="0" fontId="25" fillId="0" borderId="0" xfId="0" applyFont="1" applyAlignment="1">
      <alignment horizontal="right" vertical="center"/>
    </xf>
    <xf numFmtId="0" fontId="25" fillId="0" borderId="1" xfId="0" applyFont="1" applyBorder="1">
      <alignment vertical="center"/>
    </xf>
    <xf numFmtId="0" fontId="25" fillId="0" borderId="1" xfId="0" applyFont="1" applyBorder="1" applyAlignment="1">
      <alignment horizontal="right" vertical="center"/>
    </xf>
    <xf numFmtId="177" fontId="25" fillId="0" borderId="41" xfId="33" applyNumberFormat="1" applyFont="1" applyBorder="1">
      <alignment vertical="center"/>
    </xf>
    <xf numFmtId="177" fontId="25" fillId="0" borderId="42" xfId="33" applyNumberFormat="1" applyFont="1" applyBorder="1">
      <alignment vertical="center"/>
    </xf>
    <xf numFmtId="0" fontId="26" fillId="0" borderId="0" xfId="0" applyFont="1">
      <alignment vertical="center"/>
    </xf>
    <xf numFmtId="38" fontId="19" fillId="0" borderId="0" xfId="33" applyFont="1" applyBorder="1">
      <alignment vertical="center"/>
    </xf>
    <xf numFmtId="0" fontId="19" fillId="36" borderId="8" xfId="0" applyFont="1" applyFill="1" applyBorder="1">
      <alignment vertical="center"/>
    </xf>
    <xf numFmtId="176" fontId="19" fillId="36" borderId="8" xfId="33" applyNumberFormat="1" applyFont="1" applyFill="1" applyBorder="1">
      <alignment vertical="center"/>
    </xf>
    <xf numFmtId="38" fontId="19" fillId="36" borderId="17" xfId="33" applyFont="1" applyFill="1" applyBorder="1">
      <alignment vertical="center"/>
    </xf>
    <xf numFmtId="38" fontId="21" fillId="0" borderId="9" xfId="33" applyFont="1" applyBorder="1">
      <alignment vertical="center"/>
    </xf>
    <xf numFmtId="38" fontId="21" fillId="0" borderId="0" xfId="33" applyFont="1" applyBorder="1">
      <alignment vertical="center"/>
    </xf>
    <xf numFmtId="38" fontId="19" fillId="36" borderId="19" xfId="33" applyFont="1" applyFill="1" applyBorder="1">
      <alignment vertical="center"/>
    </xf>
    <xf numFmtId="38" fontId="21" fillId="0" borderId="3" xfId="33" applyFont="1" applyBorder="1">
      <alignment vertical="center"/>
    </xf>
    <xf numFmtId="177" fontId="25" fillId="0" borderId="30" xfId="33" applyNumberFormat="1" applyFont="1" applyFill="1" applyBorder="1">
      <alignment vertical="center"/>
    </xf>
    <xf numFmtId="177" fontId="19" fillId="0" borderId="32" xfId="33" applyNumberFormat="1" applyFont="1" applyFill="1" applyBorder="1">
      <alignment vertical="center"/>
    </xf>
    <xf numFmtId="0" fontId="27" fillId="0" borderId="50" xfId="0" applyFont="1" applyBorder="1" applyAlignment="1">
      <alignment horizontal="right" vertical="center"/>
    </xf>
    <xf numFmtId="177" fontId="27" fillId="0" borderId="50" xfId="33" applyNumberFormat="1" applyFont="1" applyBorder="1" applyAlignment="1">
      <alignment horizontal="right" vertical="center"/>
    </xf>
    <xf numFmtId="0" fontId="27" fillId="0" borderId="0" xfId="0" applyFont="1" applyAlignment="1">
      <alignment horizontal="right" vertical="center"/>
    </xf>
    <xf numFmtId="38" fontId="19" fillId="0" borderId="0" xfId="33" applyFont="1" applyFill="1">
      <alignment vertical="center"/>
    </xf>
    <xf numFmtId="38" fontId="25" fillId="0" borderId="3" xfId="33" applyFont="1" applyFill="1" applyBorder="1">
      <alignment vertical="center"/>
    </xf>
    <xf numFmtId="176" fontId="25" fillId="0" borderId="10" xfId="33" applyNumberFormat="1" applyFont="1" applyFill="1" applyBorder="1">
      <alignment vertical="center"/>
    </xf>
    <xf numFmtId="38" fontId="19" fillId="0" borderId="2" xfId="33" applyFont="1" applyFill="1" applyBorder="1">
      <alignment vertical="center"/>
    </xf>
    <xf numFmtId="176" fontId="19" fillId="0" borderId="12" xfId="33" applyNumberFormat="1" applyFont="1" applyFill="1" applyBorder="1">
      <alignment vertical="center"/>
    </xf>
    <xf numFmtId="176" fontId="19" fillId="0" borderId="14" xfId="33" applyNumberFormat="1" applyFont="1" applyFill="1" applyBorder="1">
      <alignment vertical="center"/>
    </xf>
    <xf numFmtId="38" fontId="19" fillId="0" borderId="3" xfId="33" applyFont="1" applyFill="1" applyBorder="1">
      <alignment vertical="center"/>
    </xf>
    <xf numFmtId="176" fontId="19" fillId="0" borderId="10" xfId="33" applyNumberFormat="1" applyFont="1" applyFill="1" applyBorder="1">
      <alignment vertical="center"/>
    </xf>
    <xf numFmtId="38" fontId="19" fillId="0" borderId="7" xfId="33" applyFont="1" applyFill="1" applyBorder="1">
      <alignment vertical="center"/>
    </xf>
    <xf numFmtId="176" fontId="20" fillId="0" borderId="16" xfId="33" applyNumberFormat="1" applyFont="1" applyFill="1" applyBorder="1">
      <alignment vertical="center"/>
    </xf>
    <xf numFmtId="176" fontId="19" fillId="0" borderId="16" xfId="33" applyNumberFormat="1" applyFont="1" applyFill="1" applyBorder="1">
      <alignment vertical="center"/>
    </xf>
    <xf numFmtId="38" fontId="25" fillId="0" borderId="45" xfId="33" applyFont="1" applyFill="1" applyBorder="1">
      <alignment vertical="center"/>
    </xf>
    <xf numFmtId="176" fontId="25" fillId="0" borderId="44" xfId="33" applyNumberFormat="1" applyFont="1" applyFill="1" applyBorder="1">
      <alignment vertical="center"/>
    </xf>
    <xf numFmtId="38" fontId="19" fillId="0" borderId="19" xfId="33" applyFont="1" applyFill="1" applyBorder="1">
      <alignment vertical="center"/>
    </xf>
    <xf numFmtId="176" fontId="19" fillId="0" borderId="18" xfId="33" applyNumberFormat="1" applyFont="1" applyFill="1" applyBorder="1">
      <alignment vertical="center"/>
    </xf>
    <xf numFmtId="38" fontId="19" fillId="0" borderId="48" xfId="33" applyFont="1" applyFill="1" applyBorder="1">
      <alignment vertical="center"/>
    </xf>
    <xf numFmtId="38" fontId="19" fillId="0" borderId="10" xfId="33" applyFont="1" applyFill="1" applyBorder="1">
      <alignment vertical="center"/>
    </xf>
    <xf numFmtId="38" fontId="21" fillId="0" borderId="3" xfId="33" applyFont="1" applyFill="1" applyBorder="1">
      <alignment vertical="center"/>
    </xf>
    <xf numFmtId="38" fontId="21" fillId="0" borderId="0" xfId="33" applyFont="1" applyFill="1">
      <alignment vertical="center"/>
    </xf>
    <xf numFmtId="177" fontId="25" fillId="0" borderId="29" xfId="33" applyNumberFormat="1" applyFont="1" applyFill="1" applyBorder="1">
      <alignment vertical="center"/>
    </xf>
    <xf numFmtId="177" fontId="19" fillId="0" borderId="31" xfId="33" applyNumberFormat="1" applyFont="1" applyFill="1" applyBorder="1">
      <alignment vertical="center"/>
    </xf>
    <xf numFmtId="177" fontId="19" fillId="0" borderId="35" xfId="33" applyNumberFormat="1" applyFont="1" applyFill="1" applyBorder="1">
      <alignment vertical="center"/>
    </xf>
    <xf numFmtId="177" fontId="19" fillId="0" borderId="36" xfId="33" applyNumberFormat="1" applyFont="1" applyFill="1" applyBorder="1">
      <alignment vertical="center"/>
    </xf>
    <xf numFmtId="177" fontId="19" fillId="0" borderId="37" xfId="33" applyNumberFormat="1" applyFont="1" applyFill="1" applyBorder="1">
      <alignment vertical="center"/>
    </xf>
    <xf numFmtId="177" fontId="19" fillId="0" borderId="38" xfId="33" applyNumberFormat="1" applyFont="1" applyFill="1" applyBorder="1">
      <alignment vertical="center"/>
    </xf>
    <xf numFmtId="177" fontId="19" fillId="0" borderId="29" xfId="33" applyNumberFormat="1" applyFont="1" applyFill="1" applyBorder="1">
      <alignment vertical="center"/>
    </xf>
    <xf numFmtId="177" fontId="19" fillId="0" borderId="30" xfId="33" applyNumberFormat="1" applyFont="1" applyFill="1" applyBorder="1">
      <alignment vertical="center"/>
    </xf>
    <xf numFmtId="177" fontId="19" fillId="0" borderId="39" xfId="33" applyNumberFormat="1" applyFont="1" applyFill="1" applyBorder="1">
      <alignment vertical="center"/>
    </xf>
    <xf numFmtId="177" fontId="19" fillId="0" borderId="40" xfId="33" applyNumberFormat="1" applyFont="1" applyFill="1" applyBorder="1">
      <alignment vertical="center"/>
    </xf>
    <xf numFmtId="38" fontId="19" fillId="0" borderId="3" xfId="33" applyFont="1" applyFill="1" applyBorder="1" applyAlignment="1">
      <alignment horizontal="left" vertical="center" indent="1"/>
    </xf>
    <xf numFmtId="38" fontId="30" fillId="0" borderId="3" xfId="33" applyFont="1" applyFill="1" applyBorder="1" applyAlignment="1">
      <alignment horizontal="right" vertical="center"/>
    </xf>
    <xf numFmtId="177" fontId="19" fillId="0" borderId="0" xfId="33" applyNumberFormat="1" applyFont="1" applyAlignment="1">
      <alignment vertical="center"/>
    </xf>
    <xf numFmtId="0" fontId="19" fillId="0" borderId="0" xfId="0" applyFont="1" applyAlignment="1">
      <alignment horizontal="left" vertical="center"/>
    </xf>
    <xf numFmtId="0" fontId="31" fillId="0" borderId="0" xfId="0" applyFont="1">
      <alignment vertical="center"/>
    </xf>
    <xf numFmtId="177" fontId="31" fillId="0" borderId="0" xfId="33" applyNumberFormat="1" applyFont="1">
      <alignment vertical="center"/>
    </xf>
    <xf numFmtId="177" fontId="31" fillId="0" borderId="0" xfId="33" applyNumberFormat="1" applyFont="1" applyAlignment="1">
      <alignment horizontal="right" vertical="center"/>
    </xf>
    <xf numFmtId="177" fontId="32" fillId="0" borderId="0" xfId="33" applyNumberFormat="1" applyFont="1">
      <alignment vertical="center"/>
    </xf>
    <xf numFmtId="0" fontId="32" fillId="0" borderId="0" xfId="0" applyFont="1">
      <alignment vertical="center"/>
    </xf>
    <xf numFmtId="38" fontId="19" fillId="0" borderId="62" xfId="33" applyFont="1" applyFill="1" applyBorder="1">
      <alignment vertical="center"/>
    </xf>
    <xf numFmtId="177" fontId="29" fillId="0" borderId="0" xfId="33" applyNumberFormat="1" applyFont="1">
      <alignment vertical="center"/>
    </xf>
    <xf numFmtId="38" fontId="33" fillId="38" borderId="1" xfId="33" applyFont="1" applyFill="1" applyBorder="1" applyAlignment="1">
      <alignment horizontal="center" vertical="center"/>
    </xf>
    <xf numFmtId="38" fontId="33" fillId="38" borderId="42" xfId="33" applyFont="1" applyFill="1" applyBorder="1" applyAlignment="1">
      <alignment horizontal="center" vertical="center"/>
    </xf>
    <xf numFmtId="38" fontId="19" fillId="0" borderId="30" xfId="33" applyFont="1" applyBorder="1">
      <alignment vertical="center"/>
    </xf>
    <xf numFmtId="38" fontId="19" fillId="0" borderId="8" xfId="33" applyFont="1" applyBorder="1">
      <alignment vertical="center"/>
    </xf>
    <xf numFmtId="38" fontId="34" fillId="0" borderId="8" xfId="33" applyFont="1" applyBorder="1">
      <alignment vertical="center"/>
    </xf>
    <xf numFmtId="38" fontId="19" fillId="0" borderId="1" xfId="33" applyFont="1" applyBorder="1">
      <alignment vertical="center"/>
    </xf>
    <xf numFmtId="38" fontId="34" fillId="0" borderId="1" xfId="33" applyFont="1" applyBorder="1">
      <alignment vertical="center"/>
    </xf>
    <xf numFmtId="38" fontId="34" fillId="0" borderId="30" xfId="33" applyFont="1" applyBorder="1">
      <alignment vertical="center"/>
    </xf>
    <xf numFmtId="38" fontId="34" fillId="0" borderId="60" xfId="33" applyFont="1" applyBorder="1">
      <alignment vertical="center"/>
    </xf>
    <xf numFmtId="38" fontId="34" fillId="0" borderId="42" xfId="33" applyFont="1" applyBorder="1">
      <alignment vertical="center"/>
    </xf>
    <xf numFmtId="38" fontId="34" fillId="0" borderId="0" xfId="33" applyFont="1">
      <alignment vertical="center"/>
    </xf>
    <xf numFmtId="0" fontId="19" fillId="39" borderId="0" xfId="0" applyFont="1" applyFill="1" applyAlignment="1">
      <alignment horizontal="center" vertical="center"/>
    </xf>
    <xf numFmtId="38" fontId="28" fillId="0" borderId="0" xfId="33" applyFont="1">
      <alignment vertical="center"/>
    </xf>
    <xf numFmtId="38" fontId="21" fillId="0" borderId="3" xfId="33" applyFont="1" applyFill="1" applyBorder="1" applyAlignment="1">
      <alignment horizontal="right" vertical="center"/>
    </xf>
    <xf numFmtId="178" fontId="33" fillId="38" borderId="1" xfId="33" applyNumberFormat="1" applyFont="1" applyFill="1" applyBorder="1" applyAlignment="1">
      <alignment horizontal="center" vertical="center"/>
    </xf>
    <xf numFmtId="38" fontId="19" fillId="0" borderId="3" xfId="33" applyFont="1" applyFill="1" applyBorder="1" applyAlignment="1">
      <alignment horizontal="right" vertical="center"/>
    </xf>
    <xf numFmtId="38" fontId="2" fillId="0" borderId="30" xfId="33" applyFont="1" applyBorder="1">
      <alignment vertical="center"/>
    </xf>
    <xf numFmtId="38" fontId="2" fillId="0" borderId="60" xfId="33" applyFont="1" applyBorder="1">
      <alignment vertical="center"/>
    </xf>
    <xf numFmtId="38" fontId="21" fillId="0" borderId="0" xfId="33" applyFont="1" applyFill="1" applyBorder="1">
      <alignment vertical="center"/>
    </xf>
    <xf numFmtId="38" fontId="29" fillId="0" borderId="3" xfId="33" applyFont="1" applyFill="1" applyBorder="1" applyAlignment="1">
      <alignment horizontal="right" vertical="center"/>
    </xf>
    <xf numFmtId="0" fontId="0" fillId="0" borderId="30" xfId="0" applyBorder="1">
      <alignment vertical="center"/>
    </xf>
    <xf numFmtId="38" fontId="0" fillId="0" borderId="8" xfId="0" applyNumberFormat="1" applyBorder="1">
      <alignment vertical="center"/>
    </xf>
    <xf numFmtId="0" fontId="24" fillId="0" borderId="25" xfId="0" applyFont="1" applyBorder="1">
      <alignment vertical="center"/>
    </xf>
    <xf numFmtId="0" fontId="0" fillId="39" borderId="8" xfId="0" applyFill="1" applyBorder="1">
      <alignment vertical="center"/>
    </xf>
    <xf numFmtId="38" fontId="0" fillId="39" borderId="8" xfId="0" applyNumberFormat="1" applyFill="1" applyBorder="1">
      <alignment vertical="center"/>
    </xf>
    <xf numFmtId="38" fontId="2" fillId="39" borderId="60" xfId="33" applyFont="1" applyFill="1" applyBorder="1">
      <alignment vertical="center"/>
    </xf>
    <xf numFmtId="38" fontId="2" fillId="39" borderId="8" xfId="33" applyFont="1" applyFill="1" applyBorder="1">
      <alignment vertical="center"/>
    </xf>
    <xf numFmtId="178" fontId="0" fillId="37" borderId="1" xfId="0" applyNumberFormat="1" applyFill="1" applyBorder="1" applyAlignment="1">
      <alignment horizontal="center" vertical="center"/>
    </xf>
    <xf numFmtId="178" fontId="0" fillId="37" borderId="42" xfId="0" applyNumberFormat="1" applyFill="1" applyBorder="1" applyAlignment="1">
      <alignment horizontal="center" vertical="center"/>
    </xf>
    <xf numFmtId="178" fontId="2" fillId="37" borderId="1" xfId="33" applyNumberFormat="1" applyFont="1" applyFill="1" applyBorder="1" applyAlignment="1">
      <alignment horizontal="center" vertical="center"/>
    </xf>
    <xf numFmtId="0" fontId="0" fillId="40" borderId="1" xfId="0" applyFill="1" applyBorder="1">
      <alignment vertical="center"/>
    </xf>
    <xf numFmtId="38" fontId="0" fillId="40" borderId="1" xfId="0" applyNumberFormat="1" applyFill="1" applyBorder="1">
      <alignment vertical="center"/>
    </xf>
    <xf numFmtId="38" fontId="2" fillId="40" borderId="42" xfId="33" applyFont="1" applyFill="1" applyBorder="1">
      <alignment vertical="center"/>
    </xf>
    <xf numFmtId="38" fontId="2" fillId="40" borderId="1" xfId="33" applyFont="1" applyFill="1" applyBorder="1">
      <alignment vertical="center"/>
    </xf>
    <xf numFmtId="0" fontId="0" fillId="40" borderId="25" xfId="0" applyFill="1" applyBorder="1">
      <alignment vertical="center"/>
    </xf>
    <xf numFmtId="38" fontId="0" fillId="40" borderId="25" xfId="0" applyNumberFormat="1" applyFill="1" applyBorder="1">
      <alignment vertical="center"/>
    </xf>
    <xf numFmtId="38" fontId="2" fillId="40" borderId="38" xfId="33" applyFont="1" applyFill="1" applyBorder="1">
      <alignment vertical="center"/>
    </xf>
    <xf numFmtId="38" fontId="2" fillId="40" borderId="25" xfId="33" applyFont="1" applyFill="1" applyBorder="1">
      <alignment vertical="center"/>
    </xf>
    <xf numFmtId="38" fontId="25" fillId="0" borderId="9" xfId="33" applyFont="1" applyFill="1" applyBorder="1">
      <alignment vertical="center"/>
    </xf>
    <xf numFmtId="38" fontId="19" fillId="0" borderId="13" xfId="33" applyFont="1" applyFill="1" applyBorder="1">
      <alignment vertical="center"/>
    </xf>
    <xf numFmtId="0" fontId="19" fillId="0" borderId="63" xfId="0" applyFont="1" applyBorder="1">
      <alignment vertical="center"/>
    </xf>
    <xf numFmtId="38" fontId="19" fillId="0" borderId="9" xfId="33" applyFont="1" applyFill="1" applyBorder="1">
      <alignment vertical="center"/>
    </xf>
    <xf numFmtId="38" fontId="19" fillId="0" borderId="15" xfId="33" applyFont="1" applyFill="1" applyBorder="1">
      <alignment vertical="center"/>
    </xf>
    <xf numFmtId="38" fontId="25" fillId="0" borderId="43" xfId="33" applyFont="1" applyFill="1" applyBorder="1">
      <alignment vertical="center"/>
    </xf>
    <xf numFmtId="0" fontId="19" fillId="0" borderId="50" xfId="0" applyFont="1" applyBorder="1">
      <alignment vertical="center"/>
    </xf>
    <xf numFmtId="38" fontId="19" fillId="0" borderId="61" xfId="33" applyFont="1" applyFill="1" applyBorder="1">
      <alignment vertical="center"/>
    </xf>
    <xf numFmtId="38" fontId="19" fillId="0" borderId="50" xfId="33" applyFont="1" applyFill="1" applyBorder="1">
      <alignment vertical="center"/>
    </xf>
    <xf numFmtId="0" fontId="19" fillId="0" borderId="8" xfId="0" applyFont="1" applyBorder="1">
      <alignment vertical="center"/>
    </xf>
    <xf numFmtId="38" fontId="19" fillId="0" borderId="17" xfId="33" applyFont="1" applyFill="1" applyBorder="1">
      <alignment vertical="center"/>
    </xf>
    <xf numFmtId="0" fontId="19" fillId="0" borderId="46" xfId="0" applyFont="1" applyBorder="1">
      <alignment vertical="center"/>
    </xf>
    <xf numFmtId="38" fontId="19" fillId="0" borderId="47" xfId="33" applyFont="1" applyFill="1" applyBorder="1">
      <alignment vertical="center"/>
    </xf>
    <xf numFmtId="38" fontId="19" fillId="0" borderId="46" xfId="33" applyFont="1" applyFill="1" applyBorder="1">
      <alignment vertical="center"/>
    </xf>
    <xf numFmtId="176" fontId="19" fillId="0" borderId="0" xfId="33" applyNumberFormat="1" applyFont="1" applyFill="1" applyBorder="1">
      <alignment vertical="center"/>
    </xf>
    <xf numFmtId="38" fontId="19" fillId="0" borderId="0" xfId="33" applyFont="1" applyFill="1" applyBorder="1">
      <alignment vertical="center"/>
    </xf>
    <xf numFmtId="38" fontId="19" fillId="0" borderId="66" xfId="33" applyFont="1" applyBorder="1">
      <alignment vertical="center"/>
    </xf>
    <xf numFmtId="38" fontId="19" fillId="0" borderId="68" xfId="33" applyFont="1" applyBorder="1">
      <alignment vertical="center"/>
    </xf>
    <xf numFmtId="38" fontId="19" fillId="41" borderId="66" xfId="33" applyFont="1" applyFill="1" applyBorder="1">
      <alignment vertical="center"/>
    </xf>
    <xf numFmtId="38" fontId="28" fillId="41" borderId="66" xfId="33" applyFont="1" applyFill="1" applyBorder="1">
      <alignment vertical="center"/>
    </xf>
    <xf numFmtId="38" fontId="34" fillId="41" borderId="67" xfId="33" applyFont="1" applyFill="1" applyBorder="1">
      <alignment vertical="center"/>
    </xf>
    <xf numFmtId="38" fontId="19" fillId="41" borderId="0" xfId="33" applyFont="1" applyFill="1" applyBorder="1">
      <alignment vertical="center"/>
    </xf>
    <xf numFmtId="38" fontId="28" fillId="41" borderId="0" xfId="33" applyFont="1" applyFill="1" applyBorder="1">
      <alignment vertical="center"/>
    </xf>
    <xf numFmtId="38" fontId="34" fillId="41" borderId="30" xfId="33" applyFont="1" applyFill="1" applyBorder="1">
      <alignment vertical="center"/>
    </xf>
    <xf numFmtId="38" fontId="19" fillId="41" borderId="68" xfId="33" applyFont="1" applyFill="1" applyBorder="1">
      <alignment vertical="center"/>
    </xf>
    <xf numFmtId="38" fontId="28" fillId="41" borderId="68" xfId="33" applyFont="1" applyFill="1" applyBorder="1">
      <alignment vertical="center"/>
    </xf>
    <xf numFmtId="38" fontId="34" fillId="41" borderId="69" xfId="33" applyFont="1" applyFill="1" applyBorder="1">
      <alignment vertical="center"/>
    </xf>
    <xf numFmtId="38" fontId="19" fillId="41" borderId="0" xfId="33" applyFont="1" applyFill="1">
      <alignment vertical="center"/>
    </xf>
    <xf numFmtId="38" fontId="28" fillId="41" borderId="0" xfId="33" applyFont="1" applyFill="1">
      <alignment vertical="center"/>
    </xf>
    <xf numFmtId="0" fontId="20" fillId="0" borderId="0" xfId="0" applyFont="1">
      <alignment vertical="center"/>
    </xf>
    <xf numFmtId="0" fontId="20" fillId="0" borderId="4" xfId="0" applyFont="1" applyBorder="1">
      <alignment vertical="center"/>
    </xf>
    <xf numFmtId="38" fontId="20" fillId="0" borderId="13" xfId="33" applyFont="1" applyFill="1" applyBorder="1">
      <alignment vertical="center"/>
    </xf>
    <xf numFmtId="38" fontId="20" fillId="0" borderId="4" xfId="33" applyFont="1" applyFill="1" applyBorder="1">
      <alignment vertical="center"/>
    </xf>
    <xf numFmtId="0" fontId="20" fillId="0" borderId="5" xfId="0" applyFont="1" applyBorder="1">
      <alignment vertical="center"/>
    </xf>
    <xf numFmtId="0" fontId="20" fillId="0" borderId="7" xfId="0" applyFont="1" applyBorder="1">
      <alignment vertical="center"/>
    </xf>
    <xf numFmtId="38" fontId="20" fillId="0" borderId="15" xfId="33" applyFont="1" applyFill="1" applyBorder="1">
      <alignment vertical="center"/>
    </xf>
    <xf numFmtId="38" fontId="20" fillId="0" borderId="7" xfId="33" applyFont="1" applyFill="1" applyBorder="1">
      <alignment vertical="center"/>
    </xf>
    <xf numFmtId="0" fontId="35" fillId="0" borderId="0" xfId="0" applyFont="1">
      <alignment vertical="center"/>
    </xf>
    <xf numFmtId="38" fontId="35" fillId="0" borderId="0" xfId="33" applyFont="1" applyAlignment="1">
      <alignment horizontal="right" vertical="center"/>
    </xf>
    <xf numFmtId="178" fontId="19" fillId="0" borderId="0" xfId="0" applyNumberFormat="1" applyFont="1">
      <alignment vertical="center"/>
    </xf>
    <xf numFmtId="178" fontId="19" fillId="0" borderId="1" xfId="0" applyNumberFormat="1" applyFont="1" applyBorder="1">
      <alignment vertical="center"/>
    </xf>
    <xf numFmtId="0" fontId="43" fillId="42" borderId="0" xfId="43" applyFont="1" applyFill="1">
      <alignment vertical="center"/>
    </xf>
    <xf numFmtId="0" fontId="45" fillId="42" borderId="20" xfId="43" applyFont="1" applyFill="1" applyBorder="1" applyAlignment="1">
      <alignment horizontal="center" vertical="center"/>
    </xf>
    <xf numFmtId="0" fontId="46" fillId="0" borderId="0" xfId="43" applyFont="1">
      <alignment vertical="center"/>
    </xf>
    <xf numFmtId="0" fontId="48" fillId="0" borderId="0" xfId="43" applyFont="1">
      <alignment vertical="center"/>
    </xf>
    <xf numFmtId="0" fontId="46" fillId="43" borderId="0" xfId="43" applyFont="1" applyFill="1">
      <alignment vertical="center"/>
    </xf>
    <xf numFmtId="0" fontId="48" fillId="43" borderId="0" xfId="43" applyFont="1" applyFill="1">
      <alignment vertical="center"/>
    </xf>
    <xf numFmtId="0" fontId="49" fillId="0" borderId="0" xfId="43" applyFont="1">
      <alignment vertical="center"/>
    </xf>
    <xf numFmtId="0" fontId="50" fillId="0" borderId="0" xfId="43" applyFont="1">
      <alignment vertical="center"/>
    </xf>
    <xf numFmtId="0" fontId="43" fillId="0" borderId="0" xfId="43" applyFont="1">
      <alignment vertical="center"/>
    </xf>
    <xf numFmtId="179" fontId="52" fillId="44" borderId="72" xfId="43" applyNumberFormat="1" applyFont="1" applyFill="1" applyBorder="1" applyAlignment="1">
      <alignment horizontal="center" vertical="center"/>
    </xf>
    <xf numFmtId="180" fontId="51" fillId="44" borderId="75" xfId="43" applyNumberFormat="1" applyFont="1" applyFill="1" applyBorder="1">
      <alignment vertical="center"/>
    </xf>
    <xf numFmtId="38" fontId="43" fillId="0" borderId="78" xfId="44" applyFont="1" applyFill="1" applyBorder="1">
      <alignment vertical="center"/>
    </xf>
    <xf numFmtId="38" fontId="43" fillId="0" borderId="69" xfId="44" applyFont="1" applyFill="1" applyBorder="1">
      <alignment vertical="center"/>
    </xf>
    <xf numFmtId="38" fontId="43" fillId="0" borderId="34" xfId="44" applyFont="1" applyFill="1" applyBorder="1">
      <alignment vertical="center"/>
    </xf>
    <xf numFmtId="38" fontId="43" fillId="0" borderId="67" xfId="44" applyFont="1" applyFill="1" applyBorder="1">
      <alignment vertical="center"/>
    </xf>
    <xf numFmtId="0" fontId="40" fillId="42" borderId="0" xfId="43" applyFont="1" applyFill="1" applyAlignment="1">
      <alignment horizontal="center" vertical="center"/>
    </xf>
    <xf numFmtId="0" fontId="40" fillId="42" borderId="0" xfId="43" applyFont="1" applyFill="1">
      <alignment vertical="center"/>
    </xf>
    <xf numFmtId="38" fontId="43" fillId="0" borderId="36" xfId="44" applyFont="1" applyFill="1" applyBorder="1">
      <alignment vertical="center"/>
    </xf>
    <xf numFmtId="0" fontId="43" fillId="45" borderId="60" xfId="43" applyFont="1" applyFill="1" applyBorder="1" applyAlignment="1">
      <alignment horizontal="center" vertical="center"/>
    </xf>
    <xf numFmtId="176" fontId="43" fillId="0" borderId="0" xfId="43" applyNumberFormat="1" applyFont="1">
      <alignment vertical="center"/>
    </xf>
    <xf numFmtId="176" fontId="43" fillId="0" borderId="30" xfId="43" applyNumberFormat="1" applyFont="1" applyBorder="1">
      <alignment vertical="center"/>
    </xf>
    <xf numFmtId="176" fontId="43" fillId="0" borderId="40" xfId="43" applyNumberFormat="1" applyFont="1" applyBorder="1">
      <alignment vertical="center"/>
    </xf>
    <xf numFmtId="38" fontId="43" fillId="36" borderId="30" xfId="43" applyNumberFormat="1" applyFont="1" applyFill="1" applyBorder="1">
      <alignment vertical="center"/>
    </xf>
    <xf numFmtId="38" fontId="54" fillId="33" borderId="78" xfId="43" applyNumberFormat="1" applyFont="1" applyFill="1" applyBorder="1">
      <alignment vertical="center"/>
    </xf>
    <xf numFmtId="0" fontId="40" fillId="45" borderId="19" xfId="43" applyFont="1" applyFill="1" applyBorder="1" applyAlignment="1">
      <alignment horizontal="center" vertical="center"/>
    </xf>
    <xf numFmtId="0" fontId="43" fillId="42" borderId="0" xfId="43" applyFont="1" applyFill="1" applyAlignment="1">
      <alignment horizontal="center" vertical="center"/>
    </xf>
    <xf numFmtId="176" fontId="54" fillId="33" borderId="75" xfId="43" applyNumberFormat="1" applyFont="1" applyFill="1" applyBorder="1">
      <alignment vertical="center"/>
    </xf>
    <xf numFmtId="38" fontId="43" fillId="0" borderId="3" xfId="44" applyFont="1" applyFill="1" applyBorder="1">
      <alignment vertical="center"/>
    </xf>
    <xf numFmtId="38" fontId="40" fillId="0" borderId="3" xfId="44" applyFont="1" applyFill="1" applyBorder="1" applyAlignment="1">
      <alignment horizontal="center" vertical="center"/>
    </xf>
    <xf numFmtId="38" fontId="43" fillId="0" borderId="26" xfId="44" applyFont="1" applyFill="1" applyBorder="1">
      <alignment vertical="center"/>
    </xf>
    <xf numFmtId="38" fontId="43" fillId="36" borderId="40" xfId="44" applyFont="1" applyFill="1" applyBorder="1">
      <alignment vertical="center"/>
    </xf>
    <xf numFmtId="38" fontId="43" fillId="0" borderId="32" xfId="44" applyFont="1" applyFill="1" applyBorder="1">
      <alignment vertical="center"/>
    </xf>
    <xf numFmtId="38" fontId="40" fillId="0" borderId="3" xfId="44" applyFont="1" applyFill="1" applyBorder="1" applyAlignment="1">
      <alignment horizontal="right" vertical="center"/>
    </xf>
    <xf numFmtId="38" fontId="40" fillId="42" borderId="3" xfId="44" applyFont="1" applyFill="1" applyBorder="1" applyAlignment="1">
      <alignment horizontal="right" vertical="center"/>
    </xf>
    <xf numFmtId="38" fontId="43" fillId="36" borderId="30" xfId="44" applyFont="1" applyFill="1" applyBorder="1">
      <alignment vertical="center"/>
    </xf>
    <xf numFmtId="38" fontId="43" fillId="36" borderId="38" xfId="44" applyFont="1" applyFill="1" applyBorder="1">
      <alignment vertical="center"/>
    </xf>
    <xf numFmtId="38" fontId="54" fillId="36" borderId="93" xfId="44" applyFont="1" applyFill="1" applyBorder="1">
      <alignment vertical="center"/>
    </xf>
    <xf numFmtId="38" fontId="40" fillId="0" borderId="26" xfId="44" applyFont="1" applyFill="1" applyBorder="1" applyAlignment="1">
      <alignment horizontal="right" vertical="center"/>
    </xf>
    <xf numFmtId="38" fontId="43" fillId="0" borderId="38" xfId="44" applyFont="1" applyFill="1" applyBorder="1">
      <alignment vertical="center"/>
    </xf>
    <xf numFmtId="38" fontId="43" fillId="0" borderId="40" xfId="44" applyFont="1" applyFill="1" applyBorder="1">
      <alignment vertical="center"/>
    </xf>
    <xf numFmtId="38" fontId="43" fillId="0" borderId="42" xfId="44" applyFont="1" applyFill="1" applyBorder="1">
      <alignment vertical="center"/>
    </xf>
    <xf numFmtId="38" fontId="54" fillId="36" borderId="100" xfId="44" applyFont="1" applyFill="1" applyBorder="1">
      <alignment vertical="center"/>
    </xf>
    <xf numFmtId="0" fontId="40" fillId="0" borderId="101" xfId="43" applyFont="1" applyBorder="1" applyAlignment="1">
      <alignment horizontal="center" vertical="center"/>
    </xf>
    <xf numFmtId="38" fontId="43" fillId="0" borderId="101" xfId="44" applyFont="1" applyFill="1" applyBorder="1">
      <alignment vertical="center"/>
    </xf>
    <xf numFmtId="38" fontId="43" fillId="36" borderId="103" xfId="44" applyFont="1" applyFill="1" applyBorder="1">
      <alignment vertical="center"/>
    </xf>
    <xf numFmtId="176" fontId="43" fillId="36" borderId="28" xfId="43" applyNumberFormat="1" applyFont="1" applyFill="1" applyBorder="1">
      <alignment vertical="center"/>
    </xf>
    <xf numFmtId="38" fontId="55" fillId="0" borderId="0" xfId="44" applyFont="1" applyFill="1" applyBorder="1">
      <alignment vertical="center"/>
    </xf>
    <xf numFmtId="181" fontId="51" fillId="46" borderId="72" xfId="43" applyNumberFormat="1" applyFont="1" applyFill="1" applyBorder="1">
      <alignment vertical="center"/>
    </xf>
    <xf numFmtId="180" fontId="51" fillId="46" borderId="75" xfId="43" applyNumberFormat="1" applyFont="1" applyFill="1" applyBorder="1">
      <alignment vertical="center"/>
    </xf>
    <xf numFmtId="38" fontId="41" fillId="0" borderId="108" xfId="44" applyFont="1" applyBorder="1">
      <alignment vertical="center"/>
    </xf>
    <xf numFmtId="38" fontId="41" fillId="0" borderId="77" xfId="44" applyFont="1" applyBorder="1">
      <alignment vertical="center"/>
    </xf>
    <xf numFmtId="38" fontId="41" fillId="0" borderId="78" xfId="44" applyFont="1" applyBorder="1">
      <alignment vertical="center"/>
    </xf>
    <xf numFmtId="38" fontId="41" fillId="0" borderId="80" xfId="44" applyFont="1" applyBorder="1">
      <alignment vertical="center"/>
    </xf>
    <xf numFmtId="38" fontId="41" fillId="0" borderId="34" xfId="44" applyFont="1" applyBorder="1">
      <alignment vertical="center"/>
    </xf>
    <xf numFmtId="38" fontId="41" fillId="0" borderId="82" xfId="44" applyFont="1" applyBorder="1">
      <alignment vertical="center"/>
    </xf>
    <xf numFmtId="38" fontId="41" fillId="0" borderId="36" xfId="44" applyFont="1" applyBorder="1">
      <alignment vertical="center"/>
    </xf>
    <xf numFmtId="38" fontId="41" fillId="0" borderId="84" xfId="44" applyFont="1" applyBorder="1" applyAlignment="1">
      <alignment horizontal="right" vertical="center"/>
    </xf>
    <xf numFmtId="38" fontId="41" fillId="0" borderId="40" xfId="44" applyFont="1" applyBorder="1">
      <alignment vertical="center"/>
    </xf>
    <xf numFmtId="38" fontId="41" fillId="0" borderId="113" xfId="44" applyFont="1" applyBorder="1">
      <alignment vertical="center"/>
    </xf>
    <xf numFmtId="38" fontId="41" fillId="0" borderId="69" xfId="44" applyFont="1" applyBorder="1">
      <alignment vertical="center"/>
    </xf>
    <xf numFmtId="38" fontId="40" fillId="0" borderId="80" xfId="44" applyFont="1" applyBorder="1">
      <alignment vertical="center"/>
    </xf>
    <xf numFmtId="0" fontId="43" fillId="42" borderId="0" xfId="43" applyFont="1" applyFill="1" applyAlignment="1">
      <alignment horizontal="right" vertical="center"/>
    </xf>
    <xf numFmtId="38" fontId="41" fillId="47" borderId="80" xfId="44" applyFont="1" applyFill="1" applyBorder="1">
      <alignment vertical="center"/>
    </xf>
    <xf numFmtId="38" fontId="41" fillId="47" borderId="34" xfId="44" applyFont="1" applyFill="1" applyBorder="1">
      <alignment vertical="center"/>
    </xf>
    <xf numFmtId="38" fontId="43" fillId="42" borderId="0" xfId="33" applyFont="1" applyFill="1">
      <alignment vertical="center"/>
    </xf>
    <xf numFmtId="38" fontId="41" fillId="0" borderId="88" xfId="44" applyFont="1" applyBorder="1" applyAlignment="1">
      <alignment horizontal="right" vertical="center"/>
    </xf>
    <xf numFmtId="38" fontId="41" fillId="0" borderId="30" xfId="44" applyFont="1" applyBorder="1">
      <alignment vertical="center"/>
    </xf>
    <xf numFmtId="38" fontId="41" fillId="39" borderId="93" xfId="44" applyFont="1" applyFill="1" applyBorder="1">
      <alignment vertical="center"/>
    </xf>
    <xf numFmtId="38" fontId="40" fillId="0" borderId="113" xfId="44" applyFont="1" applyBorder="1">
      <alignment vertical="center"/>
    </xf>
    <xf numFmtId="38" fontId="40" fillId="0" borderId="81" xfId="44" applyFont="1" applyBorder="1">
      <alignment vertical="center"/>
    </xf>
    <xf numFmtId="38" fontId="41" fillId="0" borderId="67" xfId="44" applyFont="1" applyBorder="1">
      <alignment vertical="center"/>
    </xf>
    <xf numFmtId="38" fontId="40" fillId="0" borderId="82" xfId="44" applyFont="1" applyBorder="1">
      <alignment vertical="center"/>
    </xf>
    <xf numFmtId="38" fontId="40" fillId="0" borderId="86" xfId="44" applyFont="1" applyBorder="1" applyAlignment="1">
      <alignment vertical="center" shrinkToFit="1"/>
    </xf>
    <xf numFmtId="38" fontId="41" fillId="0" borderId="32" xfId="44" applyFont="1" applyBorder="1">
      <alignment vertical="center"/>
    </xf>
    <xf numFmtId="38" fontId="40" fillId="0" borderId="80" xfId="44" applyFont="1" applyBorder="1" applyAlignment="1">
      <alignment vertical="center" shrinkToFit="1"/>
    </xf>
    <xf numFmtId="38" fontId="60" fillId="0" borderId="80" xfId="44" applyFont="1" applyBorder="1" applyAlignment="1">
      <alignment vertical="center" shrinkToFit="1"/>
    </xf>
    <xf numFmtId="38" fontId="58" fillId="0" borderId="80" xfId="44" applyFont="1" applyBorder="1" applyAlignment="1">
      <alignment vertical="center" shrinkToFit="1"/>
    </xf>
    <xf numFmtId="38" fontId="59" fillId="0" borderId="34" xfId="44" applyFont="1" applyBorder="1">
      <alignment vertical="center"/>
    </xf>
    <xf numFmtId="38" fontId="41" fillId="0" borderId="80" xfId="44" applyFont="1" applyBorder="1" applyAlignment="1">
      <alignment vertical="center" shrinkToFit="1"/>
    </xf>
    <xf numFmtId="38" fontId="40" fillId="0" borderId="82" xfId="44" applyFont="1" applyBorder="1" applyAlignment="1">
      <alignment vertical="center" shrinkToFit="1"/>
    </xf>
    <xf numFmtId="38" fontId="41" fillId="39" borderId="28" xfId="44" applyFont="1" applyFill="1" applyBorder="1">
      <alignment vertical="center"/>
    </xf>
    <xf numFmtId="38" fontId="42" fillId="42" borderId="0" xfId="33" applyFont="1" applyFill="1" applyAlignment="1">
      <alignment horizontal="right" vertical="center"/>
    </xf>
    <xf numFmtId="0" fontId="61" fillId="42" borderId="0" xfId="43" applyFont="1" applyFill="1" applyAlignment="1">
      <alignment horizontal="right" vertical="center"/>
    </xf>
    <xf numFmtId="38" fontId="43" fillId="42" borderId="0" xfId="43" applyNumberFormat="1" applyFont="1" applyFill="1">
      <alignment vertical="center"/>
    </xf>
    <xf numFmtId="180" fontId="43" fillId="42" borderId="0" xfId="43" applyNumberFormat="1" applyFont="1" applyFill="1">
      <alignment vertical="center"/>
    </xf>
    <xf numFmtId="0" fontId="40" fillId="42" borderId="5" xfId="43" applyFont="1" applyFill="1" applyBorder="1">
      <alignment vertical="center"/>
    </xf>
    <xf numFmtId="0" fontId="40" fillId="42" borderId="5" xfId="43" applyFont="1" applyFill="1" applyBorder="1" applyAlignment="1">
      <alignment horizontal="center" vertical="center"/>
    </xf>
    <xf numFmtId="0" fontId="0" fillId="0" borderId="60" xfId="0" applyBorder="1">
      <alignment vertical="center"/>
    </xf>
    <xf numFmtId="38" fontId="0" fillId="0" borderId="60" xfId="33" applyFont="1" applyBorder="1">
      <alignment vertical="center"/>
    </xf>
    <xf numFmtId="38" fontId="0" fillId="0" borderId="60" xfId="33" applyFont="1" applyFill="1" applyBorder="1">
      <alignment vertical="center"/>
    </xf>
    <xf numFmtId="57" fontId="0" fillId="0" borderId="60" xfId="0" applyNumberFormat="1" applyBorder="1">
      <alignment vertical="center"/>
    </xf>
    <xf numFmtId="38" fontId="43" fillId="0" borderId="0" xfId="33" applyFont="1" applyFill="1">
      <alignment vertical="center"/>
    </xf>
    <xf numFmtId="57" fontId="0" fillId="0" borderId="60" xfId="0" applyNumberFormat="1" applyBorder="1" applyAlignment="1">
      <alignment horizontal="right" vertical="center"/>
    </xf>
    <xf numFmtId="0" fontId="42" fillId="39" borderId="0" xfId="43" applyFont="1" applyFill="1" applyAlignment="1">
      <alignment horizontal="right" vertical="center"/>
    </xf>
    <xf numFmtId="0" fontId="43" fillId="39" borderId="0" xfId="43" applyFont="1" applyFill="1">
      <alignment vertical="center"/>
    </xf>
    <xf numFmtId="0" fontId="42" fillId="39" borderId="0" xfId="43" applyFont="1" applyFill="1">
      <alignment vertical="center"/>
    </xf>
    <xf numFmtId="38" fontId="43" fillId="39" borderId="0" xfId="43" applyNumberFormat="1" applyFont="1" applyFill="1">
      <alignment vertical="center"/>
    </xf>
    <xf numFmtId="0" fontId="42" fillId="0" borderId="0" xfId="43" applyFont="1">
      <alignment vertical="center"/>
    </xf>
    <xf numFmtId="57" fontId="43" fillId="0" borderId="0" xfId="43" applyNumberFormat="1" applyFont="1">
      <alignment vertical="center"/>
    </xf>
    <xf numFmtId="0" fontId="20" fillId="0" borderId="10" xfId="0" applyFont="1" applyBorder="1">
      <alignment vertical="center"/>
    </xf>
    <xf numFmtId="0" fontId="20" fillId="0" borderId="26" xfId="0" applyFont="1" applyBorder="1">
      <alignment vertical="center"/>
    </xf>
    <xf numFmtId="38" fontId="20" fillId="0" borderId="119" xfId="33" applyFont="1" applyFill="1" applyBorder="1">
      <alignment vertical="center"/>
    </xf>
    <xf numFmtId="176" fontId="20" fillId="0" borderId="89" xfId="33" applyNumberFormat="1" applyFont="1" applyFill="1" applyBorder="1">
      <alignment vertical="center"/>
    </xf>
    <xf numFmtId="38" fontId="20" fillId="0" borderId="26" xfId="33" applyFont="1" applyFill="1" applyBorder="1">
      <alignment vertical="center"/>
    </xf>
    <xf numFmtId="0" fontId="20" fillId="0" borderId="68" xfId="0" applyFont="1" applyBorder="1">
      <alignment vertical="center"/>
    </xf>
    <xf numFmtId="0" fontId="25" fillId="0" borderId="5" xfId="0" applyFont="1" applyBorder="1">
      <alignment vertical="center"/>
    </xf>
    <xf numFmtId="0" fontId="19" fillId="40" borderId="0" xfId="0" applyFont="1" applyFill="1" applyAlignment="1">
      <alignment horizontal="center" vertical="center"/>
    </xf>
    <xf numFmtId="0" fontId="23" fillId="0" borderId="0" xfId="0" applyFont="1">
      <alignment vertical="center"/>
    </xf>
    <xf numFmtId="38" fontId="19" fillId="0" borderId="5" xfId="33" applyFont="1" applyBorder="1">
      <alignment vertical="center"/>
    </xf>
    <xf numFmtId="176" fontId="19" fillId="0" borderId="5" xfId="0" applyNumberFormat="1" applyFont="1" applyBorder="1">
      <alignment vertical="center"/>
    </xf>
    <xf numFmtId="176" fontId="19" fillId="0" borderId="5" xfId="0" applyNumberFormat="1" applyFont="1" applyBorder="1" applyAlignment="1">
      <alignment horizontal="right" vertical="center"/>
    </xf>
    <xf numFmtId="38" fontId="19" fillId="0" borderId="131" xfId="33" applyFont="1" applyBorder="1">
      <alignment vertical="center"/>
    </xf>
    <xf numFmtId="38" fontId="19" fillId="0" borderId="137" xfId="33" applyFont="1" applyBorder="1">
      <alignment vertical="center"/>
    </xf>
    <xf numFmtId="38" fontId="19" fillId="0" borderId="132" xfId="33" applyFont="1" applyBorder="1">
      <alignment vertical="center"/>
    </xf>
    <xf numFmtId="38" fontId="19" fillId="0" borderId="138" xfId="33" applyFont="1" applyBorder="1">
      <alignment vertical="center"/>
    </xf>
    <xf numFmtId="38" fontId="19" fillId="0" borderId="133" xfId="33" applyFont="1" applyBorder="1">
      <alignment vertical="center"/>
    </xf>
    <xf numFmtId="38" fontId="19" fillId="0" borderId="139" xfId="33" applyFont="1" applyBorder="1">
      <alignment vertical="center"/>
    </xf>
    <xf numFmtId="38" fontId="19" fillId="0" borderId="134" xfId="33" applyFont="1" applyBorder="1">
      <alignment vertical="center"/>
    </xf>
    <xf numFmtId="38" fontId="19" fillId="0" borderId="140" xfId="33" applyFont="1" applyBorder="1">
      <alignment vertical="center"/>
    </xf>
    <xf numFmtId="38" fontId="19" fillId="0" borderId="121" xfId="33" applyFont="1" applyBorder="1">
      <alignment vertical="center"/>
    </xf>
    <xf numFmtId="38" fontId="19" fillId="0" borderId="141" xfId="33" applyFont="1" applyBorder="1">
      <alignment vertical="center"/>
    </xf>
    <xf numFmtId="38" fontId="19" fillId="0" borderId="135" xfId="33" applyFont="1" applyBorder="1">
      <alignment vertical="center"/>
    </xf>
    <xf numFmtId="38" fontId="19" fillId="0" borderId="142" xfId="33" applyFont="1" applyBorder="1">
      <alignment vertical="center"/>
    </xf>
    <xf numFmtId="38" fontId="19" fillId="0" borderId="136" xfId="33" applyFont="1" applyBorder="1">
      <alignment vertical="center"/>
    </xf>
    <xf numFmtId="38" fontId="19" fillId="0" borderId="144" xfId="33" applyFont="1" applyBorder="1">
      <alignment vertical="center"/>
    </xf>
    <xf numFmtId="38" fontId="25" fillId="0" borderId="131" xfId="33" applyFont="1" applyBorder="1">
      <alignment vertical="center"/>
    </xf>
    <xf numFmtId="38" fontId="25" fillId="0" borderId="137" xfId="33" applyFont="1" applyBorder="1">
      <alignment vertical="center"/>
    </xf>
    <xf numFmtId="38" fontId="25" fillId="0" borderId="130" xfId="33" applyFont="1" applyBorder="1">
      <alignment vertical="center"/>
    </xf>
    <xf numFmtId="38" fontId="25" fillId="0" borderId="143" xfId="33" applyFont="1" applyBorder="1">
      <alignment vertical="center"/>
    </xf>
    <xf numFmtId="38" fontId="19" fillId="0" borderId="130" xfId="33" applyFont="1" applyBorder="1" applyAlignment="1">
      <alignment horizontal="center" vertical="center"/>
    </xf>
    <xf numFmtId="38" fontId="19" fillId="0" borderId="145" xfId="33" applyFont="1" applyBorder="1" applyAlignment="1">
      <alignment horizontal="center" vertical="center"/>
    </xf>
    <xf numFmtId="38" fontId="19" fillId="0" borderId="128" xfId="33" applyFont="1" applyBorder="1" applyAlignment="1">
      <alignment horizontal="center" vertical="center"/>
    </xf>
    <xf numFmtId="38" fontId="19" fillId="0" borderId="143" xfId="33" applyFont="1" applyBorder="1" applyAlignment="1">
      <alignment horizontal="center" vertical="center"/>
    </xf>
    <xf numFmtId="0" fontId="19" fillId="0" borderId="1" xfId="0" applyFont="1" applyBorder="1">
      <alignment vertical="center"/>
    </xf>
    <xf numFmtId="176" fontId="25" fillId="0" borderId="122" xfId="33" applyNumberFormat="1" applyFont="1" applyBorder="1" applyAlignment="1">
      <alignment horizontal="right" vertical="center"/>
    </xf>
    <xf numFmtId="176" fontId="19" fillId="0" borderId="123" xfId="33" applyNumberFormat="1" applyFont="1" applyBorder="1" applyAlignment="1">
      <alignment horizontal="right" vertical="center"/>
    </xf>
    <xf numFmtId="176" fontId="19" fillId="0" borderId="124" xfId="33" applyNumberFormat="1" applyFont="1" applyBorder="1" applyAlignment="1">
      <alignment horizontal="right" vertical="center"/>
    </xf>
    <xf numFmtId="176" fontId="19" fillId="0" borderId="125" xfId="33" applyNumberFormat="1" applyFont="1" applyBorder="1" applyAlignment="1">
      <alignment horizontal="right" vertical="center"/>
    </xf>
    <xf numFmtId="176" fontId="19" fillId="0" borderId="126" xfId="33" applyNumberFormat="1" applyFont="1" applyBorder="1" applyAlignment="1">
      <alignment horizontal="right" vertical="center"/>
    </xf>
    <xf numFmtId="176" fontId="19" fillId="0" borderId="127" xfId="33" applyNumberFormat="1" applyFont="1" applyBorder="1" applyAlignment="1">
      <alignment horizontal="right" vertical="center"/>
    </xf>
    <xf numFmtId="176" fontId="25" fillId="0" borderId="128" xfId="0" applyNumberFormat="1" applyFont="1" applyBorder="1" applyAlignment="1">
      <alignment horizontal="right" vertical="center"/>
    </xf>
    <xf numFmtId="176" fontId="19" fillId="0" borderId="122" xfId="0" applyNumberFormat="1" applyFont="1" applyBorder="1" applyAlignment="1">
      <alignment horizontal="right" vertical="center"/>
    </xf>
    <xf numFmtId="176" fontId="19" fillId="0" borderId="129" xfId="0" applyNumberFormat="1" applyFont="1" applyBorder="1" applyAlignment="1">
      <alignment horizontal="right" vertical="center"/>
    </xf>
    <xf numFmtId="38" fontId="19" fillId="0" borderId="98" xfId="33" applyFont="1" applyBorder="1" applyAlignment="1">
      <alignment horizontal="center" vertical="center"/>
    </xf>
    <xf numFmtId="176" fontId="25" fillId="0" borderId="95" xfId="33" applyNumberFormat="1" applyFont="1" applyBorder="1">
      <alignment vertical="center"/>
    </xf>
    <xf numFmtId="176" fontId="19" fillId="0" borderId="154" xfId="33" applyNumberFormat="1" applyFont="1" applyBorder="1">
      <alignment vertical="center"/>
    </xf>
    <xf numFmtId="176" fontId="19" fillId="0" borderId="155" xfId="33" applyNumberFormat="1" applyFont="1" applyBorder="1">
      <alignment vertical="center"/>
    </xf>
    <xf numFmtId="176" fontId="19" fillId="0" borderId="157" xfId="33" applyNumberFormat="1" applyFont="1" applyBorder="1">
      <alignment vertical="center"/>
    </xf>
    <xf numFmtId="176" fontId="25" fillId="0" borderId="98" xfId="0" applyNumberFormat="1" applyFont="1" applyBorder="1">
      <alignment vertical="center"/>
    </xf>
    <xf numFmtId="176" fontId="19" fillId="0" borderId="95" xfId="0" applyNumberFormat="1" applyFont="1" applyBorder="1">
      <alignment vertical="center"/>
    </xf>
    <xf numFmtId="176" fontId="19" fillId="0" borderId="153" xfId="0" applyNumberFormat="1" applyFont="1" applyBorder="1">
      <alignment vertical="center"/>
    </xf>
    <xf numFmtId="38" fontId="19" fillId="0" borderId="159" xfId="33" applyFont="1" applyBorder="1" applyAlignment="1">
      <alignment horizontal="center" vertical="center"/>
    </xf>
    <xf numFmtId="38" fontId="25" fillId="0" borderId="160" xfId="33" applyFont="1" applyBorder="1">
      <alignment vertical="center"/>
    </xf>
    <xf numFmtId="38" fontId="19" fillId="0" borderId="161" xfId="33" applyFont="1" applyBorder="1">
      <alignment vertical="center"/>
    </xf>
    <xf numFmtId="38" fontId="19" fillId="0" borderId="162" xfId="33" applyFont="1" applyBorder="1">
      <alignment vertical="center"/>
    </xf>
    <xf numFmtId="38" fontId="19" fillId="0" borderId="163" xfId="33" applyFont="1" applyBorder="1">
      <alignment vertical="center"/>
    </xf>
    <xf numFmtId="38" fontId="19" fillId="0" borderId="158" xfId="33" applyFont="1" applyBorder="1">
      <alignment vertical="center"/>
    </xf>
    <xf numFmtId="38" fontId="19" fillId="0" borderId="164" xfId="33" applyFont="1" applyBorder="1">
      <alignment vertical="center"/>
    </xf>
    <xf numFmtId="38" fontId="25" fillId="0" borderId="159" xfId="33" applyFont="1" applyBorder="1">
      <alignment vertical="center"/>
    </xf>
    <xf numFmtId="38" fontId="19" fillId="0" borderId="160" xfId="33" applyFont="1" applyBorder="1">
      <alignment vertical="center"/>
    </xf>
    <xf numFmtId="38" fontId="19" fillId="0" borderId="165" xfId="33" applyFont="1" applyBorder="1">
      <alignment vertical="center"/>
    </xf>
    <xf numFmtId="38" fontId="19" fillId="48" borderId="1" xfId="33" applyFont="1" applyFill="1" applyBorder="1" applyAlignment="1">
      <alignment horizontal="center" vertical="center"/>
    </xf>
    <xf numFmtId="38" fontId="25" fillId="48" borderId="0" xfId="33" applyFont="1" applyFill="1" applyBorder="1">
      <alignment vertical="center"/>
    </xf>
    <xf numFmtId="38" fontId="19" fillId="48" borderId="22" xfId="33" applyFont="1" applyFill="1" applyBorder="1">
      <alignment vertical="center"/>
    </xf>
    <xf numFmtId="38" fontId="19" fillId="48" borderId="23" xfId="33" applyFont="1" applyFill="1" applyBorder="1">
      <alignment vertical="center"/>
    </xf>
    <xf numFmtId="38" fontId="19" fillId="48" borderId="24" xfId="33" applyFont="1" applyFill="1" applyBorder="1">
      <alignment vertical="center"/>
    </xf>
    <xf numFmtId="38" fontId="19" fillId="48" borderId="25" xfId="33" applyFont="1" applyFill="1" applyBorder="1">
      <alignment vertical="center"/>
    </xf>
    <xf numFmtId="38" fontId="19" fillId="48" borderId="66" xfId="33" applyFont="1" applyFill="1" applyBorder="1">
      <alignment vertical="center"/>
    </xf>
    <xf numFmtId="38" fontId="25" fillId="48" borderId="1" xfId="33" applyFont="1" applyFill="1" applyBorder="1">
      <alignment vertical="center"/>
    </xf>
    <xf numFmtId="38" fontId="19" fillId="48" borderId="0" xfId="33" applyFont="1" applyFill="1" applyBorder="1">
      <alignment vertical="center"/>
    </xf>
    <xf numFmtId="38" fontId="19" fillId="48" borderId="8" xfId="33" applyFont="1" applyFill="1" applyBorder="1">
      <alignment vertical="center"/>
    </xf>
    <xf numFmtId="176" fontId="19" fillId="0" borderId="0" xfId="0" applyNumberFormat="1" applyFont="1" applyAlignment="1">
      <alignment horizontal="right" vertical="center"/>
    </xf>
    <xf numFmtId="176" fontId="25" fillId="0" borderId="146" xfId="33" applyNumberFormat="1" applyFont="1" applyBorder="1" applyAlignment="1">
      <alignment horizontal="right" vertical="center"/>
    </xf>
    <xf numFmtId="176" fontId="19" fillId="0" borderId="147" xfId="33" applyNumberFormat="1" applyFont="1" applyBorder="1" applyAlignment="1">
      <alignment horizontal="right" vertical="center"/>
    </xf>
    <xf numFmtId="176" fontId="19" fillId="0" borderId="148" xfId="33" applyNumberFormat="1" applyFont="1" applyBorder="1" applyAlignment="1">
      <alignment horizontal="right" vertical="center"/>
    </xf>
    <xf numFmtId="176" fontId="19" fillId="0" borderId="149" xfId="33" applyNumberFormat="1" applyFont="1" applyBorder="1" applyAlignment="1">
      <alignment horizontal="right" vertical="center"/>
    </xf>
    <xf numFmtId="176" fontId="19" fillId="0" borderId="150" xfId="33" applyNumberFormat="1" applyFont="1" applyBorder="1" applyAlignment="1">
      <alignment horizontal="right" vertical="center"/>
    </xf>
    <xf numFmtId="176" fontId="19" fillId="0" borderId="151" xfId="33" applyNumberFormat="1" applyFont="1" applyBorder="1" applyAlignment="1">
      <alignment horizontal="right" vertical="center"/>
    </xf>
    <xf numFmtId="176" fontId="25" fillId="0" borderId="145" xfId="0" applyNumberFormat="1" applyFont="1" applyBorder="1" applyAlignment="1">
      <alignment horizontal="right" vertical="center"/>
    </xf>
    <xf numFmtId="176" fontId="19" fillId="0" borderId="146" xfId="0" applyNumberFormat="1" applyFont="1" applyBorder="1" applyAlignment="1">
      <alignment horizontal="right" vertical="center"/>
    </xf>
    <xf numFmtId="176" fontId="19" fillId="0" borderId="152" xfId="0" applyNumberFormat="1" applyFont="1" applyBorder="1" applyAlignment="1">
      <alignment horizontal="right" vertical="center"/>
    </xf>
    <xf numFmtId="38" fontId="19" fillId="42" borderId="162" xfId="33" applyFont="1" applyFill="1" applyBorder="1">
      <alignment vertical="center"/>
    </xf>
    <xf numFmtId="38" fontId="19" fillId="0" borderId="162" xfId="33" applyFont="1" applyFill="1" applyBorder="1">
      <alignment vertical="center"/>
    </xf>
    <xf numFmtId="38" fontId="19" fillId="42" borderId="161" xfId="33" applyFont="1" applyFill="1" applyBorder="1">
      <alignment vertical="center"/>
    </xf>
    <xf numFmtId="38" fontId="19" fillId="0" borderId="161" xfId="33" applyFont="1" applyFill="1" applyBorder="1">
      <alignment vertical="center"/>
    </xf>
    <xf numFmtId="38" fontId="19" fillId="36" borderId="162" xfId="33" applyFont="1" applyFill="1" applyBorder="1">
      <alignment vertical="center"/>
    </xf>
    <xf numFmtId="0" fontId="25" fillId="0" borderId="8" xfId="0" applyFont="1" applyBorder="1">
      <alignment vertical="center"/>
    </xf>
    <xf numFmtId="38" fontId="23" fillId="0" borderId="0" xfId="33" applyFont="1">
      <alignment vertical="center"/>
    </xf>
    <xf numFmtId="38" fontId="33" fillId="37" borderId="1" xfId="33" applyFont="1" applyFill="1" applyBorder="1" applyAlignment="1">
      <alignment horizontal="center" vertical="center"/>
    </xf>
    <xf numFmtId="38" fontId="33" fillId="37" borderId="42" xfId="33" applyFont="1" applyFill="1" applyBorder="1" applyAlignment="1">
      <alignment horizontal="center" vertical="center"/>
    </xf>
    <xf numFmtId="178" fontId="33" fillId="37" borderId="1" xfId="33" applyNumberFormat="1" applyFont="1" applyFill="1" applyBorder="1" applyAlignment="1">
      <alignment horizontal="center" vertical="center"/>
    </xf>
    <xf numFmtId="38" fontId="19" fillId="0" borderId="60" xfId="33" applyFont="1" applyBorder="1">
      <alignment vertical="center"/>
    </xf>
    <xf numFmtId="38" fontId="23" fillId="0" borderId="0" xfId="33" applyFont="1" applyAlignment="1">
      <alignment horizontal="right" vertical="center"/>
    </xf>
    <xf numFmtId="38" fontId="23" fillId="0" borderId="30" xfId="33" applyFont="1" applyBorder="1" applyAlignment="1">
      <alignment horizontal="right" vertical="center"/>
    </xf>
    <xf numFmtId="38" fontId="19" fillId="0" borderId="166" xfId="33" applyFont="1" applyFill="1" applyBorder="1">
      <alignment vertical="center"/>
    </xf>
    <xf numFmtId="38" fontId="19" fillId="0" borderId="49" xfId="33" applyFont="1" applyFill="1" applyBorder="1">
      <alignment vertical="center"/>
    </xf>
    <xf numFmtId="176" fontId="19" fillId="36" borderId="18" xfId="33" applyNumberFormat="1" applyFont="1" applyFill="1" applyBorder="1">
      <alignment vertical="center"/>
    </xf>
    <xf numFmtId="38" fontId="19" fillId="0" borderId="10" xfId="33" applyFont="1" applyBorder="1">
      <alignment vertical="center"/>
    </xf>
    <xf numFmtId="38" fontId="21" fillId="0" borderId="10" xfId="33" applyFont="1" applyBorder="1">
      <alignment vertical="center"/>
    </xf>
    <xf numFmtId="38" fontId="21" fillId="48" borderId="167" xfId="33" applyFont="1" applyFill="1" applyBorder="1">
      <alignment vertical="center"/>
    </xf>
    <xf numFmtId="38" fontId="21" fillId="48" borderId="101" xfId="33" applyFont="1" applyFill="1" applyBorder="1">
      <alignment vertical="center"/>
    </xf>
    <xf numFmtId="38" fontId="19" fillId="48" borderId="168" xfId="33" applyFont="1" applyFill="1" applyBorder="1" applyAlignment="1">
      <alignment horizontal="right" vertical="center"/>
    </xf>
    <xf numFmtId="38" fontId="21" fillId="48" borderId="110" xfId="33" applyFont="1" applyFill="1" applyBorder="1">
      <alignment vertical="center"/>
    </xf>
    <xf numFmtId="38" fontId="21" fillId="48" borderId="0" xfId="33" applyFont="1" applyFill="1" applyBorder="1">
      <alignment vertical="center"/>
    </xf>
    <xf numFmtId="38" fontId="19" fillId="48" borderId="169" xfId="33" applyFont="1" applyFill="1" applyBorder="1" applyAlignment="1">
      <alignment horizontal="right" vertical="center"/>
    </xf>
    <xf numFmtId="38" fontId="19" fillId="48" borderId="170" xfId="33" applyFont="1" applyFill="1" applyBorder="1">
      <alignment vertical="center"/>
    </xf>
    <xf numFmtId="38" fontId="19" fillId="48" borderId="171" xfId="33" applyFont="1" applyFill="1" applyBorder="1">
      <alignment vertical="center"/>
    </xf>
    <xf numFmtId="38" fontId="19" fillId="48" borderId="172" xfId="33" applyFont="1" applyFill="1" applyBorder="1" applyAlignment="1">
      <alignment horizontal="right" vertical="center"/>
    </xf>
    <xf numFmtId="38" fontId="19" fillId="0" borderId="0" xfId="33" applyFont="1" applyAlignment="1">
      <alignment horizontal="right" vertical="center"/>
    </xf>
    <xf numFmtId="38" fontId="54" fillId="33" borderId="40" xfId="44" applyFont="1" applyFill="1" applyBorder="1">
      <alignment vertical="center"/>
    </xf>
    <xf numFmtId="38" fontId="58" fillId="0" borderId="81" xfId="44" applyFont="1" applyBorder="1">
      <alignment vertical="center"/>
    </xf>
    <xf numFmtId="38" fontId="59" fillId="0" borderId="67" xfId="44" applyFont="1" applyBorder="1">
      <alignment vertical="center"/>
    </xf>
    <xf numFmtId="38" fontId="41" fillId="49" borderId="30" xfId="44" applyFont="1" applyFill="1" applyBorder="1">
      <alignment vertical="center"/>
    </xf>
    <xf numFmtId="38" fontId="41" fillId="39" borderId="60" xfId="44" applyFont="1" applyFill="1" applyBorder="1">
      <alignment vertical="center"/>
    </xf>
    <xf numFmtId="38" fontId="19" fillId="0" borderId="0" xfId="33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38" fontId="23" fillId="0" borderId="5" xfId="33" applyFont="1" applyFill="1" applyBorder="1" applyAlignment="1">
      <alignment horizontal="center" vertical="center"/>
    </xf>
    <xf numFmtId="176" fontId="22" fillId="0" borderId="0" xfId="0" applyNumberFormat="1" applyFont="1" applyAlignment="1">
      <alignment horizontal="right" vertical="center"/>
    </xf>
    <xf numFmtId="38" fontId="19" fillId="0" borderId="43" xfId="33" applyFont="1" applyBorder="1" applyAlignment="1">
      <alignment horizontal="center" vertical="center"/>
    </xf>
    <xf numFmtId="38" fontId="25" fillId="0" borderId="9" xfId="33" applyFont="1" applyBorder="1">
      <alignment vertical="center"/>
    </xf>
    <xf numFmtId="38" fontId="19" fillId="0" borderId="15" xfId="33" applyFont="1" applyBorder="1">
      <alignment vertical="center"/>
    </xf>
    <xf numFmtId="38" fontId="19" fillId="0" borderId="13" xfId="33" applyFont="1" applyBorder="1">
      <alignment vertical="center"/>
    </xf>
    <xf numFmtId="38" fontId="19" fillId="0" borderId="176" xfId="33" applyFont="1" applyBorder="1">
      <alignment vertical="center"/>
    </xf>
    <xf numFmtId="38" fontId="19" fillId="0" borderId="11" xfId="33" applyFont="1" applyBorder="1">
      <alignment vertical="center"/>
    </xf>
    <xf numFmtId="38" fontId="19" fillId="0" borderId="64" xfId="33" applyFont="1" applyBorder="1">
      <alignment vertical="center"/>
    </xf>
    <xf numFmtId="38" fontId="25" fillId="0" borderId="43" xfId="33" applyFont="1" applyBorder="1">
      <alignment vertical="center"/>
    </xf>
    <xf numFmtId="38" fontId="19" fillId="0" borderId="17" xfId="33" applyFont="1" applyBorder="1">
      <alignment vertical="center"/>
    </xf>
    <xf numFmtId="38" fontId="19" fillId="0" borderId="45" xfId="33" applyFont="1" applyBorder="1" applyAlignment="1">
      <alignment horizontal="center" vertical="center"/>
    </xf>
    <xf numFmtId="38" fontId="25" fillId="0" borderId="3" xfId="33" applyFont="1" applyBorder="1">
      <alignment vertical="center"/>
    </xf>
    <xf numFmtId="38" fontId="19" fillId="0" borderId="7" xfId="33" applyFont="1" applyBorder="1">
      <alignment vertical="center"/>
    </xf>
    <xf numFmtId="38" fontId="19" fillId="0" borderId="4" xfId="33" applyFont="1" applyBorder="1">
      <alignment vertical="center"/>
    </xf>
    <xf numFmtId="38" fontId="19" fillId="0" borderId="6" xfId="33" applyFont="1" applyBorder="1">
      <alignment vertical="center"/>
    </xf>
    <xf numFmtId="38" fontId="19" fillId="0" borderId="2" xfId="33" applyFont="1" applyBorder="1">
      <alignment vertical="center"/>
    </xf>
    <xf numFmtId="38" fontId="19" fillId="0" borderId="63" xfId="33" applyFont="1" applyBorder="1">
      <alignment vertical="center"/>
    </xf>
    <xf numFmtId="38" fontId="25" fillId="0" borderId="45" xfId="33" applyFont="1" applyBorder="1">
      <alignment vertical="center"/>
    </xf>
    <xf numFmtId="38" fontId="19" fillId="0" borderId="19" xfId="33" applyFont="1" applyBorder="1">
      <alignment vertical="center"/>
    </xf>
    <xf numFmtId="38" fontId="19" fillId="42" borderId="42" xfId="33" applyFont="1" applyFill="1" applyBorder="1" applyAlignment="1">
      <alignment horizontal="center" vertical="center"/>
    </xf>
    <xf numFmtId="38" fontId="25" fillId="42" borderId="30" xfId="33" applyFont="1" applyFill="1" applyBorder="1">
      <alignment vertical="center"/>
    </xf>
    <xf numFmtId="38" fontId="19" fillId="42" borderId="32" xfId="33" applyFont="1" applyFill="1" applyBorder="1">
      <alignment vertical="center"/>
    </xf>
    <xf numFmtId="38" fontId="19" fillId="42" borderId="34" xfId="33" applyFont="1" applyFill="1" applyBorder="1">
      <alignment vertical="center"/>
    </xf>
    <xf numFmtId="38" fontId="19" fillId="42" borderId="36" xfId="33" applyFont="1" applyFill="1" applyBorder="1">
      <alignment vertical="center"/>
    </xf>
    <xf numFmtId="38" fontId="19" fillId="42" borderId="38" xfId="33" applyFont="1" applyFill="1" applyBorder="1">
      <alignment vertical="center"/>
    </xf>
    <xf numFmtId="38" fontId="19" fillId="42" borderId="67" xfId="33" applyFont="1" applyFill="1" applyBorder="1">
      <alignment vertical="center"/>
    </xf>
    <xf numFmtId="38" fontId="25" fillId="42" borderId="42" xfId="33" applyFont="1" applyFill="1" applyBorder="1">
      <alignment vertical="center"/>
    </xf>
    <xf numFmtId="38" fontId="19" fillId="42" borderId="30" xfId="33" applyFont="1" applyFill="1" applyBorder="1">
      <alignment vertical="center"/>
    </xf>
    <xf numFmtId="38" fontId="19" fillId="42" borderId="60" xfId="33" applyFont="1" applyFill="1" applyBorder="1">
      <alignment vertical="center"/>
    </xf>
    <xf numFmtId="38" fontId="43" fillId="0" borderId="0" xfId="33" applyFont="1">
      <alignment vertical="center"/>
    </xf>
    <xf numFmtId="38" fontId="42" fillId="0" borderId="0" xfId="33" applyFont="1">
      <alignment vertical="center"/>
    </xf>
    <xf numFmtId="176" fontId="43" fillId="42" borderId="0" xfId="43" applyNumberFormat="1" applyFont="1" applyFill="1">
      <alignment vertical="center"/>
    </xf>
    <xf numFmtId="38" fontId="54" fillId="33" borderId="30" xfId="44" applyFont="1" applyFill="1" applyBorder="1">
      <alignment vertical="center"/>
    </xf>
    <xf numFmtId="38" fontId="43" fillId="0" borderId="31" xfId="44" applyFont="1" applyFill="1" applyBorder="1">
      <alignment vertical="center"/>
    </xf>
    <xf numFmtId="0" fontId="65" fillId="42" borderId="0" xfId="43" applyFont="1" applyFill="1">
      <alignment vertical="center"/>
    </xf>
    <xf numFmtId="0" fontId="66" fillId="0" borderId="0" xfId="43" applyFont="1">
      <alignment vertical="center"/>
    </xf>
    <xf numFmtId="0" fontId="61" fillId="0" borderId="0" xfId="43" applyFont="1" applyAlignment="1">
      <alignment horizontal="right" vertical="center"/>
    </xf>
    <xf numFmtId="14" fontId="65" fillId="42" borderId="0" xfId="43" applyNumberFormat="1" applyFont="1" applyFill="1">
      <alignment vertical="center"/>
    </xf>
    <xf numFmtId="38" fontId="19" fillId="0" borderId="2" xfId="0" applyNumberFormat="1" applyFont="1" applyBorder="1">
      <alignment vertical="center"/>
    </xf>
    <xf numFmtId="38" fontId="19" fillId="0" borderId="7" xfId="0" applyNumberFormat="1" applyFont="1" applyBorder="1">
      <alignment vertical="center"/>
    </xf>
    <xf numFmtId="38" fontId="19" fillId="0" borderId="11" xfId="33" applyFont="1" applyFill="1" applyBorder="1">
      <alignment vertical="center"/>
    </xf>
    <xf numFmtId="38" fontId="19" fillId="0" borderId="64" xfId="33" applyFont="1" applyFill="1" applyBorder="1">
      <alignment vertical="center"/>
    </xf>
    <xf numFmtId="176" fontId="19" fillId="0" borderId="65" xfId="33" applyNumberFormat="1" applyFont="1" applyFill="1" applyBorder="1">
      <alignment vertical="center"/>
    </xf>
    <xf numFmtId="38" fontId="19" fillId="0" borderId="63" xfId="33" applyFont="1" applyFill="1" applyBorder="1">
      <alignment vertical="center"/>
    </xf>
    <xf numFmtId="0" fontId="19" fillId="0" borderId="10" xfId="0" applyFont="1" applyBorder="1">
      <alignment vertical="center"/>
    </xf>
    <xf numFmtId="38" fontId="19" fillId="0" borderId="119" xfId="33" applyFont="1" applyFill="1" applyBorder="1">
      <alignment vertical="center"/>
    </xf>
    <xf numFmtId="176" fontId="19" fillId="0" borderId="89" xfId="33" applyNumberFormat="1" applyFont="1" applyFill="1" applyBorder="1">
      <alignment vertical="center"/>
    </xf>
    <xf numFmtId="38" fontId="19" fillId="0" borderId="26" xfId="33" applyFont="1" applyFill="1" applyBorder="1">
      <alignment vertical="center"/>
    </xf>
    <xf numFmtId="0" fontId="51" fillId="44" borderId="75" xfId="43" applyFont="1" applyFill="1" applyBorder="1">
      <alignment vertical="center"/>
    </xf>
    <xf numFmtId="0" fontId="65" fillId="42" borderId="0" xfId="43" applyFont="1" applyFill="1" applyAlignment="1">
      <alignment horizontal="right" vertical="center"/>
    </xf>
    <xf numFmtId="38" fontId="43" fillId="36" borderId="60" xfId="44" applyFont="1" applyFill="1" applyBorder="1">
      <alignment vertical="center"/>
    </xf>
    <xf numFmtId="0" fontId="43" fillId="0" borderId="179" xfId="43" applyFont="1" applyBorder="1">
      <alignment vertical="center"/>
    </xf>
    <xf numFmtId="0" fontId="38" fillId="0" borderId="180" xfId="43" applyBorder="1">
      <alignment vertical="center"/>
    </xf>
    <xf numFmtId="0" fontId="38" fillId="0" borderId="4" xfId="43" applyBorder="1">
      <alignment vertical="center"/>
    </xf>
    <xf numFmtId="0" fontId="42" fillId="0" borderId="4" xfId="43" applyFont="1" applyBorder="1">
      <alignment vertical="center"/>
    </xf>
    <xf numFmtId="0" fontId="42" fillId="0" borderId="63" xfId="43" applyFont="1" applyBorder="1">
      <alignment vertical="center"/>
    </xf>
    <xf numFmtId="0" fontId="42" fillId="0" borderId="6" xfId="43" applyFont="1" applyBorder="1">
      <alignment vertical="center"/>
    </xf>
    <xf numFmtId="0" fontId="43" fillId="0" borderId="7" xfId="43" applyFont="1" applyBorder="1">
      <alignment vertical="center"/>
    </xf>
    <xf numFmtId="0" fontId="43" fillId="36" borderId="25" xfId="43" applyFont="1" applyFill="1" applyBorder="1">
      <alignment vertical="center"/>
    </xf>
    <xf numFmtId="38" fontId="0" fillId="0" borderId="2" xfId="33" applyFont="1" applyBorder="1">
      <alignment vertical="center"/>
    </xf>
    <xf numFmtId="38" fontId="0" fillId="0" borderId="4" xfId="33" applyFont="1" applyBorder="1">
      <alignment vertical="center"/>
    </xf>
    <xf numFmtId="38" fontId="0" fillId="0" borderId="3" xfId="33" applyFont="1" applyBorder="1">
      <alignment vertical="center"/>
    </xf>
    <xf numFmtId="0" fontId="40" fillId="36" borderId="8" xfId="43" applyFont="1" applyFill="1" applyBorder="1">
      <alignment vertical="center"/>
    </xf>
    <xf numFmtId="38" fontId="0" fillId="0" borderId="26" xfId="33" applyFont="1" applyBorder="1">
      <alignment vertical="center"/>
    </xf>
    <xf numFmtId="0" fontId="40" fillId="36" borderId="0" xfId="43" applyFont="1" applyFill="1">
      <alignment vertical="center"/>
    </xf>
    <xf numFmtId="179" fontId="52" fillId="44" borderId="185" xfId="43" applyNumberFormat="1" applyFont="1" applyFill="1" applyBorder="1" applyAlignment="1">
      <alignment horizontal="center" vertical="center"/>
    </xf>
    <xf numFmtId="0" fontId="51" fillId="44" borderId="186" xfId="43" applyFont="1" applyFill="1" applyBorder="1">
      <alignment vertical="center"/>
    </xf>
    <xf numFmtId="38" fontId="43" fillId="0" borderId="187" xfId="44" applyFont="1" applyFill="1" applyBorder="1">
      <alignment vertical="center"/>
    </xf>
    <xf numFmtId="38" fontId="43" fillId="0" borderId="188" xfId="44" applyFont="1" applyFill="1" applyBorder="1">
      <alignment vertical="center"/>
    </xf>
    <xf numFmtId="38" fontId="43" fillId="0" borderId="33" xfId="44" applyFont="1" applyFill="1" applyBorder="1">
      <alignment vertical="center"/>
    </xf>
    <xf numFmtId="38" fontId="54" fillId="33" borderId="29" xfId="44" applyFont="1" applyFill="1" applyBorder="1">
      <alignment vertical="center"/>
    </xf>
    <xf numFmtId="38" fontId="43" fillId="0" borderId="189" xfId="44" applyFont="1" applyFill="1" applyBorder="1">
      <alignment vertical="center"/>
    </xf>
    <xf numFmtId="38" fontId="43" fillId="0" borderId="35" xfId="44" applyFont="1" applyFill="1" applyBorder="1">
      <alignment vertical="center"/>
    </xf>
    <xf numFmtId="38" fontId="43" fillId="36" borderId="29" xfId="43" applyNumberFormat="1" applyFont="1" applyFill="1" applyBorder="1">
      <alignment vertical="center"/>
    </xf>
    <xf numFmtId="38" fontId="54" fillId="33" borderId="187" xfId="43" applyNumberFormat="1" applyFont="1" applyFill="1" applyBorder="1">
      <alignment vertical="center"/>
    </xf>
    <xf numFmtId="176" fontId="54" fillId="33" borderId="186" xfId="43" applyNumberFormat="1" applyFont="1" applyFill="1" applyBorder="1">
      <alignment vertical="center"/>
    </xf>
    <xf numFmtId="38" fontId="43" fillId="36" borderId="190" xfId="44" applyFont="1" applyFill="1" applyBorder="1">
      <alignment vertical="center"/>
    </xf>
    <xf numFmtId="38" fontId="43" fillId="36" borderId="29" xfId="44" applyFont="1" applyFill="1" applyBorder="1">
      <alignment vertical="center"/>
    </xf>
    <xf numFmtId="38" fontId="43" fillId="36" borderId="37" xfId="44" applyFont="1" applyFill="1" applyBorder="1">
      <alignment vertical="center"/>
    </xf>
    <xf numFmtId="38" fontId="54" fillId="36" borderId="191" xfId="44" applyFont="1" applyFill="1" applyBorder="1">
      <alignment vertical="center"/>
    </xf>
    <xf numFmtId="38" fontId="43" fillId="0" borderId="37" xfId="44" applyFont="1" applyFill="1" applyBorder="1">
      <alignment vertical="center"/>
    </xf>
    <xf numFmtId="38" fontId="43" fillId="0" borderId="39" xfId="44" applyFont="1" applyFill="1" applyBorder="1">
      <alignment vertical="center"/>
    </xf>
    <xf numFmtId="38" fontId="43" fillId="0" borderId="41" xfId="44" applyFont="1" applyFill="1" applyBorder="1">
      <alignment vertical="center"/>
    </xf>
    <xf numFmtId="38" fontId="54" fillId="36" borderId="192" xfId="44" applyFont="1" applyFill="1" applyBorder="1">
      <alignment vertical="center"/>
    </xf>
    <xf numFmtId="178" fontId="19" fillId="0" borderId="27" xfId="33" applyNumberFormat="1" applyFont="1" applyBorder="1" applyAlignment="1">
      <alignment horizontal="right" vertical="center"/>
    </xf>
    <xf numFmtId="178" fontId="19" fillId="0" borderId="28" xfId="33" applyNumberFormat="1" applyFont="1" applyBorder="1" applyAlignment="1">
      <alignment horizontal="right" vertical="center"/>
    </xf>
    <xf numFmtId="0" fontId="25" fillId="0" borderId="25" xfId="0" applyFont="1" applyBorder="1">
      <alignment vertical="center"/>
    </xf>
    <xf numFmtId="38" fontId="25" fillId="0" borderId="11" xfId="33" applyFont="1" applyFill="1" applyBorder="1">
      <alignment vertical="center"/>
    </xf>
    <xf numFmtId="176" fontId="25" fillId="0" borderId="12" xfId="33" applyNumberFormat="1" applyFont="1" applyFill="1" applyBorder="1">
      <alignment vertical="center"/>
    </xf>
    <xf numFmtId="38" fontId="25" fillId="0" borderId="2" xfId="33" applyFont="1" applyFill="1" applyBorder="1">
      <alignment vertical="center"/>
    </xf>
    <xf numFmtId="0" fontId="19" fillId="0" borderId="0" xfId="0" applyFont="1" applyAlignment="1">
      <alignment vertical="center" shrinkToFit="1"/>
    </xf>
    <xf numFmtId="38" fontId="25" fillId="0" borderId="11" xfId="33" applyFont="1" applyBorder="1">
      <alignment vertical="center"/>
    </xf>
    <xf numFmtId="38" fontId="25" fillId="42" borderId="38" xfId="33" applyFont="1" applyFill="1" applyBorder="1">
      <alignment vertical="center"/>
    </xf>
    <xf numFmtId="38" fontId="25" fillId="0" borderId="141" xfId="33" applyFont="1" applyBorder="1">
      <alignment vertical="center"/>
    </xf>
    <xf numFmtId="176" fontId="25" fillId="0" borderId="126" xfId="33" applyNumberFormat="1" applyFont="1" applyBorder="1" applyAlignment="1">
      <alignment horizontal="right" vertical="center"/>
    </xf>
    <xf numFmtId="38" fontId="25" fillId="0" borderId="2" xfId="33" applyFont="1" applyBorder="1">
      <alignment vertical="center"/>
    </xf>
    <xf numFmtId="176" fontId="25" fillId="0" borderId="150" xfId="33" applyNumberFormat="1" applyFont="1" applyBorder="1" applyAlignment="1">
      <alignment horizontal="right" vertical="center"/>
    </xf>
    <xf numFmtId="38" fontId="25" fillId="0" borderId="121" xfId="33" applyFont="1" applyBorder="1">
      <alignment vertical="center"/>
    </xf>
    <xf numFmtId="38" fontId="25" fillId="48" borderId="25" xfId="33" applyFont="1" applyFill="1" applyBorder="1">
      <alignment vertical="center"/>
    </xf>
    <xf numFmtId="38" fontId="25" fillId="0" borderId="158" xfId="33" applyFont="1" applyBorder="1">
      <alignment vertical="center"/>
    </xf>
    <xf numFmtId="176" fontId="25" fillId="0" borderId="91" xfId="33" applyNumberFormat="1" applyFont="1" applyBorder="1">
      <alignment vertical="center"/>
    </xf>
    <xf numFmtId="38" fontId="19" fillId="42" borderId="1" xfId="33" applyFont="1" applyFill="1" applyBorder="1" applyAlignment="1">
      <alignment horizontal="center" vertical="center"/>
    </xf>
    <xf numFmtId="38" fontId="25" fillId="42" borderId="0" xfId="33" applyFont="1" applyFill="1" applyBorder="1">
      <alignment vertical="center"/>
    </xf>
    <xf numFmtId="38" fontId="19" fillId="42" borderId="22" xfId="33" applyFont="1" applyFill="1" applyBorder="1">
      <alignment vertical="center"/>
    </xf>
    <xf numFmtId="38" fontId="19" fillId="42" borderId="23" xfId="33" applyFont="1" applyFill="1" applyBorder="1">
      <alignment vertical="center"/>
    </xf>
    <xf numFmtId="38" fontId="19" fillId="42" borderId="24" xfId="33" applyFont="1" applyFill="1" applyBorder="1">
      <alignment vertical="center"/>
    </xf>
    <xf numFmtId="38" fontId="19" fillId="42" borderId="25" xfId="33" applyFont="1" applyFill="1" applyBorder="1">
      <alignment vertical="center"/>
    </xf>
    <xf numFmtId="38" fontId="19" fillId="42" borderId="66" xfId="33" applyFont="1" applyFill="1" applyBorder="1">
      <alignment vertical="center"/>
    </xf>
    <xf numFmtId="38" fontId="25" fillId="42" borderId="25" xfId="33" applyFont="1" applyFill="1" applyBorder="1">
      <alignment vertical="center"/>
    </xf>
    <xf numFmtId="38" fontId="25" fillId="42" borderId="1" xfId="33" applyFont="1" applyFill="1" applyBorder="1">
      <alignment vertical="center"/>
    </xf>
    <xf numFmtId="38" fontId="19" fillId="42" borderId="0" xfId="33" applyFont="1" applyFill="1" applyBorder="1">
      <alignment vertical="center"/>
    </xf>
    <xf numFmtId="38" fontId="19" fillId="42" borderId="8" xfId="33" applyFont="1" applyFill="1" applyBorder="1">
      <alignment vertical="center"/>
    </xf>
    <xf numFmtId="0" fontId="54" fillId="33" borderId="5" xfId="43" applyFont="1" applyFill="1" applyBorder="1">
      <alignment vertical="center"/>
    </xf>
    <xf numFmtId="38" fontId="19" fillId="0" borderId="3" xfId="0" applyNumberFormat="1" applyFont="1" applyBorder="1">
      <alignment vertical="center"/>
    </xf>
    <xf numFmtId="176" fontId="19" fillId="0" borderId="155" xfId="33" applyNumberFormat="1" applyFont="1" applyBorder="1" applyAlignment="1">
      <alignment horizontal="right" vertical="center"/>
    </xf>
    <xf numFmtId="176" fontId="19" fillId="0" borderId="156" xfId="33" applyNumberFormat="1" applyFont="1" applyBorder="1" applyAlignment="1">
      <alignment horizontal="right" vertical="center"/>
    </xf>
    <xf numFmtId="176" fontId="25" fillId="0" borderId="95" xfId="33" applyNumberFormat="1" applyFont="1" applyBorder="1" applyAlignment="1">
      <alignment horizontal="right" vertical="center"/>
    </xf>
    <xf numFmtId="176" fontId="19" fillId="0" borderId="91" xfId="33" applyNumberFormat="1" applyFont="1" applyBorder="1" applyAlignment="1">
      <alignment horizontal="right" vertical="center"/>
    </xf>
    <xf numFmtId="0" fontId="67" fillId="0" borderId="0" xfId="0" applyFont="1" applyAlignment="1">
      <alignment horizontal="right" vertical="center"/>
    </xf>
    <xf numFmtId="177" fontId="21" fillId="0" borderId="0" xfId="33" applyNumberFormat="1" applyFont="1" applyAlignment="1">
      <alignment vertical="center"/>
    </xf>
    <xf numFmtId="177" fontId="21" fillId="0" borderId="0" xfId="33" applyNumberFormat="1" applyFont="1">
      <alignment vertical="center"/>
    </xf>
    <xf numFmtId="178" fontId="33" fillId="38" borderId="193" xfId="33" applyNumberFormat="1" applyFont="1" applyFill="1" applyBorder="1" applyAlignment="1">
      <alignment horizontal="center" vertical="center"/>
    </xf>
    <xf numFmtId="38" fontId="33" fillId="38" borderId="194" xfId="33" applyFont="1" applyFill="1" applyBorder="1" applyAlignment="1">
      <alignment horizontal="center" vertical="center"/>
    </xf>
    <xf numFmtId="38" fontId="19" fillId="0" borderId="195" xfId="33" applyFont="1" applyBorder="1">
      <alignment vertical="center"/>
    </xf>
    <xf numFmtId="38" fontId="19" fillId="0" borderId="196" xfId="33" applyFont="1" applyBorder="1">
      <alignment vertical="center"/>
    </xf>
    <xf numFmtId="38" fontId="34" fillId="0" borderId="196" xfId="33" applyFont="1" applyBorder="1">
      <alignment vertical="center"/>
    </xf>
    <xf numFmtId="38" fontId="34" fillId="0" borderId="197" xfId="33" applyFont="1" applyBorder="1">
      <alignment vertical="center"/>
    </xf>
    <xf numFmtId="38" fontId="34" fillId="0" borderId="198" xfId="33" applyFont="1" applyBorder="1">
      <alignment vertical="center"/>
    </xf>
    <xf numFmtId="38" fontId="34" fillId="0" borderId="199" xfId="33" applyFont="1" applyBorder="1">
      <alignment vertical="center"/>
    </xf>
    <xf numFmtId="38" fontId="34" fillId="0" borderId="200" xfId="33" applyFont="1" applyBorder="1">
      <alignment vertical="center"/>
    </xf>
    <xf numFmtId="38" fontId="19" fillId="41" borderId="201" xfId="33" applyFont="1" applyFill="1" applyBorder="1">
      <alignment vertical="center"/>
    </xf>
    <xf numFmtId="38" fontId="34" fillId="41" borderId="202" xfId="33" applyFont="1" applyFill="1" applyBorder="1">
      <alignment vertical="center"/>
    </xf>
    <xf numFmtId="38" fontId="19" fillId="41" borderId="195" xfId="33" applyFont="1" applyFill="1" applyBorder="1">
      <alignment vertical="center"/>
    </xf>
    <xf numFmtId="38" fontId="34" fillId="41" borderId="196" xfId="33" applyFont="1" applyFill="1" applyBorder="1">
      <alignment vertical="center"/>
    </xf>
    <xf numFmtId="38" fontId="19" fillId="41" borderId="203" xfId="33" applyFont="1" applyFill="1" applyBorder="1">
      <alignment vertical="center"/>
    </xf>
    <xf numFmtId="38" fontId="34" fillId="41" borderId="204" xfId="33" applyFont="1" applyFill="1" applyBorder="1">
      <alignment vertical="center"/>
    </xf>
    <xf numFmtId="38" fontId="19" fillId="0" borderId="197" xfId="33" applyFont="1" applyBorder="1">
      <alignment vertical="center"/>
    </xf>
    <xf numFmtId="38" fontId="34" fillId="0" borderId="205" xfId="33" applyFont="1" applyBorder="1">
      <alignment vertical="center"/>
    </xf>
    <xf numFmtId="38" fontId="34" fillId="0" borderId="206" xfId="33" applyFont="1" applyBorder="1">
      <alignment vertical="center"/>
    </xf>
    <xf numFmtId="178" fontId="33" fillId="38" borderId="43" xfId="33" applyNumberFormat="1" applyFont="1" applyFill="1" applyBorder="1" applyAlignment="1">
      <alignment horizontal="center" vertical="center"/>
    </xf>
    <xf numFmtId="38" fontId="34" fillId="0" borderId="17" xfId="33" applyFont="1" applyBorder="1">
      <alignment vertical="center"/>
    </xf>
    <xf numFmtId="38" fontId="34" fillId="0" borderId="43" xfId="33" applyFont="1" applyBorder="1">
      <alignment vertical="center"/>
    </xf>
    <xf numFmtId="38" fontId="19" fillId="41" borderId="64" xfId="33" applyFont="1" applyFill="1" applyBorder="1">
      <alignment vertical="center"/>
    </xf>
    <xf numFmtId="38" fontId="19" fillId="41" borderId="9" xfId="33" applyFont="1" applyFill="1" applyBorder="1">
      <alignment vertical="center"/>
    </xf>
    <xf numFmtId="38" fontId="19" fillId="41" borderId="207" xfId="33" applyFont="1" applyFill="1" applyBorder="1">
      <alignment vertical="center"/>
    </xf>
    <xf numFmtId="38" fontId="68" fillId="0" borderId="0" xfId="33" applyFont="1">
      <alignment vertical="center"/>
    </xf>
    <xf numFmtId="38" fontId="34" fillId="0" borderId="195" xfId="33" applyFont="1" applyBorder="1">
      <alignment vertical="center"/>
    </xf>
    <xf numFmtId="38" fontId="19" fillId="0" borderId="3" xfId="33" applyFont="1" applyFill="1" applyBorder="1" applyAlignment="1">
      <alignment horizontal="left" vertical="center" wrapText="1"/>
    </xf>
    <xf numFmtId="0" fontId="19" fillId="36" borderId="8" xfId="0" applyFont="1" applyFill="1" applyBorder="1" applyAlignment="1">
      <alignment horizontal="center" vertical="center"/>
    </xf>
    <xf numFmtId="178" fontId="19" fillId="0" borderId="1" xfId="0" applyNumberFormat="1" applyFont="1" applyBorder="1" applyAlignment="1">
      <alignment horizontal="center" vertical="center"/>
    </xf>
    <xf numFmtId="178" fontId="19" fillId="0" borderId="43" xfId="33" applyNumberFormat="1" applyFont="1" applyBorder="1" applyAlignment="1">
      <alignment horizontal="center" vertical="center"/>
    </xf>
    <xf numFmtId="178" fontId="19" fillId="0" borderId="44" xfId="33" applyNumberFormat="1" applyFont="1" applyBorder="1" applyAlignment="1">
      <alignment horizontal="center" vertical="center"/>
    </xf>
    <xf numFmtId="178" fontId="19" fillId="0" borderId="45" xfId="33" applyNumberFormat="1" applyFont="1" applyBorder="1" applyAlignment="1">
      <alignment horizontal="center" vertical="center"/>
    </xf>
    <xf numFmtId="38" fontId="25" fillId="0" borderId="175" xfId="33" applyFont="1" applyBorder="1" applyAlignment="1">
      <alignment horizontal="center" vertical="center"/>
    </xf>
    <xf numFmtId="38" fontId="25" fillId="0" borderId="8" xfId="33" applyFont="1" applyBorder="1" applyAlignment="1">
      <alignment horizontal="center" vertical="center"/>
    </xf>
    <xf numFmtId="38" fontId="25" fillId="0" borderId="129" xfId="33" applyFont="1" applyBorder="1" applyAlignment="1">
      <alignment horizontal="center" vertical="center"/>
    </xf>
    <xf numFmtId="38" fontId="25" fillId="0" borderId="136" xfId="33" applyFont="1" applyBorder="1" applyAlignment="1">
      <alignment horizontal="center" vertical="center"/>
    </xf>
    <xf numFmtId="38" fontId="25" fillId="0" borderId="152" xfId="33" applyFont="1" applyBorder="1" applyAlignment="1">
      <alignment horizontal="center" vertical="center"/>
    </xf>
    <xf numFmtId="38" fontId="25" fillId="0" borderId="144" xfId="33" applyFont="1" applyBorder="1" applyAlignment="1">
      <alignment horizontal="center" vertical="center"/>
    </xf>
    <xf numFmtId="178" fontId="19" fillId="0" borderId="25" xfId="0" applyNumberFormat="1" applyFont="1" applyBorder="1" applyAlignment="1">
      <alignment horizontal="center" vertical="center"/>
    </xf>
    <xf numFmtId="178" fontId="19" fillId="0" borderId="88" xfId="0" applyNumberFormat="1" applyFont="1" applyBorder="1" applyAlignment="1">
      <alignment horizontal="center" vertical="center"/>
    </xf>
    <xf numFmtId="178" fontId="19" fillId="0" borderId="21" xfId="0" applyNumberFormat="1" applyFont="1" applyBorder="1" applyAlignment="1">
      <alignment horizontal="center" vertical="center"/>
    </xf>
    <xf numFmtId="178" fontId="19" fillId="0" borderId="105" xfId="0" applyNumberFormat="1" applyFont="1" applyBorder="1" applyAlignment="1">
      <alignment horizontal="center" vertical="center"/>
    </xf>
    <xf numFmtId="38" fontId="25" fillId="0" borderId="120" xfId="33" applyFont="1" applyBorder="1" applyAlignment="1">
      <alignment horizontal="center" vertical="center"/>
    </xf>
    <xf numFmtId="38" fontId="25" fillId="0" borderId="153" xfId="33" applyFont="1" applyBorder="1" applyAlignment="1">
      <alignment horizontal="center" vertical="center"/>
    </xf>
    <xf numFmtId="178" fontId="25" fillId="0" borderId="136" xfId="33" applyNumberFormat="1" applyFont="1" applyBorder="1" applyAlignment="1">
      <alignment horizontal="center" vertical="center"/>
    </xf>
    <xf numFmtId="178" fontId="25" fillId="0" borderId="8" xfId="33" applyNumberFormat="1" applyFont="1" applyBorder="1" applyAlignment="1">
      <alignment horizontal="center" vertical="center"/>
    </xf>
    <xf numFmtId="178" fontId="25" fillId="0" borderId="152" xfId="33" applyNumberFormat="1" applyFont="1" applyBorder="1" applyAlignment="1">
      <alignment horizontal="center" vertical="center"/>
    </xf>
    <xf numFmtId="0" fontId="31" fillId="0" borderId="0" xfId="0" applyFont="1" applyAlignment="1">
      <alignment horizontal="right" vertical="center"/>
    </xf>
    <xf numFmtId="0" fontId="39" fillId="36" borderId="92" xfId="43" applyFont="1" applyFill="1" applyBorder="1" applyAlignment="1">
      <alignment horizontal="center" vertical="center"/>
    </xf>
    <xf numFmtId="0" fontId="39" fillId="36" borderId="182" xfId="43" applyFont="1" applyFill="1" applyBorder="1" applyAlignment="1">
      <alignment horizontal="center" vertical="center"/>
    </xf>
    <xf numFmtId="0" fontId="40" fillId="0" borderId="96" xfId="43" applyFont="1" applyBorder="1" applyAlignment="1">
      <alignment horizontal="center" vertical="center"/>
    </xf>
    <xf numFmtId="0" fontId="40" fillId="0" borderId="183" xfId="43" applyFont="1" applyBorder="1" applyAlignment="1">
      <alignment horizontal="center" vertical="center"/>
    </xf>
    <xf numFmtId="0" fontId="40" fillId="36" borderId="85" xfId="43" applyFont="1" applyFill="1" applyBorder="1" applyAlignment="1">
      <alignment horizontal="center" vertical="center" textRotation="255"/>
    </xf>
    <xf numFmtId="0" fontId="43" fillId="36" borderId="79" xfId="43" applyFont="1" applyFill="1" applyBorder="1" applyAlignment="1">
      <alignment horizontal="center" vertical="center" textRotation="255"/>
    </xf>
    <xf numFmtId="0" fontId="43" fillId="36" borderId="87" xfId="43" applyFont="1" applyFill="1" applyBorder="1" applyAlignment="1">
      <alignment horizontal="center" vertical="center" textRotation="255"/>
    </xf>
    <xf numFmtId="0" fontId="40" fillId="36" borderId="90" xfId="43" applyFont="1" applyFill="1" applyBorder="1" applyAlignment="1">
      <alignment horizontal="center" vertical="center"/>
    </xf>
    <xf numFmtId="0" fontId="43" fillId="36" borderId="126" xfId="43" applyFont="1" applyFill="1" applyBorder="1" applyAlignment="1">
      <alignment horizontal="center" vertical="center"/>
    </xf>
    <xf numFmtId="0" fontId="40" fillId="0" borderId="94" xfId="43" applyFont="1" applyBorder="1" applyAlignment="1">
      <alignment horizontal="center" vertical="center"/>
    </xf>
    <xf numFmtId="0" fontId="40" fillId="0" borderId="122" xfId="43" applyFont="1" applyBorder="1" applyAlignment="1">
      <alignment horizontal="center" vertical="center"/>
    </xf>
    <xf numFmtId="0" fontId="40" fillId="0" borderId="90" xfId="43" applyFont="1" applyBorder="1" applyAlignment="1">
      <alignment horizontal="center" vertical="center"/>
    </xf>
    <xf numFmtId="0" fontId="40" fillId="0" borderId="126" xfId="43" applyFont="1" applyBorder="1" applyAlignment="1">
      <alignment horizontal="center" vertical="center"/>
    </xf>
    <xf numFmtId="0" fontId="51" fillId="44" borderId="70" xfId="43" applyFont="1" applyFill="1" applyBorder="1" applyAlignment="1">
      <alignment horizontal="center" vertical="center"/>
    </xf>
    <xf numFmtId="0" fontId="51" fillId="44" borderId="177" xfId="43" applyFont="1" applyFill="1" applyBorder="1" applyAlignment="1">
      <alignment horizontal="center" vertical="center"/>
    </xf>
    <xf numFmtId="0" fontId="51" fillId="44" borderId="73" xfId="43" applyFont="1" applyFill="1" applyBorder="1" applyAlignment="1">
      <alignment horizontal="center" vertical="center"/>
    </xf>
    <xf numFmtId="0" fontId="51" fillId="44" borderId="178" xfId="43" applyFont="1" applyFill="1" applyBorder="1" applyAlignment="1">
      <alignment horizontal="center" vertical="center"/>
    </xf>
    <xf numFmtId="0" fontId="54" fillId="33" borderId="76" xfId="43" applyFont="1" applyFill="1" applyBorder="1" applyAlignment="1">
      <alignment horizontal="center" vertical="center" textRotation="255"/>
    </xf>
    <xf numFmtId="0" fontId="54" fillId="33" borderId="79" xfId="43" applyFont="1" applyFill="1" applyBorder="1" applyAlignment="1">
      <alignment horizontal="center" vertical="center" textRotation="255"/>
    </xf>
    <xf numFmtId="0" fontId="54" fillId="33" borderId="83" xfId="43" applyFont="1" applyFill="1" applyBorder="1" applyAlignment="1">
      <alignment horizontal="center" vertical="center" textRotation="255"/>
    </xf>
    <xf numFmtId="0" fontId="43" fillId="36" borderId="85" xfId="43" applyFont="1" applyFill="1" applyBorder="1" applyAlignment="1">
      <alignment horizontal="center" vertical="center" textRotation="255"/>
    </xf>
    <xf numFmtId="0" fontId="54" fillId="33" borderId="173" xfId="43" applyFont="1" applyFill="1" applyBorder="1" applyAlignment="1">
      <alignment horizontal="center" vertical="center"/>
    </xf>
    <xf numFmtId="0" fontId="54" fillId="33" borderId="181" xfId="43" applyFont="1" applyFill="1" applyBorder="1" applyAlignment="1">
      <alignment horizontal="center" vertical="center"/>
    </xf>
    <xf numFmtId="0" fontId="54" fillId="33" borderId="73" xfId="43" applyFont="1" applyFill="1" applyBorder="1" applyAlignment="1">
      <alignment horizontal="center" vertical="center"/>
    </xf>
    <xf numFmtId="0" fontId="54" fillId="33" borderId="178" xfId="43" applyFont="1" applyFill="1" applyBorder="1" applyAlignment="1">
      <alignment horizontal="center" vertical="center"/>
    </xf>
    <xf numFmtId="0" fontId="40" fillId="36" borderId="76" xfId="43" applyFont="1" applyFill="1" applyBorder="1" applyAlignment="1">
      <alignment horizontal="center" vertical="center" textRotation="255"/>
    </xf>
    <xf numFmtId="0" fontId="43" fillId="36" borderId="83" xfId="43" applyFont="1" applyFill="1" applyBorder="1" applyAlignment="1">
      <alignment horizontal="center" vertical="center" textRotation="255"/>
    </xf>
    <xf numFmtId="0" fontId="57" fillId="46" borderId="70" xfId="43" applyFont="1" applyFill="1" applyBorder="1" applyAlignment="1">
      <alignment horizontal="center" vertical="center"/>
    </xf>
    <xf numFmtId="0" fontId="51" fillId="46" borderId="71" xfId="43" applyFont="1" applyFill="1" applyBorder="1" applyAlignment="1">
      <alignment horizontal="center" vertical="center"/>
    </xf>
    <xf numFmtId="0" fontId="51" fillId="46" borderId="73" xfId="43" applyFont="1" applyFill="1" applyBorder="1" applyAlignment="1">
      <alignment horizontal="center" vertical="center"/>
    </xf>
    <xf numFmtId="0" fontId="51" fillId="46" borderId="74" xfId="43" applyFont="1" applyFill="1" applyBorder="1" applyAlignment="1">
      <alignment horizontal="center" vertical="center"/>
    </xf>
    <xf numFmtId="0" fontId="40" fillId="0" borderId="97" xfId="43" applyFont="1" applyBorder="1" applyAlignment="1">
      <alignment horizontal="center" vertical="center"/>
    </xf>
    <xf numFmtId="0" fontId="40" fillId="0" borderId="128" xfId="43" applyFont="1" applyBorder="1" applyAlignment="1">
      <alignment horizontal="center" vertical="center"/>
    </xf>
    <xf numFmtId="0" fontId="39" fillId="36" borderId="99" xfId="43" applyFont="1" applyFill="1" applyBorder="1" applyAlignment="1">
      <alignment horizontal="center" vertical="center"/>
    </xf>
    <xf numFmtId="0" fontId="39" fillId="36" borderId="184" xfId="43" applyFont="1" applyFill="1" applyBorder="1" applyAlignment="1">
      <alignment horizontal="center" vertical="center"/>
    </xf>
    <xf numFmtId="0" fontId="40" fillId="36" borderId="47" xfId="43" applyFont="1" applyFill="1" applyBorder="1" applyAlignment="1">
      <alignment horizontal="center" vertical="center"/>
    </xf>
    <xf numFmtId="0" fontId="40" fillId="36" borderId="102" xfId="43" applyFont="1" applyFill="1" applyBorder="1" applyAlignment="1">
      <alignment horizontal="center" vertical="center"/>
    </xf>
    <xf numFmtId="0" fontId="40" fillId="36" borderId="104" xfId="43" applyFont="1" applyFill="1" applyBorder="1" applyAlignment="1">
      <alignment horizontal="center" vertical="center"/>
    </xf>
    <xf numFmtId="0" fontId="40" fillId="36" borderId="105" xfId="43" applyFont="1" applyFill="1" applyBorder="1" applyAlignment="1">
      <alignment horizontal="center" vertical="center"/>
    </xf>
    <xf numFmtId="38" fontId="41" fillId="0" borderId="106" xfId="44" applyFont="1" applyBorder="1" applyAlignment="1">
      <alignment horizontal="center" vertical="center"/>
    </xf>
    <xf numFmtId="38" fontId="41" fillId="0" borderId="107" xfId="44" applyFont="1" applyBorder="1" applyAlignment="1">
      <alignment horizontal="center" vertical="center"/>
    </xf>
    <xf numFmtId="38" fontId="41" fillId="0" borderId="109" xfId="44" applyFont="1" applyBorder="1" applyAlignment="1">
      <alignment horizontal="center" vertical="center" textRotation="255"/>
    </xf>
    <xf numFmtId="38" fontId="41" fillId="0" borderId="110" xfId="44" applyFont="1" applyBorder="1" applyAlignment="1">
      <alignment horizontal="center" vertical="center" textRotation="255"/>
    </xf>
    <xf numFmtId="38" fontId="41" fillId="0" borderId="111" xfId="44" applyFont="1" applyBorder="1" applyAlignment="1">
      <alignment horizontal="center" vertical="center" textRotation="255"/>
    </xf>
    <xf numFmtId="38" fontId="41" fillId="0" borderId="112" xfId="44" applyFont="1" applyBorder="1" applyAlignment="1">
      <alignment horizontal="center" vertical="center" textRotation="255"/>
    </xf>
    <xf numFmtId="38" fontId="41" fillId="0" borderId="114" xfId="44" applyFont="1" applyBorder="1" applyAlignment="1">
      <alignment horizontal="center" vertical="center" textRotation="255"/>
    </xf>
    <xf numFmtId="38" fontId="41" fillId="39" borderId="115" xfId="44" applyFont="1" applyFill="1" applyBorder="1" applyAlignment="1">
      <alignment horizontal="center" vertical="center"/>
    </xf>
    <xf numFmtId="38" fontId="41" fillId="39" borderId="116" xfId="44" applyFont="1" applyFill="1" applyBorder="1" applyAlignment="1">
      <alignment horizontal="center" vertical="center"/>
    </xf>
    <xf numFmtId="38" fontId="41" fillId="49" borderId="117" xfId="44" applyFont="1" applyFill="1" applyBorder="1" applyAlignment="1">
      <alignment horizontal="center" vertical="center"/>
    </xf>
    <xf numFmtId="38" fontId="41" fillId="49" borderId="118" xfId="44" applyFont="1" applyFill="1" applyBorder="1" applyAlignment="1">
      <alignment horizontal="center" vertical="center"/>
    </xf>
    <xf numFmtId="38" fontId="64" fillId="39" borderId="117" xfId="44" applyFont="1" applyFill="1" applyBorder="1" applyAlignment="1">
      <alignment horizontal="center" vertical="center"/>
    </xf>
    <xf numFmtId="38" fontId="41" fillId="39" borderId="174" xfId="44" applyFont="1" applyFill="1" applyBorder="1" applyAlignment="1">
      <alignment horizontal="center" vertical="center"/>
    </xf>
  </cellXfs>
  <cellStyles count="45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33" builtinId="6"/>
    <cellStyle name="桁区切り 3" xfId="44" xr:uid="{00000000-0005-0000-0000-000021000000}"/>
    <cellStyle name="見出し 1" xfId="34" builtinId="16" customBuiltin="1"/>
    <cellStyle name="見出し 2" xfId="35" builtinId="17" customBuiltin="1"/>
    <cellStyle name="見出し 3" xfId="36" builtinId="18" customBuiltin="1"/>
    <cellStyle name="見出し 4" xfId="37" builtinId="19" customBuiltin="1"/>
    <cellStyle name="集計" xfId="38" builtinId="25" customBuiltin="1"/>
    <cellStyle name="出力" xfId="39" builtinId="21" customBuiltin="1"/>
    <cellStyle name="説明文" xfId="40" builtinId="53" customBuiltin="1"/>
    <cellStyle name="入力" xfId="41" builtinId="20" customBuiltin="1"/>
    <cellStyle name="標準" xfId="0" builtinId="0"/>
    <cellStyle name="標準 3" xfId="43" xr:uid="{00000000-0005-0000-0000-00002B000000}"/>
    <cellStyle name="良い" xfId="42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&#26376;&#27425;&#38306;&#20418;/es-&#26376;&#27425;&#22577;&#21578;&#36039;&#26009;/&#26376;&#27425;&#22577;&#21578;-2025/&#12521;&#12452;&#12501;&#12527;&#12540;&#12463;&#36039;&#26009;/&#12521;&#12452;&#12501;&#12527;&#12540;&#12463;&#20104;&#31639;202504&#65374;-202509&#26356;&#26032;.xlsx" TargetMode="External"/><Relationship Id="rId1" Type="http://schemas.openxmlformats.org/officeDocument/2006/relationships/externalLinkPath" Target="/20220920BU/es&#65396;&#65437;&#65408;&#65392;&#65411;&#65394;&#65426;&#65437;&#65412;-20200410-&#12304;&#26376;&#27425;&#12305;/&#26376;&#27425;&#38306;&#20418;/es-&#26376;&#27425;&#22577;&#21578;&#36039;&#26009;/&#26376;&#27425;&#22577;&#21578;-2025/&#12521;&#12452;&#12501;&#12527;&#12540;&#12463;&#36039;&#26009;/&#12521;&#12452;&#12501;&#12527;&#12540;&#12463;&#20104;&#31639;202504&#65374;-202509&#26356;&#26032;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&#26376;&#27425;&#38306;&#20418;/es-&#26376;&#27425;&#22577;&#21578;&#36039;&#26009;/&#26376;&#27425;&#22577;&#21578;-2025/es&#12456;&#12531;&#12479;&#12540;&#20104;&#31639;&#26696;202507.xlsx" TargetMode="External"/><Relationship Id="rId1" Type="http://schemas.openxmlformats.org/officeDocument/2006/relationships/externalLinkPath" Target="/20220920BU/es&#65396;&#65437;&#65408;&#65392;&#65411;&#65394;&#65426;&#65437;&#65412;-20200410-&#12304;&#26376;&#27425;&#12305;/&#26376;&#27425;&#38306;&#20418;/es-&#26376;&#27425;&#22577;&#21578;&#36039;&#26009;/&#26376;&#27425;&#22577;&#21578;-2025/es&#12456;&#12531;&#12479;&#12540;&#20104;&#31639;&#26696;20250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収支予測"/>
      <sheetName val="単位計算"/>
      <sheetName val="予測PL (2025.04-)"/>
      <sheetName val="A型"/>
      <sheetName val="B型"/>
      <sheetName val="共通費"/>
      <sheetName val="予測PL (2024)"/>
      <sheetName val="予測PL (2023)"/>
      <sheetName val="予測PL (2022)"/>
      <sheetName val="予測PL (2021)"/>
      <sheetName val="予算PL (2021)"/>
      <sheetName val="実際PL  (2021)"/>
      <sheetName val="予算PL"/>
      <sheetName val="実際PL "/>
      <sheetName val="予測PL"/>
      <sheetName val="前期実際PL"/>
      <sheetName val="税込PL"/>
    </sheetNames>
    <sheetDataSet>
      <sheetData sheetId="0">
        <row r="10">
          <cell r="CC10">
            <v>2025.05</v>
          </cell>
          <cell r="CN10">
            <v>2026.04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収支予測"/>
      <sheetName val="合算"/>
      <sheetName val="2024.07～恵愛予測"/>
      <sheetName val="2024.7~村予測"/>
      <sheetName val="2024.7~弁当予測"/>
      <sheetName val="2024.7~シェアバー予測"/>
      <sheetName val="2024.7~サウナ予測"/>
      <sheetName val="2024.07~本部予測"/>
      <sheetName val="予実対比用"/>
    </sheetNames>
    <sheetDataSet>
      <sheetData sheetId="0"/>
      <sheetData sheetId="1" refreshError="1"/>
      <sheetData sheetId="2">
        <row r="3">
          <cell r="C3">
            <v>7000000</v>
          </cell>
        </row>
      </sheetData>
      <sheetData sheetId="3">
        <row r="3">
          <cell r="C3">
            <v>750000</v>
          </cell>
        </row>
      </sheetData>
      <sheetData sheetId="4">
        <row r="3">
          <cell r="C3">
            <v>350000</v>
          </cell>
        </row>
      </sheetData>
      <sheetData sheetId="5">
        <row r="3">
          <cell r="C3">
            <v>150000</v>
          </cell>
        </row>
      </sheetData>
      <sheetData sheetId="6">
        <row r="3">
          <cell r="C3">
            <v>1000000</v>
          </cell>
        </row>
      </sheetData>
      <sheetData sheetId="7">
        <row r="3">
          <cell r="C3">
            <v>350000</v>
          </cell>
        </row>
      </sheetData>
      <sheetData sheetId="8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S94"/>
  <sheetViews>
    <sheetView workbookViewId="0">
      <pane xSplit="2" ySplit="1" topLeftCell="C26" activePane="bottomRight" state="frozen"/>
      <selection pane="topRight" activeCell="C1" sqref="C1"/>
      <selection pane="bottomLeft" activeCell="A2" sqref="A2"/>
      <selection pane="bottomRight" activeCell="M98" sqref="M98:N98"/>
    </sheetView>
  </sheetViews>
  <sheetFormatPr defaultColWidth="9" defaultRowHeight="16.5"/>
  <cols>
    <col min="1" max="1" width="4.625" style="2" customWidth="1"/>
    <col min="2" max="2" width="16.625" style="2" customWidth="1"/>
    <col min="3" max="3" width="11.625" style="110" customWidth="1"/>
    <col min="4" max="11" width="11.625" style="2" customWidth="1"/>
    <col min="12" max="15" width="10.625" style="2" customWidth="1"/>
    <col min="16" max="16384" width="9" style="2"/>
  </cols>
  <sheetData>
    <row r="1" spans="1:19" s="375" customFormat="1" ht="16.899999999999999" thickBot="1">
      <c r="B1" s="375" t="s">
        <v>0</v>
      </c>
      <c r="C1" s="376" t="s">
        <v>146</v>
      </c>
      <c r="D1" s="377">
        <v>7</v>
      </c>
      <c r="E1" s="377">
        <f>IF(D1=12,1,D1+1)</f>
        <v>8</v>
      </c>
      <c r="F1" s="377">
        <f t="shared" ref="F1:O1" si="0">IF(E1=12,1,E1+1)</f>
        <v>9</v>
      </c>
      <c r="G1" s="377">
        <f t="shared" si="0"/>
        <v>10</v>
      </c>
      <c r="H1" s="377">
        <f t="shared" si="0"/>
        <v>11</v>
      </c>
      <c r="I1" s="377">
        <f t="shared" si="0"/>
        <v>12</v>
      </c>
      <c r="J1" s="377">
        <f t="shared" si="0"/>
        <v>1</v>
      </c>
      <c r="K1" s="377">
        <f t="shared" si="0"/>
        <v>2</v>
      </c>
      <c r="L1" s="377">
        <f t="shared" si="0"/>
        <v>3</v>
      </c>
      <c r="M1" s="377">
        <f t="shared" si="0"/>
        <v>4</v>
      </c>
      <c r="N1" s="377">
        <f t="shared" si="0"/>
        <v>5</v>
      </c>
      <c r="O1" s="377">
        <f t="shared" si="0"/>
        <v>6</v>
      </c>
      <c r="P1" s="377"/>
      <c r="Q1" s="377"/>
      <c r="R1" s="377"/>
      <c r="S1" s="377"/>
    </row>
    <row r="2" spans="1:19" ht="16.899999999999999" thickTop="1">
      <c r="A2" s="2" t="s">
        <v>49</v>
      </c>
    </row>
    <row r="3" spans="1:19">
      <c r="A3" s="2" t="s">
        <v>50</v>
      </c>
    </row>
    <row r="4" spans="1:19">
      <c r="A4" s="2" t="s">
        <v>51</v>
      </c>
    </row>
    <row r="5" spans="1:19">
      <c r="B5" s="2" t="s">
        <v>52</v>
      </c>
    </row>
    <row r="6" spans="1:19">
      <c r="B6" s="2" t="s">
        <v>53</v>
      </c>
    </row>
    <row r="7" spans="1:19">
      <c r="A7" s="2" t="s">
        <v>54</v>
      </c>
      <c r="C7" s="110">
        <v>2348989</v>
      </c>
      <c r="D7" s="2">
        <v>2725169</v>
      </c>
      <c r="E7" s="2">
        <v>1998006</v>
      </c>
      <c r="F7" s="2">
        <v>2031109</v>
      </c>
      <c r="G7" s="2">
        <v>1400195</v>
      </c>
      <c r="H7" s="2">
        <v>1532912</v>
      </c>
      <c r="I7" s="2">
        <v>1488143</v>
      </c>
      <c r="J7" s="2">
        <v>1217238</v>
      </c>
      <c r="K7" s="2">
        <v>2273568</v>
      </c>
      <c r="L7" s="2">
        <v>5469239</v>
      </c>
      <c r="M7" s="2">
        <v>5065984</v>
      </c>
      <c r="N7" s="2">
        <v>4720980</v>
      </c>
      <c r="O7" s="2">
        <v>4131529</v>
      </c>
    </row>
    <row r="8" spans="1:19">
      <c r="A8" s="2" t="s">
        <v>55</v>
      </c>
    </row>
    <row r="9" spans="1:19">
      <c r="B9" s="2" t="s">
        <v>56</v>
      </c>
      <c r="C9" s="110">
        <v>2838186</v>
      </c>
      <c r="D9" s="2">
        <v>3314302</v>
      </c>
      <c r="E9" s="2">
        <v>3820128</v>
      </c>
      <c r="F9" s="2">
        <v>4338949</v>
      </c>
      <c r="G9" s="2">
        <v>4857796</v>
      </c>
      <c r="H9" s="2">
        <v>5278592</v>
      </c>
      <c r="I9" s="2">
        <v>5913222</v>
      </c>
      <c r="J9" s="2">
        <v>6433571</v>
      </c>
      <c r="K9" s="2">
        <v>6896344</v>
      </c>
      <c r="L9" s="2">
        <v>6377513</v>
      </c>
      <c r="M9" s="2">
        <v>7291191</v>
      </c>
      <c r="N9" s="2">
        <v>7999295</v>
      </c>
      <c r="O9" s="2">
        <v>8976617</v>
      </c>
    </row>
    <row r="10" spans="1:19">
      <c r="A10" s="2" t="s">
        <v>57</v>
      </c>
      <c r="C10" s="110">
        <v>2838186</v>
      </c>
      <c r="D10" s="2">
        <v>3314302</v>
      </c>
      <c r="E10" s="2">
        <v>3820128</v>
      </c>
      <c r="F10" s="2">
        <v>4338949</v>
      </c>
      <c r="G10" s="2">
        <v>4857796</v>
      </c>
      <c r="H10" s="2">
        <v>5278592</v>
      </c>
      <c r="I10" s="2">
        <v>5913222</v>
      </c>
      <c r="J10" s="2">
        <v>6433571</v>
      </c>
      <c r="K10" s="2">
        <v>6896344</v>
      </c>
      <c r="L10" s="2">
        <v>6377513</v>
      </c>
      <c r="M10" s="2">
        <v>7291191</v>
      </c>
      <c r="N10" s="2">
        <v>7999295</v>
      </c>
      <c r="O10" s="2">
        <v>8976617</v>
      </c>
    </row>
    <row r="11" spans="1:19">
      <c r="A11" s="2" t="s">
        <v>58</v>
      </c>
    </row>
    <row r="12" spans="1:19">
      <c r="A12" s="2" t="s">
        <v>59</v>
      </c>
    </row>
    <row r="13" spans="1:19">
      <c r="A13" s="2" t="s">
        <v>60</v>
      </c>
    </row>
    <row r="14" spans="1:19">
      <c r="B14" s="2" t="s">
        <v>61</v>
      </c>
    </row>
    <row r="15" spans="1:19">
      <c r="B15" s="2" t="s">
        <v>197</v>
      </c>
    </row>
    <row r="16" spans="1:19">
      <c r="A16" s="2" t="s">
        <v>62</v>
      </c>
    </row>
    <row r="17" spans="1:15">
      <c r="A17" s="2" t="s">
        <v>63</v>
      </c>
    </row>
    <row r="18" spans="1:15">
      <c r="B18" s="2" t="s">
        <v>196</v>
      </c>
    </row>
    <row r="19" spans="1:15">
      <c r="B19" s="2" t="s">
        <v>64</v>
      </c>
      <c r="C19" s="110">
        <v>39666</v>
      </c>
      <c r="D19" s="2">
        <v>39666</v>
      </c>
      <c r="E19" s="2">
        <v>39666</v>
      </c>
      <c r="F19" s="2">
        <v>39666</v>
      </c>
      <c r="G19" s="2">
        <v>39666</v>
      </c>
      <c r="H19" s="2">
        <v>39666</v>
      </c>
      <c r="I19" s="2">
        <v>39666</v>
      </c>
      <c r="J19" s="2">
        <v>39666</v>
      </c>
      <c r="K19" s="2">
        <v>39666</v>
      </c>
      <c r="L19" s="2">
        <v>0</v>
      </c>
      <c r="M19" s="2">
        <v>0</v>
      </c>
      <c r="N19" s="2">
        <v>0</v>
      </c>
      <c r="O19" s="2">
        <v>0</v>
      </c>
    </row>
    <row r="20" spans="1:15">
      <c r="B20" s="2" t="s">
        <v>374</v>
      </c>
      <c r="C20" s="110">
        <v>7300000</v>
      </c>
      <c r="D20" s="2">
        <v>6277710</v>
      </c>
      <c r="E20" s="2">
        <v>6277710</v>
      </c>
      <c r="F20" s="2">
        <v>5771884</v>
      </c>
      <c r="G20" s="2">
        <v>5771884</v>
      </c>
      <c r="H20" s="2">
        <v>5196768</v>
      </c>
      <c r="I20" s="2">
        <v>4710947</v>
      </c>
      <c r="J20" s="2">
        <v>4159100</v>
      </c>
      <c r="K20" s="2">
        <v>2638882</v>
      </c>
      <c r="L20" s="2">
        <v>0</v>
      </c>
      <c r="M20" s="2">
        <v>0</v>
      </c>
      <c r="N20" s="2">
        <v>0</v>
      </c>
      <c r="O20" s="2">
        <v>0</v>
      </c>
    </row>
    <row r="21" spans="1:15">
      <c r="B21" s="2" t="s">
        <v>368</v>
      </c>
      <c r="C21" s="110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4504</v>
      </c>
    </row>
    <row r="22" spans="1:15">
      <c r="B22" s="2" t="s">
        <v>65</v>
      </c>
      <c r="C22" s="110">
        <v>0</v>
      </c>
      <c r="D22" s="2">
        <v>75177</v>
      </c>
      <c r="E22" s="2">
        <v>109421</v>
      </c>
      <c r="F22" s="2">
        <v>151629</v>
      </c>
      <c r="G22" s="2">
        <v>200980</v>
      </c>
      <c r="H22" s="2">
        <v>230515</v>
      </c>
      <c r="I22" s="2">
        <v>277017</v>
      </c>
      <c r="J22" s="2">
        <v>320754</v>
      </c>
      <c r="K22" s="2">
        <v>360471</v>
      </c>
      <c r="L22" s="2">
        <v>402132</v>
      </c>
      <c r="M22" s="2">
        <v>438440</v>
      </c>
      <c r="N22" s="2">
        <v>483285</v>
      </c>
      <c r="O22" s="2">
        <v>526662</v>
      </c>
    </row>
    <row r="23" spans="1:15">
      <c r="A23" s="2" t="s">
        <v>66</v>
      </c>
      <c r="C23" s="110">
        <v>7339666</v>
      </c>
      <c r="D23" s="2">
        <v>6392553</v>
      </c>
      <c r="E23" s="2">
        <v>6426797</v>
      </c>
      <c r="F23" s="2">
        <v>5963179</v>
      </c>
      <c r="G23" s="2">
        <v>6012530</v>
      </c>
      <c r="H23" s="2">
        <v>5466949</v>
      </c>
      <c r="I23" s="2">
        <v>5027630</v>
      </c>
      <c r="J23" s="2">
        <v>4519520</v>
      </c>
      <c r="K23" s="2">
        <v>3039019</v>
      </c>
      <c r="L23" s="2">
        <v>402132</v>
      </c>
      <c r="M23" s="2">
        <v>438440</v>
      </c>
      <c r="N23" s="2">
        <v>483285</v>
      </c>
      <c r="O23" s="2">
        <v>531166</v>
      </c>
    </row>
    <row r="24" spans="1:15">
      <c r="A24" s="2" t="s">
        <v>67</v>
      </c>
      <c r="C24" s="110">
        <v>12526841</v>
      </c>
      <c r="D24" s="2">
        <v>12432024</v>
      </c>
      <c r="E24" s="2">
        <v>12244931</v>
      </c>
      <c r="F24" s="2">
        <v>12333237</v>
      </c>
      <c r="G24" s="2">
        <v>12270521</v>
      </c>
      <c r="H24" s="2">
        <v>12278453</v>
      </c>
      <c r="I24" s="2">
        <v>12428995</v>
      </c>
      <c r="J24" s="2">
        <v>12170329</v>
      </c>
      <c r="K24" s="2">
        <v>12208931</v>
      </c>
      <c r="L24" s="2">
        <v>12248884</v>
      </c>
      <c r="M24" s="2">
        <v>12795615</v>
      </c>
      <c r="N24" s="2">
        <v>13203560</v>
      </c>
      <c r="O24" s="2">
        <v>13639312</v>
      </c>
    </row>
    <row r="25" spans="1:15">
      <c r="A25" s="2" t="s">
        <v>68</v>
      </c>
    </row>
    <row r="26" spans="1:15">
      <c r="A26" s="2" t="s">
        <v>69</v>
      </c>
    </row>
    <row r="27" spans="1:15">
      <c r="B27" s="2" t="s">
        <v>70</v>
      </c>
    </row>
    <row r="28" spans="1:15">
      <c r="B28" s="2" t="s">
        <v>355</v>
      </c>
    </row>
    <row r="29" spans="1:15">
      <c r="B29" s="2" t="s">
        <v>71</v>
      </c>
    </row>
    <row r="30" spans="1:15">
      <c r="B30" s="2" t="s">
        <v>72</v>
      </c>
    </row>
    <row r="31" spans="1:15">
      <c r="B31" s="2" t="s">
        <v>73</v>
      </c>
    </row>
    <row r="32" spans="1:15">
      <c r="A32" s="2" t="s">
        <v>74</v>
      </c>
    </row>
    <row r="33" spans="1:15">
      <c r="A33" s="2" t="s">
        <v>75</v>
      </c>
    </row>
    <row r="34" spans="1:15">
      <c r="B34" s="1" t="s">
        <v>176</v>
      </c>
      <c r="C34" s="110">
        <v>795000</v>
      </c>
      <c r="D34" s="2">
        <v>768500</v>
      </c>
      <c r="E34" s="2">
        <v>742000</v>
      </c>
      <c r="F34" s="2">
        <v>715500</v>
      </c>
      <c r="G34" s="2">
        <v>689000</v>
      </c>
      <c r="H34" s="2">
        <v>662500</v>
      </c>
      <c r="I34" s="2">
        <v>636000</v>
      </c>
      <c r="J34" s="2">
        <v>609500</v>
      </c>
      <c r="K34" s="2">
        <v>583000</v>
      </c>
      <c r="L34" s="2">
        <v>556500</v>
      </c>
      <c r="M34" s="2">
        <v>530000</v>
      </c>
      <c r="N34" s="2">
        <v>503500</v>
      </c>
      <c r="O34" s="2">
        <v>477000</v>
      </c>
    </row>
    <row r="35" spans="1:15">
      <c r="A35" s="2" t="s">
        <v>76</v>
      </c>
      <c r="C35" s="110">
        <v>795000</v>
      </c>
      <c r="D35" s="2">
        <v>768500</v>
      </c>
      <c r="E35" s="2">
        <v>742000</v>
      </c>
      <c r="F35" s="2">
        <v>715500</v>
      </c>
      <c r="G35" s="2">
        <v>689000</v>
      </c>
      <c r="H35" s="2">
        <v>662500</v>
      </c>
      <c r="I35" s="2">
        <v>636000</v>
      </c>
      <c r="J35" s="2">
        <v>609500</v>
      </c>
      <c r="K35" s="2">
        <v>583000</v>
      </c>
      <c r="L35" s="2">
        <v>556500</v>
      </c>
      <c r="M35" s="2">
        <v>530000</v>
      </c>
      <c r="N35" s="2">
        <v>503500</v>
      </c>
      <c r="O35" s="2">
        <v>477000</v>
      </c>
    </row>
    <row r="36" spans="1:15">
      <c r="A36" s="2" t="s">
        <v>77</v>
      </c>
    </row>
    <row r="37" spans="1:15">
      <c r="B37" s="2" t="s">
        <v>175</v>
      </c>
      <c r="C37" s="110">
        <v>6600000</v>
      </c>
      <c r="D37" s="2">
        <v>6600000</v>
      </c>
      <c r="E37" s="2">
        <v>6600000</v>
      </c>
      <c r="F37" s="2">
        <v>6600000</v>
      </c>
      <c r="G37" s="2">
        <v>6600000</v>
      </c>
      <c r="H37" s="2">
        <v>6600000</v>
      </c>
      <c r="I37" s="2">
        <v>6600000</v>
      </c>
      <c r="J37" s="2">
        <v>6600000</v>
      </c>
      <c r="K37" s="2">
        <v>6600000</v>
      </c>
      <c r="L37" s="2">
        <v>6600000</v>
      </c>
      <c r="M37" s="2">
        <v>6600000</v>
      </c>
      <c r="N37" s="2">
        <v>6600000</v>
      </c>
      <c r="O37" s="2">
        <v>6600000</v>
      </c>
    </row>
    <row r="38" spans="1:15">
      <c r="B38" s="2" t="s">
        <v>190</v>
      </c>
      <c r="C38" s="110">
        <v>114983</v>
      </c>
      <c r="D38" s="2">
        <v>114983</v>
      </c>
      <c r="E38" s="2">
        <v>114983</v>
      </c>
      <c r="F38" s="2">
        <v>114983</v>
      </c>
      <c r="G38" s="2">
        <v>114983</v>
      </c>
      <c r="H38" s="2">
        <v>114983</v>
      </c>
      <c r="I38" s="2">
        <v>114983</v>
      </c>
      <c r="J38" s="2">
        <v>114983</v>
      </c>
      <c r="K38" s="2">
        <v>114983</v>
      </c>
      <c r="L38" s="2">
        <v>114983</v>
      </c>
      <c r="M38" s="2">
        <v>114983</v>
      </c>
      <c r="N38" s="2">
        <v>114983</v>
      </c>
      <c r="O38" s="2">
        <v>114983</v>
      </c>
    </row>
    <row r="39" spans="1:15">
      <c r="B39" s="2" t="s">
        <v>78</v>
      </c>
    </row>
    <row r="40" spans="1:15">
      <c r="B40" s="2" t="s">
        <v>356</v>
      </c>
    </row>
    <row r="41" spans="1:15">
      <c r="A41" s="2" t="s">
        <v>79</v>
      </c>
      <c r="C41" s="110">
        <v>6714983</v>
      </c>
      <c r="D41" s="2">
        <v>6714983</v>
      </c>
      <c r="E41" s="2">
        <v>6714983</v>
      </c>
      <c r="F41" s="2">
        <v>6714983</v>
      </c>
      <c r="G41" s="2">
        <v>6714983</v>
      </c>
      <c r="H41" s="2">
        <v>6714983</v>
      </c>
      <c r="I41" s="2">
        <v>6714983</v>
      </c>
      <c r="J41" s="2">
        <v>6714983</v>
      </c>
      <c r="K41" s="2">
        <v>6714983</v>
      </c>
      <c r="L41" s="2">
        <v>6714983</v>
      </c>
      <c r="M41" s="2">
        <v>6714983</v>
      </c>
      <c r="N41" s="2">
        <v>6714983</v>
      </c>
      <c r="O41" s="2">
        <v>6714983</v>
      </c>
    </row>
    <row r="42" spans="1:15">
      <c r="A42" s="2" t="s">
        <v>80</v>
      </c>
      <c r="C42" s="110">
        <v>7509983</v>
      </c>
      <c r="D42" s="2">
        <v>7483483</v>
      </c>
      <c r="E42" s="2">
        <v>7456983</v>
      </c>
      <c r="F42" s="2">
        <v>7430483</v>
      </c>
      <c r="G42" s="2">
        <v>7403983</v>
      </c>
      <c r="H42" s="2">
        <v>7377483</v>
      </c>
      <c r="I42" s="2">
        <v>7350983</v>
      </c>
      <c r="J42" s="2">
        <v>7324483</v>
      </c>
      <c r="K42" s="2">
        <v>7297983</v>
      </c>
      <c r="L42" s="2">
        <v>7271483</v>
      </c>
      <c r="M42" s="2">
        <v>7244983</v>
      </c>
      <c r="N42" s="2">
        <v>7218483</v>
      </c>
      <c r="O42" s="2">
        <v>7191983</v>
      </c>
    </row>
    <row r="43" spans="1:15">
      <c r="A43" s="2" t="s">
        <v>81</v>
      </c>
    </row>
    <row r="44" spans="1:15">
      <c r="A44" s="2" t="s">
        <v>82</v>
      </c>
    </row>
    <row r="45" spans="1:15">
      <c r="A45" s="2" t="s">
        <v>83</v>
      </c>
    </row>
    <row r="46" spans="1:15">
      <c r="A46" s="2" t="s">
        <v>84</v>
      </c>
    </row>
    <row r="47" spans="1:15" s="111" customFormat="1">
      <c r="A47" s="111" t="s">
        <v>85</v>
      </c>
      <c r="C47" s="378">
        <v>20036824</v>
      </c>
      <c r="D47" s="111">
        <v>19915507</v>
      </c>
      <c r="E47" s="111">
        <v>19701914</v>
      </c>
      <c r="F47" s="111">
        <v>19763720</v>
      </c>
      <c r="G47" s="111">
        <v>19674504</v>
      </c>
      <c r="H47" s="111">
        <v>19655936</v>
      </c>
      <c r="I47" s="111">
        <v>19779978</v>
      </c>
      <c r="J47" s="111">
        <v>19494812</v>
      </c>
      <c r="K47" s="111">
        <v>19506914</v>
      </c>
      <c r="L47" s="111">
        <v>19520367</v>
      </c>
      <c r="M47" s="111">
        <v>20040598</v>
      </c>
      <c r="N47" s="111">
        <v>20422043</v>
      </c>
      <c r="O47" s="111">
        <v>20831295</v>
      </c>
    </row>
    <row r="48" spans="1:15">
      <c r="A48" s="2" t="s">
        <v>86</v>
      </c>
    </row>
    <row r="49" spans="1:15">
      <c r="A49" s="2" t="s">
        <v>87</v>
      </c>
    </row>
    <row r="50" spans="1:15">
      <c r="A50" s="2" t="s">
        <v>88</v>
      </c>
    </row>
    <row r="51" spans="1:15">
      <c r="B51" s="2" t="s">
        <v>89</v>
      </c>
    </row>
    <row r="52" spans="1:15">
      <c r="A52" s="2" t="s">
        <v>90</v>
      </c>
    </row>
    <row r="53" spans="1:15">
      <c r="A53" s="2" t="s">
        <v>91</v>
      </c>
    </row>
    <row r="54" spans="1:15">
      <c r="B54" s="2" t="s">
        <v>357</v>
      </c>
    </row>
    <row r="55" spans="1:15">
      <c r="B55" s="2" t="s">
        <v>92</v>
      </c>
      <c r="C55" s="110">
        <v>250000</v>
      </c>
      <c r="D55" s="2">
        <v>250000</v>
      </c>
      <c r="E55" s="2">
        <v>349280</v>
      </c>
      <c r="F55" s="2">
        <v>349280</v>
      </c>
      <c r="G55" s="2">
        <v>349280</v>
      </c>
      <c r="H55" s="2">
        <v>349280</v>
      </c>
      <c r="I55" s="2">
        <v>301677</v>
      </c>
      <c r="J55" s="2">
        <v>301677</v>
      </c>
      <c r="K55" s="2">
        <v>301677</v>
      </c>
      <c r="L55" s="2">
        <v>301677</v>
      </c>
      <c r="M55" s="2">
        <v>315252</v>
      </c>
      <c r="N55" s="2">
        <v>301677</v>
      </c>
      <c r="O55" s="2">
        <v>271677</v>
      </c>
    </row>
    <row r="56" spans="1:15">
      <c r="B56" s="2" t="s">
        <v>93</v>
      </c>
      <c r="C56" s="110">
        <v>154397</v>
      </c>
      <c r="D56" s="2">
        <v>277182</v>
      </c>
      <c r="E56" s="2">
        <v>174937</v>
      </c>
      <c r="F56" s="2">
        <v>256413</v>
      </c>
      <c r="G56" s="2">
        <v>233345</v>
      </c>
      <c r="H56" s="2">
        <v>201349</v>
      </c>
      <c r="I56" s="2">
        <v>346833</v>
      </c>
      <c r="J56" s="2">
        <v>214413</v>
      </c>
      <c r="K56" s="2">
        <v>179884</v>
      </c>
      <c r="L56" s="2">
        <v>215524</v>
      </c>
      <c r="M56" s="2">
        <v>194764</v>
      </c>
      <c r="N56" s="2">
        <v>261959</v>
      </c>
      <c r="O56" s="2">
        <v>299367</v>
      </c>
    </row>
    <row r="57" spans="1:15">
      <c r="B57" s="2" t="s">
        <v>94</v>
      </c>
      <c r="C57" s="110">
        <v>0</v>
      </c>
      <c r="D57" s="2">
        <v>0</v>
      </c>
      <c r="E57" s="2">
        <v>720</v>
      </c>
      <c r="F57" s="2">
        <v>1440</v>
      </c>
      <c r="G57" s="2">
        <v>14412</v>
      </c>
      <c r="H57" s="2">
        <v>15132</v>
      </c>
      <c r="I57" s="2">
        <v>18195</v>
      </c>
      <c r="J57" s="2">
        <v>6126</v>
      </c>
      <c r="K57" s="2">
        <v>9189</v>
      </c>
      <c r="L57" s="2">
        <v>12252</v>
      </c>
      <c r="M57" s="2">
        <v>15315</v>
      </c>
      <c r="N57" s="2">
        <v>18378</v>
      </c>
      <c r="O57" s="2">
        <v>21441</v>
      </c>
    </row>
    <row r="58" spans="1:15">
      <c r="B58" s="2" t="s">
        <v>95</v>
      </c>
      <c r="C58" s="110">
        <v>21421</v>
      </c>
      <c r="D58" s="2">
        <v>-1101</v>
      </c>
      <c r="E58" s="2">
        <v>-48041</v>
      </c>
      <c r="F58" s="2">
        <v>-35820</v>
      </c>
      <c r="G58" s="2">
        <v>-10303</v>
      </c>
      <c r="H58" s="2">
        <v>5031</v>
      </c>
      <c r="I58" s="2">
        <v>106718</v>
      </c>
      <c r="J58" s="2">
        <v>18300</v>
      </c>
      <c r="K58" s="2">
        <v>70307</v>
      </c>
      <c r="L58" s="2">
        <v>-185</v>
      </c>
      <c r="M58" s="2">
        <v>0</v>
      </c>
      <c r="N58" s="2">
        <v>30000</v>
      </c>
      <c r="O58" s="2">
        <v>11080</v>
      </c>
    </row>
    <row r="59" spans="1:15">
      <c r="B59" s="2" t="s">
        <v>198</v>
      </c>
      <c r="C59" s="110">
        <v>135600</v>
      </c>
      <c r="D59" s="2">
        <v>135600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</row>
    <row r="60" spans="1:15">
      <c r="B60" s="2" t="s">
        <v>96</v>
      </c>
      <c r="C60" s="110">
        <v>70000</v>
      </c>
      <c r="D60" s="2">
        <v>70000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</row>
    <row r="61" spans="1:15">
      <c r="B61" s="2" t="s">
        <v>97</v>
      </c>
      <c r="C61" s="110">
        <v>0</v>
      </c>
      <c r="D61" s="2">
        <v>62283</v>
      </c>
      <c r="E61" s="2">
        <v>118267</v>
      </c>
      <c r="F61" s="2">
        <v>175432</v>
      </c>
      <c r="G61" s="2">
        <v>232599</v>
      </c>
      <c r="H61" s="2">
        <v>280853</v>
      </c>
      <c r="I61" s="2">
        <v>337660</v>
      </c>
      <c r="J61" s="2">
        <v>394964</v>
      </c>
      <c r="K61" s="2">
        <v>451579</v>
      </c>
      <c r="L61" s="2">
        <v>515925</v>
      </c>
      <c r="M61" s="2">
        <v>618986</v>
      </c>
      <c r="N61" s="2">
        <v>708026</v>
      </c>
      <c r="O61" s="2">
        <v>806873</v>
      </c>
    </row>
    <row r="62" spans="1:15">
      <c r="B62" s="2" t="s">
        <v>358</v>
      </c>
    </row>
    <row r="63" spans="1:15">
      <c r="B63" s="2" t="s">
        <v>98</v>
      </c>
      <c r="C63" s="110">
        <v>1200000</v>
      </c>
      <c r="D63" s="2">
        <v>1200000</v>
      </c>
      <c r="E63" s="2">
        <v>1200000</v>
      </c>
      <c r="F63" s="2">
        <v>1200000</v>
      </c>
      <c r="G63" s="2">
        <v>1200000</v>
      </c>
      <c r="H63" s="2">
        <v>1200000</v>
      </c>
      <c r="I63" s="2">
        <v>1200000</v>
      </c>
      <c r="J63" s="2">
        <v>1200000</v>
      </c>
      <c r="K63" s="2">
        <v>1200000</v>
      </c>
      <c r="L63" s="2">
        <v>1200000</v>
      </c>
      <c r="M63" s="2">
        <v>0</v>
      </c>
      <c r="N63" s="2">
        <v>0</v>
      </c>
      <c r="O63" s="2">
        <v>0</v>
      </c>
    </row>
    <row r="64" spans="1:15">
      <c r="A64" s="2" t="s">
        <v>99</v>
      </c>
      <c r="C64" s="110">
        <v>1831418</v>
      </c>
      <c r="D64" s="2">
        <v>1993964</v>
      </c>
      <c r="E64" s="2">
        <v>1795163</v>
      </c>
      <c r="F64" s="2">
        <v>1946745</v>
      </c>
      <c r="G64" s="2">
        <v>2019333</v>
      </c>
      <c r="H64" s="2">
        <v>2051645</v>
      </c>
      <c r="I64" s="2">
        <v>2311083</v>
      </c>
      <c r="J64" s="2">
        <v>2135480</v>
      </c>
      <c r="K64" s="2">
        <v>2212636</v>
      </c>
      <c r="L64" s="2">
        <v>2245193</v>
      </c>
      <c r="M64" s="2">
        <v>1144317</v>
      </c>
      <c r="N64" s="2">
        <v>1320040</v>
      </c>
      <c r="O64" s="2">
        <v>1410438</v>
      </c>
    </row>
    <row r="65" spans="1:15">
      <c r="A65" s="2" t="s">
        <v>100</v>
      </c>
      <c r="C65" s="110">
        <v>1831418</v>
      </c>
      <c r="D65" s="2">
        <v>1993964</v>
      </c>
      <c r="E65" s="2">
        <v>1795163</v>
      </c>
      <c r="F65" s="2">
        <v>1946745</v>
      </c>
      <c r="G65" s="2">
        <v>2019333</v>
      </c>
      <c r="H65" s="2">
        <v>2051645</v>
      </c>
      <c r="I65" s="2">
        <v>2311083</v>
      </c>
      <c r="J65" s="2">
        <v>2135480</v>
      </c>
      <c r="K65" s="2">
        <v>2212636</v>
      </c>
      <c r="L65" s="2">
        <v>2245193</v>
      </c>
      <c r="M65" s="2">
        <v>1144317</v>
      </c>
      <c r="N65" s="2">
        <v>1320040</v>
      </c>
      <c r="O65" s="2">
        <v>1410438</v>
      </c>
    </row>
    <row r="66" spans="1:15">
      <c r="A66" s="2" t="s">
        <v>101</v>
      </c>
    </row>
    <row r="67" spans="1:15">
      <c r="B67" s="2" t="s">
        <v>102</v>
      </c>
      <c r="C67" s="110">
        <v>8800000</v>
      </c>
      <c r="D67" s="2">
        <v>8800000</v>
      </c>
      <c r="E67" s="2">
        <v>8800000</v>
      </c>
      <c r="F67" s="2">
        <v>8800000</v>
      </c>
      <c r="G67" s="2">
        <v>8800000</v>
      </c>
      <c r="H67" s="2">
        <v>8800000</v>
      </c>
      <c r="I67" s="2">
        <v>8800000</v>
      </c>
      <c r="J67" s="2">
        <v>8800000</v>
      </c>
      <c r="K67" s="2">
        <v>8800000</v>
      </c>
      <c r="L67" s="2">
        <v>8800000</v>
      </c>
      <c r="M67" s="2">
        <v>10000000</v>
      </c>
      <c r="N67" s="2">
        <v>10000000</v>
      </c>
      <c r="O67" s="2">
        <v>10000000</v>
      </c>
    </row>
    <row r="68" spans="1:15">
      <c r="A68" s="2" t="s">
        <v>103</v>
      </c>
      <c r="C68" s="110">
        <v>8800000</v>
      </c>
      <c r="D68" s="2">
        <v>8800000</v>
      </c>
      <c r="E68" s="2">
        <v>8800000</v>
      </c>
      <c r="F68" s="2">
        <v>8800000</v>
      </c>
      <c r="G68" s="2">
        <v>8800000</v>
      </c>
      <c r="H68" s="2">
        <v>8800000</v>
      </c>
      <c r="I68" s="2">
        <v>8800000</v>
      </c>
      <c r="J68" s="2">
        <v>8800000</v>
      </c>
      <c r="K68" s="2">
        <v>8800000</v>
      </c>
      <c r="L68" s="2">
        <v>8800000</v>
      </c>
      <c r="M68" s="2">
        <v>10000000</v>
      </c>
      <c r="N68" s="2">
        <v>10000000</v>
      </c>
      <c r="O68" s="2">
        <v>10000000</v>
      </c>
    </row>
    <row r="69" spans="1:15" s="111" customFormat="1">
      <c r="A69" s="111" t="s">
        <v>104</v>
      </c>
      <c r="C69" s="378">
        <v>10631418</v>
      </c>
      <c r="D69" s="111">
        <v>10793964</v>
      </c>
      <c r="E69" s="111">
        <v>10595163</v>
      </c>
      <c r="F69" s="111">
        <v>10746745</v>
      </c>
      <c r="G69" s="111">
        <v>10819333</v>
      </c>
      <c r="H69" s="111">
        <v>10851645</v>
      </c>
      <c r="I69" s="111">
        <v>11111083</v>
      </c>
      <c r="J69" s="111">
        <v>10935480</v>
      </c>
      <c r="K69" s="111">
        <v>11012636</v>
      </c>
      <c r="L69" s="111">
        <v>11045193</v>
      </c>
      <c r="M69" s="111">
        <v>11144317</v>
      </c>
      <c r="N69" s="111">
        <v>11320040</v>
      </c>
      <c r="O69" s="111">
        <v>11410438</v>
      </c>
    </row>
    <row r="70" spans="1:15">
      <c r="A70" s="2" t="s">
        <v>105</v>
      </c>
    </row>
    <row r="71" spans="1:15">
      <c r="A71" s="2" t="s">
        <v>106</v>
      </c>
    </row>
    <row r="72" spans="1:15">
      <c r="A72" s="2" t="s">
        <v>107</v>
      </c>
    </row>
    <row r="73" spans="1:15">
      <c r="B73" s="2" t="s">
        <v>107</v>
      </c>
      <c r="C73" s="110">
        <v>3000000</v>
      </c>
      <c r="D73" s="2">
        <v>3000000</v>
      </c>
      <c r="E73" s="2">
        <v>3000000</v>
      </c>
      <c r="F73" s="2">
        <v>3000000</v>
      </c>
      <c r="G73" s="2">
        <v>3000000</v>
      </c>
      <c r="H73" s="2">
        <v>3000000</v>
      </c>
      <c r="I73" s="2">
        <v>3000000</v>
      </c>
      <c r="J73" s="2">
        <v>3000000</v>
      </c>
      <c r="K73" s="2">
        <v>3000000</v>
      </c>
      <c r="L73" s="2">
        <v>3000000</v>
      </c>
      <c r="M73" s="2">
        <v>3000000</v>
      </c>
      <c r="N73" s="2">
        <v>3000000</v>
      </c>
      <c r="O73" s="2">
        <v>3000000</v>
      </c>
    </row>
    <row r="74" spans="1:15">
      <c r="A74" s="2" t="s">
        <v>108</v>
      </c>
      <c r="C74" s="110">
        <v>3000000</v>
      </c>
      <c r="D74" s="2">
        <v>3000000</v>
      </c>
      <c r="E74" s="2">
        <v>3000000</v>
      </c>
      <c r="F74" s="2">
        <v>3000000</v>
      </c>
      <c r="G74" s="2">
        <v>3000000</v>
      </c>
      <c r="H74" s="2">
        <v>3000000</v>
      </c>
      <c r="I74" s="2">
        <v>3000000</v>
      </c>
      <c r="J74" s="2">
        <v>3000000</v>
      </c>
      <c r="K74" s="2">
        <v>3000000</v>
      </c>
      <c r="L74" s="2">
        <v>3000000</v>
      </c>
      <c r="M74" s="2">
        <v>3000000</v>
      </c>
      <c r="N74" s="2">
        <v>3000000</v>
      </c>
      <c r="O74" s="2">
        <v>3000000</v>
      </c>
    </row>
    <row r="75" spans="1:15">
      <c r="A75" s="2" t="s">
        <v>109</v>
      </c>
    </row>
    <row r="76" spans="1:15">
      <c r="A76" s="2" t="s">
        <v>110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</row>
    <row r="77" spans="1:15">
      <c r="A77" s="2" t="s">
        <v>111</v>
      </c>
    </row>
    <row r="78" spans="1:15">
      <c r="A78" s="2" t="s">
        <v>112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</row>
    <row r="79" spans="1:15">
      <c r="A79" s="2" t="s">
        <v>113</v>
      </c>
    </row>
    <row r="80" spans="1:15">
      <c r="A80" s="2" t="s">
        <v>114</v>
      </c>
      <c r="C80" s="110">
        <v>6405406</v>
      </c>
      <c r="D80" s="2">
        <v>6121543</v>
      </c>
      <c r="E80" s="2">
        <v>6106751</v>
      </c>
      <c r="F80" s="2">
        <v>6016975</v>
      </c>
      <c r="G80" s="2">
        <v>5855171</v>
      </c>
      <c r="H80" s="2">
        <v>5804291</v>
      </c>
      <c r="I80" s="2">
        <v>5668895</v>
      </c>
      <c r="J80" s="2">
        <v>5559332</v>
      </c>
      <c r="K80" s="2">
        <v>5494278</v>
      </c>
      <c r="L80" s="2">
        <v>5475174</v>
      </c>
      <c r="M80" s="2">
        <v>5896281</v>
      </c>
      <c r="N80" s="2">
        <v>6102003</v>
      </c>
      <c r="O80" s="2">
        <v>6420857</v>
      </c>
    </row>
    <row r="81" spans="1:15">
      <c r="A81" s="2" t="s">
        <v>115</v>
      </c>
      <c r="D81" s="2">
        <v>-283863</v>
      </c>
      <c r="E81" s="2">
        <v>-298655</v>
      </c>
      <c r="F81" s="2">
        <v>-388431</v>
      </c>
      <c r="G81" s="2">
        <v>-550235</v>
      </c>
      <c r="H81" s="2">
        <v>-601115</v>
      </c>
      <c r="I81" s="2">
        <v>-736511</v>
      </c>
      <c r="J81" s="2">
        <v>-846074</v>
      </c>
      <c r="K81" s="2">
        <v>-911128</v>
      </c>
      <c r="L81" s="2">
        <v>-930232</v>
      </c>
      <c r="M81" s="2">
        <v>-509125</v>
      </c>
      <c r="N81" s="2">
        <v>-303403</v>
      </c>
      <c r="O81" s="2">
        <v>15451</v>
      </c>
    </row>
    <row r="82" spans="1:15">
      <c r="A82" s="2" t="s">
        <v>116</v>
      </c>
      <c r="C82" s="110">
        <v>6405406</v>
      </c>
      <c r="D82" s="2">
        <v>6121543</v>
      </c>
      <c r="E82" s="2">
        <v>6106751</v>
      </c>
      <c r="F82" s="2">
        <v>6016975</v>
      </c>
      <c r="G82" s="2">
        <v>5855171</v>
      </c>
      <c r="H82" s="2">
        <v>5804291</v>
      </c>
      <c r="I82" s="2">
        <v>5668895</v>
      </c>
      <c r="J82" s="2">
        <v>5559332</v>
      </c>
      <c r="K82" s="2">
        <v>5494278</v>
      </c>
      <c r="L82" s="2">
        <v>5475174</v>
      </c>
      <c r="M82" s="2">
        <v>5896281</v>
      </c>
      <c r="N82" s="2">
        <v>6102003</v>
      </c>
      <c r="O82" s="2">
        <v>6420857</v>
      </c>
    </row>
    <row r="83" spans="1:15">
      <c r="A83" s="2" t="s">
        <v>117</v>
      </c>
    </row>
    <row r="84" spans="1:15">
      <c r="A84" s="2" t="s">
        <v>118</v>
      </c>
    </row>
    <row r="85" spans="1:15">
      <c r="A85" s="2" t="s">
        <v>119</v>
      </c>
    </row>
    <row r="86" spans="1:15">
      <c r="A86" s="2" t="s">
        <v>120</v>
      </c>
    </row>
    <row r="87" spans="1:15">
      <c r="A87" s="2" t="s">
        <v>121</v>
      </c>
      <c r="C87" s="110">
        <v>9405406</v>
      </c>
      <c r="D87" s="2">
        <v>9121543</v>
      </c>
      <c r="E87" s="2">
        <v>9106751</v>
      </c>
      <c r="F87" s="2">
        <v>9016975</v>
      </c>
      <c r="G87" s="2">
        <v>8855171</v>
      </c>
      <c r="H87" s="2">
        <v>8804291</v>
      </c>
      <c r="I87" s="2">
        <v>8668895</v>
      </c>
      <c r="J87" s="2">
        <v>8559332</v>
      </c>
      <c r="K87" s="2">
        <v>8494278</v>
      </c>
      <c r="L87" s="2">
        <v>8475174</v>
      </c>
      <c r="M87" s="2">
        <v>8896281</v>
      </c>
      <c r="N87" s="2">
        <v>9102003</v>
      </c>
      <c r="O87" s="2">
        <v>9420857</v>
      </c>
    </row>
    <row r="88" spans="1:15">
      <c r="A88" s="2" t="s">
        <v>122</v>
      </c>
    </row>
    <row r="89" spans="1:15">
      <c r="A89" s="2" t="s">
        <v>123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</row>
    <row r="90" spans="1:15">
      <c r="A90" s="2" t="s">
        <v>124</v>
      </c>
    </row>
    <row r="91" spans="1:15">
      <c r="A91" s="2" t="s">
        <v>125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</row>
    <row r="92" spans="1:15" s="111" customFormat="1">
      <c r="A92" s="111" t="s">
        <v>126</v>
      </c>
      <c r="C92" s="378">
        <v>9405406</v>
      </c>
      <c r="D92" s="111">
        <v>9121543</v>
      </c>
      <c r="E92" s="111">
        <v>9106751</v>
      </c>
      <c r="F92" s="111">
        <v>9016975</v>
      </c>
      <c r="G92" s="111">
        <v>8855171</v>
      </c>
      <c r="H92" s="111">
        <v>8804291</v>
      </c>
      <c r="I92" s="111">
        <v>8668895</v>
      </c>
      <c r="J92" s="111">
        <v>8559332</v>
      </c>
      <c r="K92" s="111">
        <v>8494278</v>
      </c>
      <c r="L92" s="111">
        <v>8475174</v>
      </c>
      <c r="M92" s="111">
        <v>8896281</v>
      </c>
      <c r="N92" s="111">
        <v>9102003</v>
      </c>
      <c r="O92" s="111">
        <v>9420857</v>
      </c>
    </row>
    <row r="93" spans="1:15" s="111" customFormat="1">
      <c r="A93" s="111" t="s">
        <v>127</v>
      </c>
      <c r="C93" s="378">
        <v>20036824</v>
      </c>
      <c r="D93" s="111">
        <v>19915507</v>
      </c>
      <c r="E93" s="111">
        <v>19701914</v>
      </c>
      <c r="F93" s="111">
        <v>19763720</v>
      </c>
      <c r="G93" s="111">
        <v>19674504</v>
      </c>
      <c r="H93" s="111">
        <v>19655936</v>
      </c>
      <c r="I93" s="111">
        <v>19779978</v>
      </c>
      <c r="J93" s="111">
        <v>19494812</v>
      </c>
      <c r="K93" s="111">
        <v>19506914</v>
      </c>
      <c r="L93" s="111">
        <v>19520367</v>
      </c>
      <c r="M93" s="111">
        <v>20040598</v>
      </c>
      <c r="N93" s="111">
        <v>20422043</v>
      </c>
      <c r="O93" s="111">
        <v>20831295</v>
      </c>
    </row>
    <row r="94" spans="1:15" s="374" customFormat="1">
      <c r="B94" s="379" t="s">
        <v>191</v>
      </c>
      <c r="C94" s="380" t="str">
        <f>IF(C93&lt;&gt;0,+IF(C47=C93,"OK",C47-C93),"")</f>
        <v>OK</v>
      </c>
      <c r="D94" s="379" t="str">
        <f t="shared" ref="D94:O94" si="1">IF(D93&lt;&gt;0,+IF(D47=D93,"OK",D47-D93),"")</f>
        <v>OK</v>
      </c>
      <c r="E94" s="379" t="str">
        <f t="shared" si="1"/>
        <v>OK</v>
      </c>
      <c r="F94" s="379" t="str">
        <f t="shared" si="1"/>
        <v>OK</v>
      </c>
      <c r="G94" s="379" t="str">
        <f t="shared" si="1"/>
        <v>OK</v>
      </c>
      <c r="H94" s="379" t="str">
        <f t="shared" si="1"/>
        <v>OK</v>
      </c>
      <c r="I94" s="379" t="str">
        <f t="shared" si="1"/>
        <v>OK</v>
      </c>
      <c r="J94" s="379" t="str">
        <f t="shared" si="1"/>
        <v>OK</v>
      </c>
      <c r="K94" s="379" t="str">
        <f t="shared" si="1"/>
        <v>OK</v>
      </c>
      <c r="L94" s="379" t="str">
        <f t="shared" si="1"/>
        <v>OK</v>
      </c>
      <c r="M94" s="379" t="str">
        <f t="shared" si="1"/>
        <v>OK</v>
      </c>
      <c r="N94" s="379" t="str">
        <f t="shared" si="1"/>
        <v>OK</v>
      </c>
      <c r="O94" s="379" t="str">
        <f t="shared" si="1"/>
        <v>OK</v>
      </c>
    </row>
  </sheetData>
  <phoneticPr fontId="1"/>
  <pageMargins left="0.7" right="0.7" top="0.75" bottom="0.75" header="0.3" footer="0.3"/>
  <pageSetup paperSize="9" orientation="portrait" verticalDpi="0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 tint="-0.14999847407452621"/>
  </sheetPr>
  <dimension ref="A1:AS103"/>
  <sheetViews>
    <sheetView workbookViewId="0">
      <pane xSplit="2" ySplit="1" topLeftCell="C40" activePane="bottomRight" state="frozen"/>
      <selection pane="topRight" activeCell="C1" sqref="C1"/>
      <selection pane="bottomLeft" activeCell="A2" sqref="A2"/>
      <selection pane="bottomRight" activeCell="Q97" sqref="Q97"/>
    </sheetView>
  </sheetViews>
  <sheetFormatPr defaultRowHeight="17.649999999999999"/>
  <cols>
    <col min="1" max="2" width="14.625" customWidth="1"/>
    <col min="3" max="3" width="10.625" style="128" customWidth="1"/>
    <col min="4" max="12" width="10.625" style="18" customWidth="1"/>
    <col min="13" max="15" width="10.625" customWidth="1"/>
  </cols>
  <sheetData>
    <row r="1" spans="1:45" s="135" customFormat="1" ht="18" thickBot="1">
      <c r="B1" s="135" t="s">
        <v>0</v>
      </c>
      <c r="C1" s="136" t="s">
        <v>146</v>
      </c>
      <c r="D1" s="137" t="s">
        <v>1</v>
      </c>
      <c r="E1" s="137" t="s">
        <v>2</v>
      </c>
      <c r="F1" s="137">
        <f>+月次BS!F1</f>
        <v>9</v>
      </c>
      <c r="G1" s="137">
        <f>+月次BS!G1</f>
        <v>10</v>
      </c>
      <c r="H1" s="137">
        <f>+月次BS!H1</f>
        <v>11</v>
      </c>
      <c r="I1" s="137">
        <f>+月次BS!I1</f>
        <v>12</v>
      </c>
      <c r="J1" s="137">
        <f>+月次BS!J1</f>
        <v>1</v>
      </c>
      <c r="K1" s="137">
        <f>+月次BS!K1</f>
        <v>2</v>
      </c>
      <c r="L1" s="137">
        <f>+月次BS!L1</f>
        <v>3</v>
      </c>
      <c r="M1" s="137">
        <f>+月次BS!M1</f>
        <v>4</v>
      </c>
      <c r="N1" s="137">
        <f>+月次BS!N1</f>
        <v>5</v>
      </c>
      <c r="O1" s="137">
        <f>+月次BS!O1</f>
        <v>6</v>
      </c>
    </row>
    <row r="2" spans="1:45" ht="18" thickTop="1">
      <c r="A2" s="19" t="str">
        <f>+月次BS!A2</f>
        <v>資産の部</v>
      </c>
      <c r="M2" s="18"/>
      <c r="N2" s="18"/>
      <c r="O2" s="18"/>
    </row>
    <row r="3" spans="1:45">
      <c r="A3" t="str">
        <f>+月次BS!A3</f>
        <v>流動資産</v>
      </c>
      <c r="M3" s="18"/>
      <c r="N3" s="18"/>
      <c r="O3" s="18"/>
    </row>
    <row r="4" spans="1:45">
      <c r="A4" t="str">
        <f>+月次BS!A4</f>
        <v>現金及び預金</v>
      </c>
      <c r="M4" s="18"/>
      <c r="N4" s="18"/>
      <c r="O4" s="18"/>
    </row>
    <row r="5" spans="1:45">
      <c r="A5">
        <f>+月次BS!A5</f>
        <v>0</v>
      </c>
      <c r="B5" s="19" t="str">
        <f>+月次BS!B5</f>
        <v>現金</v>
      </c>
      <c r="C5" s="124">
        <f>+月次BS!C5/1000</f>
        <v>0</v>
      </c>
      <c r="D5" s="18">
        <f>+月次BS!D5/1000</f>
        <v>0</v>
      </c>
      <c r="E5" s="18">
        <f>+月次BS!E5/1000</f>
        <v>0</v>
      </c>
      <c r="F5" s="18">
        <f>+月次BS!F5/1000</f>
        <v>0</v>
      </c>
      <c r="G5" s="18">
        <f>+月次BS!G5/1000</f>
        <v>0</v>
      </c>
      <c r="H5" s="18">
        <f>+月次BS!H5/1000</f>
        <v>0</v>
      </c>
      <c r="I5" s="18">
        <f>+月次BS!I5/1000</f>
        <v>0</v>
      </c>
      <c r="J5" s="18">
        <f>+月次BS!J5/1000</f>
        <v>0</v>
      </c>
      <c r="K5" s="18">
        <f>+月次BS!K5/1000</f>
        <v>0</v>
      </c>
      <c r="L5" s="18">
        <f>+月次BS!L5/1000</f>
        <v>0</v>
      </c>
      <c r="M5" s="18">
        <f>+月次BS!M5/1000</f>
        <v>0</v>
      </c>
      <c r="N5" s="18">
        <f>+月次BS!N5/1000</f>
        <v>0</v>
      </c>
      <c r="O5" s="18">
        <f>+月次BS!O5/1000</f>
        <v>0</v>
      </c>
    </row>
    <row r="6" spans="1:45">
      <c r="A6">
        <f>+月次BS!A6</f>
        <v>0</v>
      </c>
      <c r="B6" s="19" t="str">
        <f>+月次BS!B6</f>
        <v>普通預金</v>
      </c>
      <c r="C6" s="124">
        <f>+月次BS!C6/1000</f>
        <v>0</v>
      </c>
      <c r="D6" s="18">
        <f>+月次BS!D6/1000</f>
        <v>0</v>
      </c>
      <c r="E6" s="18">
        <f>+月次BS!E6/1000</f>
        <v>0</v>
      </c>
      <c r="F6" s="18">
        <f>+月次BS!F6/1000</f>
        <v>0</v>
      </c>
      <c r="G6" s="18">
        <f>+月次BS!G6/1000</f>
        <v>0</v>
      </c>
      <c r="H6" s="18">
        <f>+月次BS!H6/1000</f>
        <v>0</v>
      </c>
      <c r="I6" s="18">
        <f>+月次BS!I6/1000</f>
        <v>0</v>
      </c>
      <c r="J6" s="18">
        <f>+月次BS!J6/1000</f>
        <v>0</v>
      </c>
      <c r="K6" s="18">
        <f>+月次BS!K6/1000</f>
        <v>0</v>
      </c>
      <c r="L6" s="18">
        <f>+月次BS!L6/1000</f>
        <v>0</v>
      </c>
      <c r="M6" s="18">
        <f>+月次BS!M6/1000</f>
        <v>0</v>
      </c>
      <c r="N6" s="18">
        <f>+月次BS!N6/1000</f>
        <v>0</v>
      </c>
      <c r="O6" s="18">
        <f>+月次BS!O6/1000</f>
        <v>0</v>
      </c>
    </row>
    <row r="7" spans="1:45" s="21" customFormat="1">
      <c r="A7" s="21" t="str">
        <f>+月次BS!A7</f>
        <v>現金及び預金合計</v>
      </c>
      <c r="B7" s="129">
        <f>+月次BS!B7</f>
        <v>0</v>
      </c>
      <c r="C7" s="125">
        <f>+月次BS!C7/1000</f>
        <v>2348.989</v>
      </c>
      <c r="D7" s="22">
        <f>+月次BS!D7/1000</f>
        <v>2725.1689999999999</v>
      </c>
      <c r="E7" s="22">
        <f>+月次BS!E7/1000</f>
        <v>1998.0060000000001</v>
      </c>
      <c r="F7" s="22">
        <f>+月次BS!F7/1000</f>
        <v>2031.1089999999999</v>
      </c>
      <c r="G7" s="22">
        <f>+月次BS!G7/1000</f>
        <v>1400.1949999999999</v>
      </c>
      <c r="H7" s="22">
        <f>+月次BS!H7/1000</f>
        <v>1532.912</v>
      </c>
      <c r="I7" s="22">
        <f>+月次BS!I7/1000</f>
        <v>1488.143</v>
      </c>
      <c r="J7" s="22">
        <f>+月次BS!J7/1000</f>
        <v>1217.2380000000001</v>
      </c>
      <c r="K7" s="22">
        <f>+月次BS!K7/1000</f>
        <v>2273.5680000000002</v>
      </c>
      <c r="L7" s="22">
        <f>+月次BS!L7/1000</f>
        <v>5469.2389999999996</v>
      </c>
      <c r="M7" s="22">
        <f>+月次BS!M7/1000</f>
        <v>5065.9840000000004</v>
      </c>
      <c r="N7" s="22">
        <f>+月次BS!N7/1000</f>
        <v>4720.9799999999996</v>
      </c>
      <c r="O7" s="22">
        <f>+月次BS!O7/1000</f>
        <v>4131.5290000000005</v>
      </c>
    </row>
    <row r="8" spans="1:45">
      <c r="A8" t="str">
        <f>+月次BS!A8</f>
        <v>売上債権</v>
      </c>
      <c r="B8" s="19">
        <f>+月次BS!B8</f>
        <v>0</v>
      </c>
      <c r="C8" s="124">
        <f>+月次BS!C8/1000</f>
        <v>0</v>
      </c>
      <c r="D8" s="18">
        <f>+月次BS!D8/1000</f>
        <v>0</v>
      </c>
      <c r="E8" s="18">
        <f>+月次BS!E8/1000</f>
        <v>0</v>
      </c>
      <c r="F8" s="18">
        <f>+月次BS!F8/1000</f>
        <v>0</v>
      </c>
      <c r="G8" s="18">
        <f>+月次BS!G8/1000</f>
        <v>0</v>
      </c>
      <c r="H8" s="18">
        <f>+月次BS!H8/1000</f>
        <v>0</v>
      </c>
      <c r="I8" s="18">
        <f>+月次BS!I8/1000</f>
        <v>0</v>
      </c>
      <c r="J8" s="18">
        <f>+月次BS!J8/1000</f>
        <v>0</v>
      </c>
      <c r="K8" s="18">
        <f>+月次BS!K8/1000</f>
        <v>0</v>
      </c>
      <c r="L8" s="18">
        <f>+月次BS!L8/1000</f>
        <v>0</v>
      </c>
      <c r="M8" s="18">
        <f>+月次BS!M8/1000</f>
        <v>0</v>
      </c>
      <c r="N8" s="18">
        <f>+月次BS!N8/1000</f>
        <v>0</v>
      </c>
      <c r="O8" s="18">
        <f>+月次BS!O8/1000</f>
        <v>0</v>
      </c>
    </row>
    <row r="9" spans="1:45" s="20" customFormat="1">
      <c r="A9">
        <f>+月次BS!A9</f>
        <v>0</v>
      </c>
      <c r="B9" s="19" t="str">
        <f>+月次BS!B9</f>
        <v>売掛金</v>
      </c>
      <c r="C9" s="124">
        <f>+月次BS!C9/1000</f>
        <v>2838.1860000000001</v>
      </c>
      <c r="D9" s="18">
        <f>+月次BS!D9/1000</f>
        <v>3314.3020000000001</v>
      </c>
      <c r="E9" s="18">
        <f>+月次BS!E9/1000</f>
        <v>3820.1280000000002</v>
      </c>
      <c r="F9" s="18">
        <f>+月次BS!F9/1000</f>
        <v>4338.9489999999996</v>
      </c>
      <c r="G9" s="18">
        <f>+月次BS!G9/1000</f>
        <v>4857.7960000000003</v>
      </c>
      <c r="H9" s="18">
        <f>+月次BS!H9/1000</f>
        <v>5278.5919999999996</v>
      </c>
      <c r="I9" s="18">
        <f>+月次BS!I9/1000</f>
        <v>5913.2219999999998</v>
      </c>
      <c r="J9" s="18">
        <f>+月次BS!J9/1000</f>
        <v>6433.5709999999999</v>
      </c>
      <c r="K9" s="18">
        <f>+月次BS!K9/1000</f>
        <v>6896.3440000000001</v>
      </c>
      <c r="L9" s="18">
        <f>+月次BS!L9/1000</f>
        <v>6377.5129999999999</v>
      </c>
      <c r="M9" s="18">
        <f>+月次BS!M9/1000</f>
        <v>7291.1909999999998</v>
      </c>
      <c r="N9" s="18">
        <f>+月次BS!N9/1000</f>
        <v>7999.2950000000001</v>
      </c>
      <c r="O9" s="18">
        <f>+月次BS!O9/1000</f>
        <v>8976.6170000000002</v>
      </c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</row>
    <row r="10" spans="1:45" s="23" customFormat="1">
      <c r="A10" s="21" t="str">
        <f>+月次BS!A10</f>
        <v>売上債権合計</v>
      </c>
      <c r="B10" s="129">
        <f>+月次BS!B10</f>
        <v>0</v>
      </c>
      <c r="C10" s="125">
        <f>+月次BS!C10/1000</f>
        <v>2838.1860000000001</v>
      </c>
      <c r="D10" s="22">
        <f>+月次BS!D10/1000</f>
        <v>3314.3020000000001</v>
      </c>
      <c r="E10" s="22">
        <f>+月次BS!E10/1000</f>
        <v>3820.1280000000002</v>
      </c>
      <c r="F10" s="22">
        <f>+月次BS!F10/1000</f>
        <v>4338.9489999999996</v>
      </c>
      <c r="G10" s="22">
        <f>+月次BS!G10/1000</f>
        <v>4857.7960000000003</v>
      </c>
      <c r="H10" s="22">
        <f>+月次BS!H10/1000</f>
        <v>5278.5919999999996</v>
      </c>
      <c r="I10" s="22">
        <f>+月次BS!I10/1000</f>
        <v>5913.2219999999998</v>
      </c>
      <c r="J10" s="22">
        <f>+月次BS!J10/1000</f>
        <v>6433.5709999999999</v>
      </c>
      <c r="K10" s="22">
        <f>+月次BS!K10/1000</f>
        <v>6896.3440000000001</v>
      </c>
      <c r="L10" s="22">
        <f>+月次BS!L10/1000</f>
        <v>6377.5129999999999</v>
      </c>
      <c r="M10" s="22">
        <f>+月次BS!M10/1000</f>
        <v>7291.1909999999998</v>
      </c>
      <c r="N10" s="22">
        <f>+月次BS!N10/1000</f>
        <v>7999.2950000000001</v>
      </c>
      <c r="O10" s="22">
        <f>+月次BS!O10/1000</f>
        <v>8976.6170000000002</v>
      </c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</row>
    <row r="11" spans="1:45">
      <c r="A11" t="str">
        <f>+月次BS!A11</f>
        <v>有価証券</v>
      </c>
      <c r="B11" s="19">
        <f>+月次BS!B11</f>
        <v>0</v>
      </c>
      <c r="C11" s="124">
        <f>+月次BS!C11/1000</f>
        <v>0</v>
      </c>
      <c r="D11" s="18">
        <f>+月次BS!D11/1000</f>
        <v>0</v>
      </c>
      <c r="E11" s="18">
        <f>+月次BS!E11/1000</f>
        <v>0</v>
      </c>
      <c r="F11" s="18">
        <f>+月次BS!F11/1000</f>
        <v>0</v>
      </c>
      <c r="G11" s="18">
        <f>+月次BS!G11/1000</f>
        <v>0</v>
      </c>
      <c r="H11" s="18">
        <f>+月次BS!H11/1000</f>
        <v>0</v>
      </c>
      <c r="I11" s="18">
        <f>+月次BS!I11/1000</f>
        <v>0</v>
      </c>
      <c r="J11" s="18">
        <f>+月次BS!J11/1000</f>
        <v>0</v>
      </c>
      <c r="K11" s="18">
        <f>+月次BS!K11/1000</f>
        <v>0</v>
      </c>
      <c r="L11" s="18">
        <f>+月次BS!L11/1000</f>
        <v>0</v>
      </c>
      <c r="M11" s="18">
        <f>+月次BS!M11/1000</f>
        <v>0</v>
      </c>
      <c r="N11" s="18">
        <f>+月次BS!N11/1000</f>
        <v>0</v>
      </c>
      <c r="O11" s="18">
        <f>+月次BS!O11/1000</f>
        <v>0</v>
      </c>
    </row>
    <row r="12" spans="1:45">
      <c r="A12" t="str">
        <f>+月次BS!A12</f>
        <v>有価証券合計</v>
      </c>
      <c r="B12" s="19">
        <f>+月次BS!B12</f>
        <v>0</v>
      </c>
      <c r="C12" s="124">
        <f>+月次BS!C12/1000</f>
        <v>0</v>
      </c>
      <c r="D12" s="18">
        <f>+月次BS!D12/1000</f>
        <v>0</v>
      </c>
      <c r="E12" s="18">
        <f>+月次BS!E12/1000</f>
        <v>0</v>
      </c>
      <c r="F12" s="18">
        <f>+月次BS!F12/1000</f>
        <v>0</v>
      </c>
      <c r="G12" s="18">
        <f>+月次BS!G12/1000</f>
        <v>0</v>
      </c>
      <c r="H12" s="18">
        <f>+月次BS!H12/1000</f>
        <v>0</v>
      </c>
      <c r="I12" s="18">
        <f>+月次BS!I12/1000</f>
        <v>0</v>
      </c>
      <c r="J12" s="18">
        <f>+月次BS!J12/1000</f>
        <v>0</v>
      </c>
      <c r="K12" s="18">
        <f>+月次BS!K12/1000</f>
        <v>0</v>
      </c>
      <c r="L12" s="18">
        <f>+月次BS!L12/1000</f>
        <v>0</v>
      </c>
      <c r="M12" s="18">
        <f>+月次BS!M12/1000</f>
        <v>0</v>
      </c>
      <c r="N12" s="18">
        <f>+月次BS!N12/1000</f>
        <v>0</v>
      </c>
      <c r="O12" s="18">
        <f>+月次BS!O12/1000</f>
        <v>0</v>
      </c>
    </row>
    <row r="13" spans="1:45">
      <c r="A13" t="str">
        <f>+月次BS!A13</f>
        <v>棚卸資産</v>
      </c>
      <c r="B13" s="19">
        <f>+月次BS!B13</f>
        <v>0</v>
      </c>
      <c r="C13" s="124">
        <f>+月次BS!C13/1000</f>
        <v>0</v>
      </c>
      <c r="D13" s="18">
        <f>+月次BS!D13/1000</f>
        <v>0</v>
      </c>
      <c r="E13" s="18">
        <f>+月次BS!E13/1000</f>
        <v>0</v>
      </c>
      <c r="F13" s="18">
        <f>+月次BS!F13/1000</f>
        <v>0</v>
      </c>
      <c r="G13" s="18">
        <f>+月次BS!G13/1000</f>
        <v>0</v>
      </c>
      <c r="H13" s="18">
        <f>+月次BS!H13/1000</f>
        <v>0</v>
      </c>
      <c r="I13" s="18">
        <f>+月次BS!I13/1000</f>
        <v>0</v>
      </c>
      <c r="J13" s="18">
        <f>+月次BS!J13/1000</f>
        <v>0</v>
      </c>
      <c r="K13" s="18">
        <f>+月次BS!K13/1000</f>
        <v>0</v>
      </c>
      <c r="L13" s="18">
        <f>+月次BS!L13/1000</f>
        <v>0</v>
      </c>
      <c r="M13" s="18">
        <f>+月次BS!M13/1000</f>
        <v>0</v>
      </c>
      <c r="N13" s="18">
        <f>+月次BS!N13/1000</f>
        <v>0</v>
      </c>
      <c r="O13" s="18">
        <f>+月次BS!O13/1000</f>
        <v>0</v>
      </c>
    </row>
    <row r="14" spans="1:45" s="20" customFormat="1">
      <c r="A14">
        <f>+月次BS!A14</f>
        <v>0</v>
      </c>
      <c r="B14" s="19" t="str">
        <f>+月次BS!B14</f>
        <v>商品</v>
      </c>
      <c r="C14" s="124">
        <f>+月次BS!C14/1000</f>
        <v>0</v>
      </c>
      <c r="D14" s="18">
        <f>+月次BS!D14/1000</f>
        <v>0</v>
      </c>
      <c r="E14" s="18">
        <f>+月次BS!E14/1000</f>
        <v>0</v>
      </c>
      <c r="F14" s="18">
        <f>+月次BS!F14/1000</f>
        <v>0</v>
      </c>
      <c r="G14" s="18">
        <f>+月次BS!G14/1000</f>
        <v>0</v>
      </c>
      <c r="H14" s="18">
        <f>+月次BS!H14/1000</f>
        <v>0</v>
      </c>
      <c r="I14" s="18">
        <f>+月次BS!I14/1000</f>
        <v>0</v>
      </c>
      <c r="J14" s="18">
        <f>+月次BS!J14/1000</f>
        <v>0</v>
      </c>
      <c r="K14" s="18">
        <f>+月次BS!K14/1000</f>
        <v>0</v>
      </c>
      <c r="L14" s="18">
        <f>+月次BS!L14/1000</f>
        <v>0</v>
      </c>
      <c r="M14" s="18">
        <f>+月次BS!M14/1000</f>
        <v>0</v>
      </c>
      <c r="N14" s="18">
        <f>+月次BS!N14/1000</f>
        <v>0</v>
      </c>
      <c r="O14" s="18">
        <f>+月次BS!O14/1000</f>
        <v>0</v>
      </c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</row>
    <row r="15" spans="1:45" s="130" customFormat="1">
      <c r="A15">
        <f>+月次BS!A15</f>
        <v>0</v>
      </c>
      <c r="B15" s="19" t="str">
        <f>+月次BS!B15</f>
        <v>貯蔵品</v>
      </c>
      <c r="C15" s="124">
        <f>+月次BS!C15/1000</f>
        <v>0</v>
      </c>
      <c r="D15" s="18">
        <f>+月次BS!D15/1000</f>
        <v>0</v>
      </c>
      <c r="E15" s="18">
        <f>+月次BS!E15/1000</f>
        <v>0</v>
      </c>
      <c r="F15" s="18">
        <f>+月次BS!F15/1000</f>
        <v>0</v>
      </c>
      <c r="G15" s="18">
        <f>+月次BS!G15/1000</f>
        <v>0</v>
      </c>
      <c r="H15" s="18">
        <f>+月次BS!H15/1000</f>
        <v>0</v>
      </c>
      <c r="I15" s="18">
        <f>+月次BS!I15/1000</f>
        <v>0</v>
      </c>
      <c r="J15" s="18">
        <f>+月次BS!J15/1000</f>
        <v>0</v>
      </c>
      <c r="K15" s="18">
        <f>+月次BS!K15/1000</f>
        <v>0</v>
      </c>
      <c r="L15" s="18">
        <f>+月次BS!L15/1000</f>
        <v>0</v>
      </c>
      <c r="M15" s="18">
        <f>+月次BS!M15/1000</f>
        <v>0</v>
      </c>
      <c r="N15" s="18">
        <f>+月次BS!N15/1000</f>
        <v>0</v>
      </c>
      <c r="O15" s="18">
        <f>+月次BS!O15/1000</f>
        <v>0</v>
      </c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</row>
    <row r="16" spans="1:45" s="21" customFormat="1">
      <c r="A16" s="21" t="str">
        <f>+月次BS!A16</f>
        <v>棚卸資産合計</v>
      </c>
      <c r="B16" s="129">
        <f>+月次BS!B16</f>
        <v>0</v>
      </c>
      <c r="C16" s="125">
        <f>+月次BS!C16/1000</f>
        <v>0</v>
      </c>
      <c r="D16" s="22">
        <f>+月次BS!D16/1000</f>
        <v>0</v>
      </c>
      <c r="E16" s="22">
        <f>+月次BS!E16/1000</f>
        <v>0</v>
      </c>
      <c r="F16" s="22">
        <f>+月次BS!F16/1000</f>
        <v>0</v>
      </c>
      <c r="G16" s="22">
        <f>+月次BS!G16/1000</f>
        <v>0</v>
      </c>
      <c r="H16" s="22">
        <f>+月次BS!H16/1000</f>
        <v>0</v>
      </c>
      <c r="I16" s="22">
        <f>+月次BS!I16/1000</f>
        <v>0</v>
      </c>
      <c r="J16" s="22">
        <f>+月次BS!J16/1000</f>
        <v>0</v>
      </c>
      <c r="K16" s="22">
        <f>+月次BS!K16/1000</f>
        <v>0</v>
      </c>
      <c r="L16" s="22">
        <f>+月次BS!L16/1000</f>
        <v>0</v>
      </c>
      <c r="M16" s="22">
        <f>+月次BS!M16/1000</f>
        <v>0</v>
      </c>
      <c r="N16" s="22">
        <f>+月次BS!N16/1000</f>
        <v>0</v>
      </c>
      <c r="O16" s="22">
        <f>+月次BS!O16/1000</f>
        <v>0</v>
      </c>
    </row>
    <row r="17" spans="1:45">
      <c r="A17" t="str">
        <f>+月次BS!A17</f>
        <v>その他流動資産</v>
      </c>
      <c r="B17" s="19">
        <f>+月次BS!B17</f>
        <v>0</v>
      </c>
      <c r="C17" s="124">
        <f>+月次BS!C17/1000</f>
        <v>0</v>
      </c>
      <c r="D17" s="18">
        <f>+月次BS!D17/1000</f>
        <v>0</v>
      </c>
      <c r="E17" s="18">
        <f>+月次BS!E17/1000</f>
        <v>0</v>
      </c>
      <c r="F17" s="18">
        <f>+月次BS!F17/1000</f>
        <v>0</v>
      </c>
      <c r="G17" s="18">
        <f>+月次BS!G17/1000</f>
        <v>0</v>
      </c>
      <c r="H17" s="18">
        <f>+月次BS!H17/1000</f>
        <v>0</v>
      </c>
      <c r="I17" s="18">
        <f>+月次BS!I17/1000</f>
        <v>0</v>
      </c>
      <c r="J17" s="18">
        <f>+月次BS!J17/1000</f>
        <v>0</v>
      </c>
      <c r="K17" s="18">
        <f>+月次BS!K17/1000</f>
        <v>0</v>
      </c>
      <c r="L17" s="18">
        <f>+月次BS!L17/1000</f>
        <v>0</v>
      </c>
      <c r="M17" s="18">
        <f>+月次BS!M17/1000</f>
        <v>0</v>
      </c>
      <c r="N17" s="18">
        <f>+月次BS!N17/1000</f>
        <v>0</v>
      </c>
      <c r="O17" s="18">
        <f>+月次BS!O17/1000</f>
        <v>0</v>
      </c>
    </row>
    <row r="18" spans="1:45">
      <c r="A18">
        <f>+月次BS!A18</f>
        <v>0</v>
      </c>
      <c r="B18" s="19" t="str">
        <f>+月次BS!B18</f>
        <v>前払費用</v>
      </c>
      <c r="C18" s="124">
        <f>+月次BS!C18/1000</f>
        <v>0</v>
      </c>
      <c r="D18" s="18">
        <f>+月次BS!D18/1000</f>
        <v>0</v>
      </c>
      <c r="E18" s="18">
        <f>+月次BS!E18/1000</f>
        <v>0</v>
      </c>
      <c r="F18" s="18">
        <f>+月次BS!F18/1000</f>
        <v>0</v>
      </c>
      <c r="G18" s="18">
        <f>+月次BS!G18/1000</f>
        <v>0</v>
      </c>
      <c r="H18" s="18">
        <f>+月次BS!H18/1000</f>
        <v>0</v>
      </c>
      <c r="I18" s="18">
        <f>+月次BS!I18/1000</f>
        <v>0</v>
      </c>
      <c r="J18" s="18">
        <f>+月次BS!J18/1000</f>
        <v>0</v>
      </c>
      <c r="K18" s="18">
        <f>+月次BS!K18/1000</f>
        <v>0</v>
      </c>
      <c r="L18" s="18">
        <f>+月次BS!L18/1000</f>
        <v>0</v>
      </c>
      <c r="M18" s="18">
        <f>+月次BS!M18/1000</f>
        <v>0</v>
      </c>
      <c r="N18" s="18">
        <f>+月次BS!N18/1000</f>
        <v>0</v>
      </c>
      <c r="O18" s="18">
        <f>+月次BS!O18/1000</f>
        <v>0</v>
      </c>
    </row>
    <row r="19" spans="1:45">
      <c r="A19">
        <f>+月次BS!A19</f>
        <v>0</v>
      </c>
      <c r="B19" s="19" t="str">
        <f>+月次BS!B19</f>
        <v>立替金</v>
      </c>
      <c r="C19" s="124">
        <f>+月次BS!C19/1000</f>
        <v>39.665999999999997</v>
      </c>
      <c r="D19" s="18">
        <f>+月次BS!D19/1000</f>
        <v>39.665999999999997</v>
      </c>
      <c r="E19" s="18">
        <f>+月次BS!E19/1000</f>
        <v>39.665999999999997</v>
      </c>
      <c r="F19" s="18">
        <f>+月次BS!F19/1000</f>
        <v>39.665999999999997</v>
      </c>
      <c r="G19" s="18">
        <f>+月次BS!G19/1000</f>
        <v>39.665999999999997</v>
      </c>
      <c r="H19" s="18">
        <f>+月次BS!H19/1000</f>
        <v>39.665999999999997</v>
      </c>
      <c r="I19" s="18">
        <f>+月次BS!I19/1000</f>
        <v>39.665999999999997</v>
      </c>
      <c r="J19" s="18">
        <f>+月次BS!J19/1000</f>
        <v>39.665999999999997</v>
      </c>
      <c r="K19" s="18">
        <f>+月次BS!K19/1000</f>
        <v>39.665999999999997</v>
      </c>
      <c r="L19" s="18">
        <f>+月次BS!L19/1000</f>
        <v>0</v>
      </c>
      <c r="M19" s="18">
        <f>+月次BS!M19/1000</f>
        <v>0</v>
      </c>
      <c r="N19" s="18">
        <f>+月次BS!N19/1000</f>
        <v>0</v>
      </c>
      <c r="O19" s="18">
        <f>+月次BS!O19/1000</f>
        <v>0</v>
      </c>
    </row>
    <row r="20" spans="1:45">
      <c r="A20">
        <f>+月次BS!A20</f>
        <v>0</v>
      </c>
      <c r="B20" s="19" t="str">
        <f>+月次BS!B20</f>
        <v>短期貸付金</v>
      </c>
      <c r="C20" s="124">
        <f>+月次BS!C20/1000</f>
        <v>7300</v>
      </c>
      <c r="D20" s="18">
        <f>+月次BS!D20/1000</f>
        <v>6277.71</v>
      </c>
      <c r="E20" s="18">
        <f>+月次BS!E20/1000</f>
        <v>6277.71</v>
      </c>
      <c r="F20" s="18">
        <f>+月次BS!F20/1000</f>
        <v>5771.884</v>
      </c>
      <c r="G20" s="18">
        <f>+月次BS!G20/1000</f>
        <v>5771.884</v>
      </c>
      <c r="H20" s="18">
        <f>+月次BS!H20/1000</f>
        <v>5196.768</v>
      </c>
      <c r="I20" s="18">
        <f>+月次BS!I20/1000</f>
        <v>4710.9470000000001</v>
      </c>
      <c r="J20" s="18">
        <f>+月次BS!J20/1000</f>
        <v>4159.1000000000004</v>
      </c>
      <c r="K20" s="18">
        <f>+月次BS!K20/1000</f>
        <v>2638.8820000000001</v>
      </c>
      <c r="L20" s="18">
        <f>+月次BS!L20/1000</f>
        <v>0</v>
      </c>
      <c r="M20" s="18">
        <f>+月次BS!M20/1000</f>
        <v>0</v>
      </c>
      <c r="N20" s="18">
        <f>+月次BS!N20/1000</f>
        <v>0</v>
      </c>
      <c r="O20" s="18">
        <f>+月次BS!O20/1000</f>
        <v>0</v>
      </c>
    </row>
    <row r="21" spans="1:45" s="21" customFormat="1">
      <c r="A21">
        <f>+月次BS!A21</f>
        <v>0</v>
      </c>
      <c r="B21" s="19" t="str">
        <f>+月次BS!B21</f>
        <v>仮払金</v>
      </c>
      <c r="C21" s="124">
        <f>+月次BS!C21/1000</f>
        <v>0</v>
      </c>
      <c r="D21" s="18">
        <f>+月次BS!D21/1000</f>
        <v>0</v>
      </c>
      <c r="E21" s="18">
        <f>+月次BS!E21/1000</f>
        <v>0</v>
      </c>
      <c r="F21" s="18">
        <f>+月次BS!F21/1000</f>
        <v>0</v>
      </c>
      <c r="G21" s="18">
        <f>+月次BS!G21/1000</f>
        <v>0</v>
      </c>
      <c r="H21" s="18">
        <f>+月次BS!H21/1000</f>
        <v>0</v>
      </c>
      <c r="I21" s="18">
        <f>+月次BS!I21/1000</f>
        <v>0</v>
      </c>
      <c r="J21" s="18">
        <f>+月次BS!J21/1000</f>
        <v>0</v>
      </c>
      <c r="K21" s="18">
        <f>+月次BS!K21/1000</f>
        <v>0</v>
      </c>
      <c r="L21" s="18">
        <f>+月次BS!L21/1000</f>
        <v>0</v>
      </c>
      <c r="M21" s="18">
        <f>+月次BS!M21/1000</f>
        <v>0</v>
      </c>
      <c r="N21" s="18">
        <f>+月次BS!N21/1000</f>
        <v>0</v>
      </c>
      <c r="O21" s="18">
        <f>+月次BS!O21/1000</f>
        <v>4.5039999999999996</v>
      </c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</row>
    <row r="22" spans="1:45">
      <c r="A22">
        <f>+月次BS!A22</f>
        <v>0</v>
      </c>
      <c r="B22" s="19" t="str">
        <f>+月次BS!B22</f>
        <v>仮払消費税</v>
      </c>
      <c r="C22" s="124">
        <f>+月次BS!C22/1000</f>
        <v>0</v>
      </c>
      <c r="D22" s="18">
        <f>+月次BS!D22/1000</f>
        <v>75.177000000000007</v>
      </c>
      <c r="E22" s="18">
        <f>+月次BS!E22/1000</f>
        <v>109.42100000000001</v>
      </c>
      <c r="F22" s="18">
        <f>+月次BS!F22/1000</f>
        <v>151.62899999999999</v>
      </c>
      <c r="G22" s="18">
        <f>+月次BS!G22/1000</f>
        <v>200.98</v>
      </c>
      <c r="H22" s="18">
        <f>+月次BS!H22/1000</f>
        <v>230.51499999999999</v>
      </c>
      <c r="I22" s="18">
        <f>+月次BS!I22/1000</f>
        <v>277.017</v>
      </c>
      <c r="J22" s="18">
        <f>+月次BS!J22/1000</f>
        <v>320.75400000000002</v>
      </c>
      <c r="K22" s="18">
        <f>+月次BS!K22/1000</f>
        <v>360.471</v>
      </c>
      <c r="L22" s="18">
        <f>+月次BS!L22/1000</f>
        <v>402.13200000000001</v>
      </c>
      <c r="M22" s="18">
        <f>+月次BS!M22/1000</f>
        <v>438.44</v>
      </c>
      <c r="N22" s="18">
        <f>+月次BS!N22/1000</f>
        <v>483.28500000000003</v>
      </c>
      <c r="O22" s="18">
        <f>+月次BS!O22/1000</f>
        <v>526.66200000000003</v>
      </c>
    </row>
    <row r="23" spans="1:45" s="21" customFormat="1">
      <c r="A23" s="21" t="str">
        <f>+月次BS!A23</f>
        <v>その他流動資産合計</v>
      </c>
      <c r="B23" s="129">
        <f>+月次BS!B23</f>
        <v>0</v>
      </c>
      <c r="C23" s="125">
        <f>+月次BS!C23/1000</f>
        <v>7339.6660000000002</v>
      </c>
      <c r="D23" s="22">
        <f>+月次BS!D23/1000</f>
        <v>6392.5529999999999</v>
      </c>
      <c r="E23" s="22">
        <f>+月次BS!E23/1000</f>
        <v>6426.7969999999996</v>
      </c>
      <c r="F23" s="22">
        <f>+月次BS!F23/1000</f>
        <v>5963.1790000000001</v>
      </c>
      <c r="G23" s="22">
        <f>+月次BS!G23/1000</f>
        <v>6012.53</v>
      </c>
      <c r="H23" s="22">
        <f>+月次BS!H23/1000</f>
        <v>5466.9489999999996</v>
      </c>
      <c r="I23" s="22">
        <f>+月次BS!I23/1000</f>
        <v>5027.63</v>
      </c>
      <c r="J23" s="22">
        <f>+月次BS!J23/1000</f>
        <v>4519.5200000000004</v>
      </c>
      <c r="K23" s="22">
        <f>+月次BS!K23/1000</f>
        <v>3039.0189999999998</v>
      </c>
      <c r="L23" s="22">
        <f>+月次BS!L23/1000</f>
        <v>402.13200000000001</v>
      </c>
      <c r="M23" s="22">
        <f>+月次BS!M23/1000</f>
        <v>438.44</v>
      </c>
      <c r="N23" s="22">
        <f>+月次BS!N23/1000</f>
        <v>483.28500000000003</v>
      </c>
      <c r="O23" s="22">
        <f>+月次BS!O23/1000</f>
        <v>531.16600000000005</v>
      </c>
    </row>
    <row r="24" spans="1:45" s="131" customFormat="1">
      <c r="A24" s="131" t="str">
        <f>+月次BS!A24</f>
        <v>流動資産合計</v>
      </c>
      <c r="B24" s="132">
        <f>+月次BS!B24</f>
        <v>0</v>
      </c>
      <c r="C24" s="133">
        <f>+月次BS!C24/1000</f>
        <v>12526.841</v>
      </c>
      <c r="D24" s="134">
        <f>+月次BS!D24/1000</f>
        <v>12432.023999999999</v>
      </c>
      <c r="E24" s="134">
        <f>+月次BS!E24/1000</f>
        <v>12244.931</v>
      </c>
      <c r="F24" s="134">
        <f>+月次BS!F24/1000</f>
        <v>12333.236999999999</v>
      </c>
      <c r="G24" s="134">
        <f>+月次BS!G24/1000</f>
        <v>12270.521000000001</v>
      </c>
      <c r="H24" s="134">
        <f>+月次BS!H24/1000</f>
        <v>12278.453</v>
      </c>
      <c r="I24" s="134">
        <f>+月次BS!I24/1000</f>
        <v>12428.995000000001</v>
      </c>
      <c r="J24" s="134">
        <f>+月次BS!J24/1000</f>
        <v>12170.329</v>
      </c>
      <c r="K24" s="134">
        <f>+月次BS!K24/1000</f>
        <v>12208.931</v>
      </c>
      <c r="L24" s="134">
        <f>+月次BS!L24/1000</f>
        <v>12248.884</v>
      </c>
      <c r="M24" s="134">
        <f>+月次BS!M24/1000</f>
        <v>12795.615</v>
      </c>
      <c r="N24" s="134">
        <f>+月次BS!N24/1000</f>
        <v>13203.56</v>
      </c>
      <c r="O24" s="134">
        <f>+月次BS!O24/1000</f>
        <v>13639.312</v>
      </c>
    </row>
    <row r="25" spans="1:45" s="20" customFormat="1">
      <c r="A25" t="str">
        <f>+月次BS!A25</f>
        <v>固定資産</v>
      </c>
      <c r="B25" s="19">
        <f>+月次BS!B25</f>
        <v>0</v>
      </c>
      <c r="C25" s="124">
        <f>+月次BS!C25/1000</f>
        <v>0</v>
      </c>
      <c r="D25" s="18">
        <f>+月次BS!D25/1000</f>
        <v>0</v>
      </c>
      <c r="E25" s="18">
        <f>+月次BS!E25/1000</f>
        <v>0</v>
      </c>
      <c r="F25" s="18">
        <f>+月次BS!F25/1000</f>
        <v>0</v>
      </c>
      <c r="G25" s="18">
        <f>+月次BS!G25/1000</f>
        <v>0</v>
      </c>
      <c r="H25" s="18">
        <f>+月次BS!H25/1000</f>
        <v>0</v>
      </c>
      <c r="I25" s="18">
        <f>+月次BS!I25/1000</f>
        <v>0</v>
      </c>
      <c r="J25" s="18">
        <f>+月次BS!J25/1000</f>
        <v>0</v>
      </c>
      <c r="K25" s="18">
        <f>+月次BS!K25/1000</f>
        <v>0</v>
      </c>
      <c r="L25" s="18">
        <f>+月次BS!L25/1000</f>
        <v>0</v>
      </c>
      <c r="M25" s="18">
        <f>+月次BS!M25/1000</f>
        <v>0</v>
      </c>
      <c r="N25" s="18">
        <f>+月次BS!N25/1000</f>
        <v>0</v>
      </c>
      <c r="O25" s="18">
        <f>+月次BS!O25/1000</f>
        <v>0</v>
      </c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</row>
    <row r="26" spans="1:45" s="20" customFormat="1">
      <c r="A26" t="str">
        <f>+月次BS!A26</f>
        <v>有形固定資産</v>
      </c>
      <c r="B26" s="19">
        <f>+月次BS!B26</f>
        <v>0</v>
      </c>
      <c r="C26" s="124">
        <f>+月次BS!C26/1000</f>
        <v>0</v>
      </c>
      <c r="D26" s="18">
        <f>+月次BS!D26/1000</f>
        <v>0</v>
      </c>
      <c r="E26" s="18">
        <f>+月次BS!E26/1000</f>
        <v>0</v>
      </c>
      <c r="F26" s="18">
        <f>+月次BS!F26/1000</f>
        <v>0</v>
      </c>
      <c r="G26" s="18">
        <f>+月次BS!G26/1000</f>
        <v>0</v>
      </c>
      <c r="H26" s="18">
        <f>+月次BS!H26/1000</f>
        <v>0</v>
      </c>
      <c r="I26" s="18">
        <f>+月次BS!I26/1000</f>
        <v>0</v>
      </c>
      <c r="J26" s="18">
        <f>+月次BS!J26/1000</f>
        <v>0</v>
      </c>
      <c r="K26" s="18">
        <f>+月次BS!K26/1000</f>
        <v>0</v>
      </c>
      <c r="L26" s="18">
        <f>+月次BS!L26/1000</f>
        <v>0</v>
      </c>
      <c r="M26" s="18">
        <f>+月次BS!M26/1000</f>
        <v>0</v>
      </c>
      <c r="N26" s="18">
        <f>+月次BS!N26/1000</f>
        <v>0</v>
      </c>
      <c r="O26" s="18">
        <f>+月次BS!O26/1000</f>
        <v>0</v>
      </c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</row>
    <row r="27" spans="1:45" s="20" customFormat="1">
      <c r="A27">
        <f>+月次BS!A27</f>
        <v>0</v>
      </c>
      <c r="B27" s="19" t="str">
        <f>+月次BS!B27</f>
        <v>建物</v>
      </c>
      <c r="C27" s="124">
        <f>+月次BS!C27/1000</f>
        <v>0</v>
      </c>
      <c r="D27" s="18">
        <f>+月次BS!D27/1000</f>
        <v>0</v>
      </c>
      <c r="E27" s="18">
        <f>+月次BS!E27/1000</f>
        <v>0</v>
      </c>
      <c r="F27" s="18">
        <f>+月次BS!F27/1000</f>
        <v>0</v>
      </c>
      <c r="G27" s="18">
        <f>+月次BS!G27/1000</f>
        <v>0</v>
      </c>
      <c r="H27" s="18">
        <f>+月次BS!H27/1000</f>
        <v>0</v>
      </c>
      <c r="I27" s="18">
        <f>+月次BS!I27/1000</f>
        <v>0</v>
      </c>
      <c r="J27" s="18">
        <f>+月次BS!J27/1000</f>
        <v>0</v>
      </c>
      <c r="K27" s="18">
        <f>+月次BS!K27/1000</f>
        <v>0</v>
      </c>
      <c r="L27" s="18">
        <f>+月次BS!L27/1000</f>
        <v>0</v>
      </c>
      <c r="M27" s="18">
        <f>+月次BS!M27/1000</f>
        <v>0</v>
      </c>
      <c r="N27" s="18">
        <f>+月次BS!N27/1000</f>
        <v>0</v>
      </c>
      <c r="O27" s="18">
        <f>+月次BS!O27/1000</f>
        <v>0</v>
      </c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</row>
    <row r="28" spans="1:45" s="20" customFormat="1">
      <c r="A28">
        <f>+月次BS!A28</f>
        <v>0</v>
      </c>
      <c r="B28" s="19" t="str">
        <f>+月次BS!B28</f>
        <v>車両運搬具</v>
      </c>
      <c r="C28" s="124">
        <f>+月次BS!C28/1000</f>
        <v>0</v>
      </c>
      <c r="D28" s="18">
        <f>+月次BS!D28/1000</f>
        <v>0</v>
      </c>
      <c r="E28" s="18">
        <f>+月次BS!E28/1000</f>
        <v>0</v>
      </c>
      <c r="F28" s="18">
        <f>+月次BS!F28/1000</f>
        <v>0</v>
      </c>
      <c r="G28" s="18">
        <f>+月次BS!G28/1000</f>
        <v>0</v>
      </c>
      <c r="H28" s="18">
        <f>+月次BS!H28/1000</f>
        <v>0</v>
      </c>
      <c r="I28" s="18">
        <f>+月次BS!I28/1000</f>
        <v>0</v>
      </c>
      <c r="J28" s="18">
        <f>+月次BS!J28/1000</f>
        <v>0</v>
      </c>
      <c r="K28" s="18">
        <f>+月次BS!K28/1000</f>
        <v>0</v>
      </c>
      <c r="L28" s="18">
        <f>+月次BS!L28/1000</f>
        <v>0</v>
      </c>
      <c r="M28" s="18">
        <f>+月次BS!M28/1000</f>
        <v>0</v>
      </c>
      <c r="N28" s="18">
        <f>+月次BS!N28/1000</f>
        <v>0</v>
      </c>
      <c r="O28" s="18">
        <f>+月次BS!O28/1000</f>
        <v>0</v>
      </c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</row>
    <row r="29" spans="1:45" s="20" customFormat="1">
      <c r="A29">
        <f>+月次BS!A29</f>
        <v>0</v>
      </c>
      <c r="B29" s="19" t="str">
        <f>+月次BS!B29</f>
        <v>工具器具備品</v>
      </c>
      <c r="C29" s="124">
        <f>+月次BS!C29/1000</f>
        <v>0</v>
      </c>
      <c r="D29" s="18">
        <f>+月次BS!D29/1000</f>
        <v>0</v>
      </c>
      <c r="E29" s="18">
        <f>+月次BS!E29/1000</f>
        <v>0</v>
      </c>
      <c r="F29" s="18">
        <f>+月次BS!F29/1000</f>
        <v>0</v>
      </c>
      <c r="G29" s="18">
        <f>+月次BS!G29/1000</f>
        <v>0</v>
      </c>
      <c r="H29" s="18">
        <f>+月次BS!H29/1000</f>
        <v>0</v>
      </c>
      <c r="I29" s="18">
        <f>+月次BS!I29/1000</f>
        <v>0</v>
      </c>
      <c r="J29" s="18">
        <f>+月次BS!J29/1000</f>
        <v>0</v>
      </c>
      <c r="K29" s="18">
        <f>+月次BS!K29/1000</f>
        <v>0</v>
      </c>
      <c r="L29" s="18">
        <f>+月次BS!L29/1000</f>
        <v>0</v>
      </c>
      <c r="M29" s="18">
        <f>+月次BS!M29/1000</f>
        <v>0</v>
      </c>
      <c r="N29" s="18">
        <f>+月次BS!N29/1000</f>
        <v>0</v>
      </c>
      <c r="O29" s="18">
        <f>+月次BS!O29/1000</f>
        <v>0</v>
      </c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</row>
    <row r="30" spans="1:45" s="20" customFormat="1">
      <c r="A30">
        <f>+月次BS!A30</f>
        <v>0</v>
      </c>
      <c r="B30" s="19" t="str">
        <f>+月次BS!B30</f>
        <v>一括償却資産</v>
      </c>
      <c r="C30" s="124">
        <f>+月次BS!C30/1000</f>
        <v>0</v>
      </c>
      <c r="D30" s="18">
        <f>+月次BS!D30/1000</f>
        <v>0</v>
      </c>
      <c r="E30" s="18">
        <f>+月次BS!E30/1000</f>
        <v>0</v>
      </c>
      <c r="F30" s="18">
        <f>+月次BS!F30/1000</f>
        <v>0</v>
      </c>
      <c r="G30" s="18">
        <f>+月次BS!G30/1000</f>
        <v>0</v>
      </c>
      <c r="H30" s="18">
        <f>+月次BS!H30/1000</f>
        <v>0</v>
      </c>
      <c r="I30" s="18">
        <f>+月次BS!I30/1000</f>
        <v>0</v>
      </c>
      <c r="J30" s="18">
        <f>+月次BS!J30/1000</f>
        <v>0</v>
      </c>
      <c r="K30" s="18">
        <f>+月次BS!K30/1000</f>
        <v>0</v>
      </c>
      <c r="L30" s="18">
        <f>+月次BS!L30/1000</f>
        <v>0</v>
      </c>
      <c r="M30" s="18">
        <f>+月次BS!M30/1000</f>
        <v>0</v>
      </c>
      <c r="N30" s="18">
        <f>+月次BS!N30/1000</f>
        <v>0</v>
      </c>
      <c r="O30" s="18">
        <f>+月次BS!O30/1000</f>
        <v>0</v>
      </c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</row>
    <row r="31" spans="1:45" s="130" customFormat="1">
      <c r="A31">
        <f>+月次BS!A31</f>
        <v>0</v>
      </c>
      <c r="B31" s="19" t="str">
        <f>+月次BS!B31</f>
        <v>減価償却累計額</v>
      </c>
      <c r="C31" s="124">
        <f>+月次BS!C31/1000</f>
        <v>0</v>
      </c>
      <c r="D31" s="18">
        <f>+月次BS!D31/1000</f>
        <v>0</v>
      </c>
      <c r="E31" s="18">
        <f>+月次BS!E31/1000</f>
        <v>0</v>
      </c>
      <c r="F31" s="18">
        <f>+月次BS!F31/1000</f>
        <v>0</v>
      </c>
      <c r="G31" s="18">
        <f>+月次BS!G31/1000</f>
        <v>0</v>
      </c>
      <c r="H31" s="18">
        <f>+月次BS!H31/1000</f>
        <v>0</v>
      </c>
      <c r="I31" s="18">
        <f>+月次BS!I31/1000</f>
        <v>0</v>
      </c>
      <c r="J31" s="18">
        <f>+月次BS!J31/1000</f>
        <v>0</v>
      </c>
      <c r="K31" s="18">
        <f>+月次BS!K31/1000</f>
        <v>0</v>
      </c>
      <c r="L31" s="18">
        <f>+月次BS!L31/1000</f>
        <v>0</v>
      </c>
      <c r="M31" s="18">
        <f>+月次BS!M31/1000</f>
        <v>0</v>
      </c>
      <c r="N31" s="18">
        <f>+月次BS!N31/1000</f>
        <v>0</v>
      </c>
      <c r="O31" s="18">
        <f>+月次BS!O31/1000</f>
        <v>0</v>
      </c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</row>
    <row r="32" spans="1:45" s="21" customFormat="1">
      <c r="A32" s="21" t="str">
        <f>+月次BS!A32</f>
        <v>有形固定資産合計</v>
      </c>
      <c r="B32" s="129">
        <f>+月次BS!B32</f>
        <v>0</v>
      </c>
      <c r="C32" s="125">
        <f>+月次BS!C32/1000</f>
        <v>0</v>
      </c>
      <c r="D32" s="22">
        <f>+月次BS!D32/1000</f>
        <v>0</v>
      </c>
      <c r="E32" s="22">
        <f>+月次BS!E32/1000</f>
        <v>0</v>
      </c>
      <c r="F32" s="22">
        <f>+月次BS!F32/1000</f>
        <v>0</v>
      </c>
      <c r="G32" s="22">
        <f>+月次BS!G32/1000</f>
        <v>0</v>
      </c>
      <c r="H32" s="22">
        <f>+月次BS!H32/1000</f>
        <v>0</v>
      </c>
      <c r="I32" s="22">
        <f>+月次BS!I32/1000</f>
        <v>0</v>
      </c>
      <c r="J32" s="22">
        <f>+月次BS!J32/1000</f>
        <v>0</v>
      </c>
      <c r="K32" s="22">
        <f>+月次BS!K32/1000</f>
        <v>0</v>
      </c>
      <c r="L32" s="22">
        <f>+月次BS!L32/1000</f>
        <v>0</v>
      </c>
      <c r="M32" s="22">
        <f>+月次BS!M32/1000</f>
        <v>0</v>
      </c>
      <c r="N32" s="22">
        <f>+月次BS!N32/1000</f>
        <v>0</v>
      </c>
      <c r="O32" s="22">
        <f>+月次BS!O32/1000</f>
        <v>0</v>
      </c>
    </row>
    <row r="33" spans="1:45" s="20" customFormat="1">
      <c r="A33" t="str">
        <f>+月次BS!A33</f>
        <v>無形固定資産</v>
      </c>
      <c r="B33" s="19">
        <f>+月次BS!B33</f>
        <v>0</v>
      </c>
      <c r="C33" s="124">
        <f>+月次BS!C33/1000</f>
        <v>0</v>
      </c>
      <c r="D33" s="18">
        <f>+月次BS!D33/1000</f>
        <v>0</v>
      </c>
      <c r="E33" s="18">
        <f>+月次BS!E33/1000</f>
        <v>0</v>
      </c>
      <c r="F33" s="18">
        <f>+月次BS!F33/1000</f>
        <v>0</v>
      </c>
      <c r="G33" s="18">
        <f>+月次BS!G33/1000</f>
        <v>0</v>
      </c>
      <c r="H33" s="18">
        <f>+月次BS!H33/1000</f>
        <v>0</v>
      </c>
      <c r="I33" s="18">
        <f>+月次BS!I33/1000</f>
        <v>0</v>
      </c>
      <c r="J33" s="18">
        <f>+月次BS!J33/1000</f>
        <v>0</v>
      </c>
      <c r="K33" s="18">
        <f>+月次BS!K33/1000</f>
        <v>0</v>
      </c>
      <c r="L33" s="18">
        <f>+月次BS!L33/1000</f>
        <v>0</v>
      </c>
      <c r="M33" s="18">
        <f>+月次BS!M33/1000</f>
        <v>0</v>
      </c>
      <c r="N33" s="18">
        <f>+月次BS!N33/1000</f>
        <v>0</v>
      </c>
      <c r="O33" s="18">
        <f>+月次BS!O33/1000</f>
        <v>0</v>
      </c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</row>
    <row r="34" spans="1:45">
      <c r="A34">
        <f>+月次BS!A34</f>
        <v>0</v>
      </c>
      <c r="B34" s="19" t="str">
        <f>+月次BS!B34</f>
        <v>ソフトウェア</v>
      </c>
      <c r="C34" s="124">
        <f>+月次BS!C34/1000</f>
        <v>795</v>
      </c>
      <c r="D34" s="18">
        <f>+月次BS!D34/1000</f>
        <v>768.5</v>
      </c>
      <c r="E34" s="18">
        <f>+月次BS!E34/1000</f>
        <v>742</v>
      </c>
      <c r="F34" s="18">
        <f>+月次BS!F34/1000</f>
        <v>715.5</v>
      </c>
      <c r="G34" s="18">
        <f>+月次BS!G34/1000</f>
        <v>689</v>
      </c>
      <c r="H34" s="18">
        <f>+月次BS!H34/1000</f>
        <v>662.5</v>
      </c>
      <c r="I34" s="18">
        <f>+月次BS!I34/1000</f>
        <v>636</v>
      </c>
      <c r="J34" s="18">
        <f>+月次BS!J34/1000</f>
        <v>609.5</v>
      </c>
      <c r="K34" s="18">
        <f>+月次BS!K34/1000</f>
        <v>583</v>
      </c>
      <c r="L34" s="18">
        <f>+月次BS!L34/1000</f>
        <v>556.5</v>
      </c>
      <c r="M34" s="18">
        <f>+月次BS!M34/1000</f>
        <v>530</v>
      </c>
      <c r="N34" s="18">
        <f>+月次BS!N34/1000</f>
        <v>503.5</v>
      </c>
      <c r="O34" s="18">
        <f>+月次BS!O34/1000</f>
        <v>477</v>
      </c>
    </row>
    <row r="35" spans="1:45" s="21" customFormat="1">
      <c r="A35" s="21" t="str">
        <f>+月次BS!A35</f>
        <v>無形固定資産合計</v>
      </c>
      <c r="B35" s="129">
        <f>+月次BS!B35</f>
        <v>0</v>
      </c>
      <c r="C35" s="125">
        <f>+月次BS!C35/1000</f>
        <v>795</v>
      </c>
      <c r="D35" s="22">
        <f>+月次BS!D35/1000</f>
        <v>768.5</v>
      </c>
      <c r="E35" s="22">
        <f>+月次BS!E35/1000</f>
        <v>742</v>
      </c>
      <c r="F35" s="22">
        <f>+月次BS!F35/1000</f>
        <v>715.5</v>
      </c>
      <c r="G35" s="22">
        <f>+月次BS!G35/1000</f>
        <v>689</v>
      </c>
      <c r="H35" s="22">
        <f>+月次BS!H35/1000</f>
        <v>662.5</v>
      </c>
      <c r="I35" s="22">
        <f>+月次BS!I35/1000</f>
        <v>636</v>
      </c>
      <c r="J35" s="22">
        <f>+月次BS!J35/1000</f>
        <v>609.5</v>
      </c>
      <c r="K35" s="22">
        <f>+月次BS!K35/1000</f>
        <v>583</v>
      </c>
      <c r="L35" s="22">
        <f>+月次BS!L35/1000</f>
        <v>556.5</v>
      </c>
      <c r="M35" s="22">
        <f>+月次BS!M35/1000</f>
        <v>530</v>
      </c>
      <c r="N35" s="22">
        <f>+月次BS!N35/1000</f>
        <v>503.5</v>
      </c>
      <c r="O35" s="22">
        <f>+月次BS!O35/1000</f>
        <v>477</v>
      </c>
    </row>
    <row r="36" spans="1:45" s="20" customFormat="1">
      <c r="A36" t="str">
        <f>+月次BS!A36</f>
        <v>投資その他の資産</v>
      </c>
      <c r="B36" s="19">
        <f>+月次BS!B36</f>
        <v>0</v>
      </c>
      <c r="C36" s="124">
        <f>+月次BS!C36/1000</f>
        <v>0</v>
      </c>
      <c r="D36" s="18">
        <f>+月次BS!D36/1000</f>
        <v>0</v>
      </c>
      <c r="E36" s="18">
        <f>+月次BS!E36/1000</f>
        <v>0</v>
      </c>
      <c r="F36" s="18">
        <f>+月次BS!F36/1000</f>
        <v>0</v>
      </c>
      <c r="G36" s="18">
        <f>+月次BS!G36/1000</f>
        <v>0</v>
      </c>
      <c r="H36" s="18">
        <f>+月次BS!H36/1000</f>
        <v>0</v>
      </c>
      <c r="I36" s="18">
        <f>+月次BS!I36/1000</f>
        <v>0</v>
      </c>
      <c r="J36" s="18">
        <f>+月次BS!J36/1000</f>
        <v>0</v>
      </c>
      <c r="K36" s="18">
        <f>+月次BS!K36/1000</f>
        <v>0</v>
      </c>
      <c r="L36" s="18">
        <f>+月次BS!L36/1000</f>
        <v>0</v>
      </c>
      <c r="M36" s="18">
        <f>+月次BS!M36/1000</f>
        <v>0</v>
      </c>
      <c r="N36" s="18">
        <f>+月次BS!N36/1000</f>
        <v>0</v>
      </c>
      <c r="O36" s="18">
        <f>+月次BS!O36/1000</f>
        <v>0</v>
      </c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</row>
    <row r="37" spans="1:45" s="20" customFormat="1">
      <c r="A37">
        <f>+月次BS!A37</f>
        <v>0</v>
      </c>
      <c r="B37" s="19" t="str">
        <f>+月次BS!B37</f>
        <v>出資金</v>
      </c>
      <c r="C37" s="124">
        <f>+月次BS!C37/1000</f>
        <v>6600</v>
      </c>
      <c r="D37" s="18">
        <f>+月次BS!D37/1000</f>
        <v>6600</v>
      </c>
      <c r="E37" s="18">
        <f>+月次BS!E37/1000</f>
        <v>6600</v>
      </c>
      <c r="F37" s="18">
        <f>+月次BS!F37/1000</f>
        <v>6600</v>
      </c>
      <c r="G37" s="18">
        <f>+月次BS!G37/1000</f>
        <v>6600</v>
      </c>
      <c r="H37" s="18">
        <f>+月次BS!H37/1000</f>
        <v>6600</v>
      </c>
      <c r="I37" s="18">
        <f>+月次BS!I37/1000</f>
        <v>6600</v>
      </c>
      <c r="J37" s="18">
        <f>+月次BS!J37/1000</f>
        <v>6600</v>
      </c>
      <c r="K37" s="18">
        <f>+月次BS!K37/1000</f>
        <v>6600</v>
      </c>
      <c r="L37" s="18">
        <f>+月次BS!L37/1000</f>
        <v>6600</v>
      </c>
      <c r="M37" s="18">
        <f>+月次BS!M37/1000</f>
        <v>6600</v>
      </c>
      <c r="N37" s="18">
        <f>+月次BS!N37/1000</f>
        <v>6600</v>
      </c>
      <c r="O37" s="18">
        <f>+月次BS!O37/1000</f>
        <v>6600</v>
      </c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</row>
    <row r="38" spans="1:45" s="20" customFormat="1">
      <c r="A38">
        <f>+月次BS!A38</f>
        <v>0</v>
      </c>
      <c r="B38" s="19" t="str">
        <f>+月次BS!B38</f>
        <v>長期前払費用</v>
      </c>
      <c r="C38" s="124">
        <f>+月次BS!C38/1000</f>
        <v>114.983</v>
      </c>
      <c r="D38" s="18">
        <f>+月次BS!D38/1000</f>
        <v>114.983</v>
      </c>
      <c r="E38" s="18">
        <f>+月次BS!E38/1000</f>
        <v>114.983</v>
      </c>
      <c r="F38" s="18">
        <f>+月次BS!F38/1000</f>
        <v>114.983</v>
      </c>
      <c r="G38" s="18">
        <f>+月次BS!G38/1000</f>
        <v>114.983</v>
      </c>
      <c r="H38" s="18">
        <f>+月次BS!H38/1000</f>
        <v>114.983</v>
      </c>
      <c r="I38" s="18">
        <f>+月次BS!I38/1000</f>
        <v>114.983</v>
      </c>
      <c r="J38" s="18">
        <f>+月次BS!J38/1000</f>
        <v>114.983</v>
      </c>
      <c r="K38" s="18">
        <f>+月次BS!K38/1000</f>
        <v>114.983</v>
      </c>
      <c r="L38" s="18">
        <f>+月次BS!L38/1000</f>
        <v>114.983</v>
      </c>
      <c r="M38" s="18">
        <f>+月次BS!M38/1000</f>
        <v>114.983</v>
      </c>
      <c r="N38" s="18">
        <f>+月次BS!N38/1000</f>
        <v>114.983</v>
      </c>
      <c r="O38" s="18">
        <f>+月次BS!O38/1000</f>
        <v>114.983</v>
      </c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</row>
    <row r="39" spans="1:45" s="20" customFormat="1">
      <c r="A39">
        <f>+月次BS!A39</f>
        <v>0</v>
      </c>
      <c r="B39" s="19" t="str">
        <f>+月次BS!B39</f>
        <v>敷金</v>
      </c>
      <c r="C39" s="124">
        <f>+月次BS!C39/1000</f>
        <v>0</v>
      </c>
      <c r="D39" s="18">
        <f>+月次BS!D39/1000</f>
        <v>0</v>
      </c>
      <c r="E39" s="18">
        <f>+月次BS!E39/1000</f>
        <v>0</v>
      </c>
      <c r="F39" s="18">
        <f>+月次BS!F39/1000</f>
        <v>0</v>
      </c>
      <c r="G39" s="18">
        <f>+月次BS!G39/1000</f>
        <v>0</v>
      </c>
      <c r="H39" s="18">
        <f>+月次BS!H39/1000</f>
        <v>0</v>
      </c>
      <c r="I39" s="18">
        <f>+月次BS!I39/1000</f>
        <v>0</v>
      </c>
      <c r="J39" s="18">
        <f>+月次BS!J39/1000</f>
        <v>0</v>
      </c>
      <c r="K39" s="18">
        <f>+月次BS!K39/1000</f>
        <v>0</v>
      </c>
      <c r="L39" s="18">
        <f>+月次BS!L39/1000</f>
        <v>0</v>
      </c>
      <c r="M39" s="18">
        <f>+月次BS!M39/1000</f>
        <v>0</v>
      </c>
      <c r="N39" s="18">
        <f>+月次BS!N39/1000</f>
        <v>0</v>
      </c>
      <c r="O39" s="18">
        <f>+月次BS!O39/1000</f>
        <v>0</v>
      </c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</row>
    <row r="40" spans="1:45" s="130" customFormat="1">
      <c r="A40">
        <f>+月次BS!A40</f>
        <v>0</v>
      </c>
      <c r="B40" s="19" t="str">
        <f>+月次BS!B40</f>
        <v>預託金</v>
      </c>
      <c r="C40" s="124">
        <f>+月次BS!C40/1000</f>
        <v>0</v>
      </c>
      <c r="D40" s="18">
        <f>+月次BS!D40/1000</f>
        <v>0</v>
      </c>
      <c r="E40" s="18">
        <f>+月次BS!E40/1000</f>
        <v>0</v>
      </c>
      <c r="F40" s="18">
        <f>+月次BS!F40/1000</f>
        <v>0</v>
      </c>
      <c r="G40" s="18">
        <f>+月次BS!G40/1000</f>
        <v>0</v>
      </c>
      <c r="H40" s="18">
        <f>+月次BS!H40/1000</f>
        <v>0</v>
      </c>
      <c r="I40" s="18">
        <f>+月次BS!I40/1000</f>
        <v>0</v>
      </c>
      <c r="J40" s="18">
        <f>+月次BS!J40/1000</f>
        <v>0</v>
      </c>
      <c r="K40" s="18">
        <f>+月次BS!K40/1000</f>
        <v>0</v>
      </c>
      <c r="L40" s="18">
        <f>+月次BS!L40/1000</f>
        <v>0</v>
      </c>
      <c r="M40" s="18">
        <f>+月次BS!M40/1000</f>
        <v>0</v>
      </c>
      <c r="N40" s="18">
        <f>+月次BS!N40/1000</f>
        <v>0</v>
      </c>
      <c r="O40" s="18">
        <f>+月次BS!O40/1000</f>
        <v>0</v>
      </c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</row>
    <row r="41" spans="1:45" s="21" customFormat="1">
      <c r="A41" s="21" t="str">
        <f>+月次BS!A41</f>
        <v>投資その他の資産合計</v>
      </c>
      <c r="B41" s="129">
        <f>+月次BS!B41</f>
        <v>0</v>
      </c>
      <c r="C41" s="125">
        <f>+月次BS!C41/1000</f>
        <v>6714.9830000000002</v>
      </c>
      <c r="D41" s="22">
        <f>+月次BS!D41/1000</f>
        <v>6714.9830000000002</v>
      </c>
      <c r="E41" s="22">
        <f>+月次BS!E41/1000</f>
        <v>6714.9830000000002</v>
      </c>
      <c r="F41" s="22">
        <f>+月次BS!F41/1000</f>
        <v>6714.9830000000002</v>
      </c>
      <c r="G41" s="22">
        <f>+月次BS!G41/1000</f>
        <v>6714.9830000000002</v>
      </c>
      <c r="H41" s="22">
        <f>+月次BS!H41/1000</f>
        <v>6714.9830000000002</v>
      </c>
      <c r="I41" s="22">
        <f>+月次BS!I41/1000</f>
        <v>6714.9830000000002</v>
      </c>
      <c r="J41" s="22">
        <f>+月次BS!J41/1000</f>
        <v>6714.9830000000002</v>
      </c>
      <c r="K41" s="22">
        <f>+月次BS!K41/1000</f>
        <v>6714.9830000000002</v>
      </c>
      <c r="L41" s="22">
        <f>+月次BS!L41/1000</f>
        <v>6714.9830000000002</v>
      </c>
      <c r="M41" s="22">
        <f>+月次BS!M41/1000</f>
        <v>6714.9830000000002</v>
      </c>
      <c r="N41" s="22">
        <f>+月次BS!N41/1000</f>
        <v>6714.9830000000002</v>
      </c>
      <c r="O41" s="22">
        <f>+月次BS!O41/1000</f>
        <v>6714.9830000000002</v>
      </c>
    </row>
    <row r="42" spans="1:45" s="131" customFormat="1">
      <c r="A42" s="131" t="str">
        <f>+月次BS!A42</f>
        <v>固定資産合計</v>
      </c>
      <c r="B42" s="132">
        <f>+月次BS!B42</f>
        <v>0</v>
      </c>
      <c r="C42" s="133">
        <f>+月次BS!C42/1000</f>
        <v>7509.9830000000002</v>
      </c>
      <c r="D42" s="134">
        <f>+月次BS!D42/1000</f>
        <v>7483.4830000000002</v>
      </c>
      <c r="E42" s="134">
        <f>+月次BS!E42/1000</f>
        <v>7456.9830000000002</v>
      </c>
      <c r="F42" s="134">
        <f>+月次BS!F42/1000</f>
        <v>7430.4830000000002</v>
      </c>
      <c r="G42" s="134">
        <f>+月次BS!G42/1000</f>
        <v>7403.9830000000002</v>
      </c>
      <c r="H42" s="134">
        <f>+月次BS!H42/1000</f>
        <v>7377.4830000000002</v>
      </c>
      <c r="I42" s="134">
        <f>+月次BS!I42/1000</f>
        <v>7350.9830000000002</v>
      </c>
      <c r="J42" s="134">
        <f>+月次BS!J42/1000</f>
        <v>7324.4830000000002</v>
      </c>
      <c r="K42" s="134">
        <f>+月次BS!K42/1000</f>
        <v>7297.9830000000002</v>
      </c>
      <c r="L42" s="134">
        <f>+月次BS!L42/1000</f>
        <v>7271.4830000000002</v>
      </c>
      <c r="M42" s="134">
        <f>+月次BS!M42/1000</f>
        <v>7244.9830000000002</v>
      </c>
      <c r="N42" s="134">
        <f>+月次BS!N42/1000</f>
        <v>7218.4830000000002</v>
      </c>
      <c r="O42" s="134">
        <f>+月次BS!O42/1000</f>
        <v>7191.9830000000002</v>
      </c>
    </row>
    <row r="43" spans="1:45">
      <c r="A43" t="str">
        <f>+月次BS!A43</f>
        <v>繰延資産</v>
      </c>
      <c r="B43" s="19">
        <f>+月次BS!B43</f>
        <v>0</v>
      </c>
      <c r="C43" s="124">
        <f>+月次BS!C43/1000</f>
        <v>0</v>
      </c>
      <c r="D43" s="18">
        <f>+月次BS!D43/1000</f>
        <v>0</v>
      </c>
      <c r="E43" s="18">
        <f>+月次BS!E43/1000</f>
        <v>0</v>
      </c>
      <c r="F43" s="18">
        <f>+月次BS!F43/1000</f>
        <v>0</v>
      </c>
      <c r="G43" s="18">
        <f>+月次BS!G43/1000</f>
        <v>0</v>
      </c>
      <c r="H43" s="18">
        <f>+月次BS!H43/1000</f>
        <v>0</v>
      </c>
      <c r="I43" s="18">
        <f>+月次BS!I43/1000</f>
        <v>0</v>
      </c>
      <c r="J43" s="18">
        <f>+月次BS!J43/1000</f>
        <v>0</v>
      </c>
      <c r="K43" s="18">
        <f>+月次BS!K43/1000</f>
        <v>0</v>
      </c>
      <c r="L43" s="18">
        <f>+月次BS!L43/1000</f>
        <v>0</v>
      </c>
      <c r="M43" s="18">
        <f>+月次BS!M43/1000</f>
        <v>0</v>
      </c>
      <c r="N43" s="18">
        <f>+月次BS!N43/1000</f>
        <v>0</v>
      </c>
      <c r="O43" s="18">
        <f>+月次BS!O43/1000</f>
        <v>0</v>
      </c>
    </row>
    <row r="44" spans="1:45" s="21" customFormat="1">
      <c r="A44" s="21" t="str">
        <f>+月次BS!A44</f>
        <v>繰延資産合計</v>
      </c>
      <c r="B44" s="129">
        <f>+月次BS!B44</f>
        <v>0</v>
      </c>
      <c r="C44" s="125">
        <f>+月次BS!C44/1000</f>
        <v>0</v>
      </c>
      <c r="D44" s="22">
        <f>+月次BS!D44/1000</f>
        <v>0</v>
      </c>
      <c r="E44" s="22">
        <f>+月次BS!E44/1000</f>
        <v>0</v>
      </c>
      <c r="F44" s="22">
        <f>+月次BS!F44/1000</f>
        <v>0</v>
      </c>
      <c r="G44" s="22">
        <f>+月次BS!G44/1000</f>
        <v>0</v>
      </c>
      <c r="H44" s="22">
        <f>+月次BS!H44/1000</f>
        <v>0</v>
      </c>
      <c r="I44" s="22">
        <f>+月次BS!I44/1000</f>
        <v>0</v>
      </c>
      <c r="J44" s="22">
        <f>+月次BS!J44/1000</f>
        <v>0</v>
      </c>
      <c r="K44" s="22">
        <f>+月次BS!K44/1000</f>
        <v>0</v>
      </c>
      <c r="L44" s="22">
        <f>+月次BS!L44/1000</f>
        <v>0</v>
      </c>
      <c r="M44" s="22">
        <f>+月次BS!M44/1000</f>
        <v>0</v>
      </c>
      <c r="N44" s="22">
        <f>+月次BS!N44/1000</f>
        <v>0</v>
      </c>
      <c r="O44" s="22">
        <f>+月次BS!O44/1000</f>
        <v>0</v>
      </c>
    </row>
    <row r="45" spans="1:45">
      <c r="A45" t="str">
        <f>+月次BS!A45</f>
        <v>諸口</v>
      </c>
      <c r="B45" s="19">
        <f>+月次BS!B45</f>
        <v>0</v>
      </c>
      <c r="C45" s="124">
        <f>+月次BS!C45/1000</f>
        <v>0</v>
      </c>
      <c r="D45" s="18">
        <f>+月次BS!D45/1000</f>
        <v>0</v>
      </c>
      <c r="E45" s="18">
        <f>+月次BS!E45/1000</f>
        <v>0</v>
      </c>
      <c r="F45" s="18">
        <f>+月次BS!F45/1000</f>
        <v>0</v>
      </c>
      <c r="G45" s="18">
        <f>+月次BS!G45/1000</f>
        <v>0</v>
      </c>
      <c r="H45" s="18">
        <f>+月次BS!H45/1000</f>
        <v>0</v>
      </c>
      <c r="I45" s="18">
        <f>+月次BS!I45/1000</f>
        <v>0</v>
      </c>
      <c r="J45" s="18">
        <f>+月次BS!J45/1000</f>
        <v>0</v>
      </c>
      <c r="K45" s="18">
        <f>+月次BS!K45/1000</f>
        <v>0</v>
      </c>
      <c r="L45" s="18">
        <f>+月次BS!L45/1000</f>
        <v>0</v>
      </c>
      <c r="M45" s="18">
        <f>+月次BS!M45/1000</f>
        <v>0</v>
      </c>
      <c r="N45" s="18">
        <f>+月次BS!N45/1000</f>
        <v>0</v>
      </c>
      <c r="O45" s="18">
        <f>+月次BS!O45/1000</f>
        <v>0</v>
      </c>
    </row>
    <row r="46" spans="1:45">
      <c r="A46" t="str">
        <f>+月次BS!A46</f>
        <v>諸口合計</v>
      </c>
      <c r="B46" s="19">
        <f>+月次BS!B46</f>
        <v>0</v>
      </c>
      <c r="C46" s="124">
        <f>+月次BS!C46/1000</f>
        <v>0</v>
      </c>
      <c r="D46" s="18">
        <f>+月次BS!D46/1000</f>
        <v>0</v>
      </c>
      <c r="E46" s="18">
        <f>+月次BS!E46/1000</f>
        <v>0</v>
      </c>
      <c r="F46" s="18">
        <f>+月次BS!F46/1000</f>
        <v>0</v>
      </c>
      <c r="G46" s="18">
        <f>+月次BS!G46/1000</f>
        <v>0</v>
      </c>
      <c r="H46" s="18">
        <f>+月次BS!H46/1000</f>
        <v>0</v>
      </c>
      <c r="I46" s="18">
        <f>+月次BS!I46/1000</f>
        <v>0</v>
      </c>
      <c r="J46" s="18">
        <f>+月次BS!J46/1000</f>
        <v>0</v>
      </c>
      <c r="K46" s="18">
        <f>+月次BS!K46/1000</f>
        <v>0</v>
      </c>
      <c r="L46" s="18">
        <f>+月次BS!L46/1000</f>
        <v>0</v>
      </c>
      <c r="M46" s="18">
        <f>+月次BS!M46/1000</f>
        <v>0</v>
      </c>
      <c r="N46" s="18">
        <f>+月次BS!N46/1000</f>
        <v>0</v>
      </c>
      <c r="O46" s="18">
        <f>+月次BS!O46/1000</f>
        <v>0</v>
      </c>
    </row>
    <row r="47" spans="1:45" s="138" customFormat="1" ht="18" thickBot="1">
      <c r="A47" s="138" t="str">
        <f>+月次BS!A47</f>
        <v>資産の部合計</v>
      </c>
      <c r="B47" s="139">
        <f>+月次BS!B47</f>
        <v>0</v>
      </c>
      <c r="C47" s="140">
        <f>+月次BS!C47/1000</f>
        <v>20036.824000000001</v>
      </c>
      <c r="D47" s="141">
        <f>+月次BS!D47/1000</f>
        <v>19915.507000000001</v>
      </c>
      <c r="E47" s="141">
        <f>+月次BS!E47/1000</f>
        <v>19701.914000000001</v>
      </c>
      <c r="F47" s="141">
        <f>+月次BS!F47/1000</f>
        <v>19763.72</v>
      </c>
      <c r="G47" s="141">
        <f>+月次BS!G47/1000</f>
        <v>19674.504000000001</v>
      </c>
      <c r="H47" s="141">
        <f>+月次BS!H47/1000</f>
        <v>19655.936000000002</v>
      </c>
      <c r="I47" s="141">
        <f>+月次BS!I47/1000</f>
        <v>19779.977999999999</v>
      </c>
      <c r="J47" s="141">
        <f>+月次BS!J47/1000</f>
        <v>19494.812000000002</v>
      </c>
      <c r="K47" s="141">
        <f>+月次BS!K47/1000</f>
        <v>19506.914000000001</v>
      </c>
      <c r="L47" s="141">
        <f>+月次BS!L47/1000</f>
        <v>19520.366999999998</v>
      </c>
      <c r="M47" s="141">
        <f>+月次BS!M47/1000</f>
        <v>20040.598000000002</v>
      </c>
      <c r="N47" s="141">
        <f>+月次BS!N47/1000</f>
        <v>20422.043000000001</v>
      </c>
      <c r="O47" s="141">
        <f>+月次BS!O47/1000</f>
        <v>20831.294999999998</v>
      </c>
    </row>
    <row r="48" spans="1:45" ht="18" thickTop="1">
      <c r="A48" t="str">
        <f>+月次BS!A48</f>
        <v>負債の部</v>
      </c>
      <c r="B48" s="19">
        <f>+月次BS!B48</f>
        <v>0</v>
      </c>
      <c r="C48" s="124">
        <f>+月次BS!C48/1000</f>
        <v>0</v>
      </c>
      <c r="D48" s="18">
        <f>+月次BS!D48/1000</f>
        <v>0</v>
      </c>
      <c r="E48" s="18">
        <f>+月次BS!E48/1000</f>
        <v>0</v>
      </c>
      <c r="F48" s="18">
        <f>+月次BS!F48/1000</f>
        <v>0</v>
      </c>
      <c r="G48" s="18">
        <f>+月次BS!G48/1000</f>
        <v>0</v>
      </c>
      <c r="H48" s="18">
        <f>+月次BS!H48/1000</f>
        <v>0</v>
      </c>
      <c r="I48" s="18">
        <f>+月次BS!I48/1000</f>
        <v>0</v>
      </c>
      <c r="J48" s="18">
        <f>+月次BS!J48/1000</f>
        <v>0</v>
      </c>
      <c r="K48" s="18">
        <f>+月次BS!K48/1000</f>
        <v>0</v>
      </c>
      <c r="L48" s="18">
        <f>+月次BS!L48/1000</f>
        <v>0</v>
      </c>
      <c r="M48" s="18">
        <f>+月次BS!M48/1000</f>
        <v>0</v>
      </c>
      <c r="N48" s="18">
        <f>+月次BS!N48/1000</f>
        <v>0</v>
      </c>
      <c r="O48" s="18">
        <f>+月次BS!O48/1000</f>
        <v>0</v>
      </c>
    </row>
    <row r="49" spans="1:45">
      <c r="A49" t="str">
        <f>+月次BS!A49</f>
        <v>流動負債</v>
      </c>
      <c r="B49" s="19">
        <f>+月次BS!B49</f>
        <v>0</v>
      </c>
      <c r="C49" s="124">
        <f>+月次BS!C49/1000</f>
        <v>0</v>
      </c>
      <c r="D49" s="18">
        <f>+月次BS!D49/1000</f>
        <v>0</v>
      </c>
      <c r="E49" s="18">
        <f>+月次BS!E49/1000</f>
        <v>0</v>
      </c>
      <c r="F49" s="18">
        <f>+月次BS!F49/1000</f>
        <v>0</v>
      </c>
      <c r="G49" s="18">
        <f>+月次BS!G49/1000</f>
        <v>0</v>
      </c>
      <c r="H49" s="18">
        <f>+月次BS!H49/1000</f>
        <v>0</v>
      </c>
      <c r="I49" s="18">
        <f>+月次BS!I49/1000</f>
        <v>0</v>
      </c>
      <c r="J49" s="18">
        <f>+月次BS!J49/1000</f>
        <v>0</v>
      </c>
      <c r="K49" s="18">
        <f>+月次BS!K49/1000</f>
        <v>0</v>
      </c>
      <c r="L49" s="18">
        <f>+月次BS!L49/1000</f>
        <v>0</v>
      </c>
      <c r="M49" s="18">
        <f>+月次BS!M49/1000</f>
        <v>0</v>
      </c>
      <c r="N49" s="18">
        <f>+月次BS!N49/1000</f>
        <v>0</v>
      </c>
      <c r="O49" s="18">
        <f>+月次BS!O49/1000</f>
        <v>0</v>
      </c>
    </row>
    <row r="50" spans="1:45" s="20" customFormat="1">
      <c r="A50" t="str">
        <f>+月次BS!A50</f>
        <v>仕入債務</v>
      </c>
      <c r="B50" s="19">
        <f>+月次BS!B50</f>
        <v>0</v>
      </c>
      <c r="C50" s="124">
        <f>+月次BS!C50/1000</f>
        <v>0</v>
      </c>
      <c r="D50" s="18">
        <f>+月次BS!D50/1000</f>
        <v>0</v>
      </c>
      <c r="E50" s="18">
        <f>+月次BS!E50/1000</f>
        <v>0</v>
      </c>
      <c r="F50" s="18">
        <f>+月次BS!F50/1000</f>
        <v>0</v>
      </c>
      <c r="G50" s="18">
        <f>+月次BS!G50/1000</f>
        <v>0</v>
      </c>
      <c r="H50" s="18">
        <f>+月次BS!H50/1000</f>
        <v>0</v>
      </c>
      <c r="I50" s="18">
        <f>+月次BS!I50/1000</f>
        <v>0</v>
      </c>
      <c r="J50" s="18">
        <f>+月次BS!J50/1000</f>
        <v>0</v>
      </c>
      <c r="K50" s="18">
        <f>+月次BS!K50/1000</f>
        <v>0</v>
      </c>
      <c r="L50" s="18">
        <f>+月次BS!L50/1000</f>
        <v>0</v>
      </c>
      <c r="M50" s="18">
        <f>+月次BS!M50/1000</f>
        <v>0</v>
      </c>
      <c r="N50" s="18">
        <f>+月次BS!N50/1000</f>
        <v>0</v>
      </c>
      <c r="O50" s="18">
        <f>+月次BS!O50/1000</f>
        <v>0</v>
      </c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</row>
    <row r="51" spans="1:45" s="20" customFormat="1">
      <c r="A51">
        <f>+月次BS!A51</f>
        <v>0</v>
      </c>
      <c r="B51" s="19" t="str">
        <f>+月次BS!B51</f>
        <v>買掛金</v>
      </c>
      <c r="C51" s="124">
        <f>+月次BS!C51/1000</f>
        <v>0</v>
      </c>
      <c r="D51" s="18">
        <f>+月次BS!D51/1000</f>
        <v>0</v>
      </c>
      <c r="E51" s="18">
        <f>+月次BS!E51/1000</f>
        <v>0</v>
      </c>
      <c r="F51" s="18">
        <f>+月次BS!F51/1000</f>
        <v>0</v>
      </c>
      <c r="G51" s="18">
        <f>+月次BS!G51/1000</f>
        <v>0</v>
      </c>
      <c r="H51" s="18">
        <f>+月次BS!H51/1000</f>
        <v>0</v>
      </c>
      <c r="I51" s="18">
        <f>+月次BS!I51/1000</f>
        <v>0</v>
      </c>
      <c r="J51" s="18">
        <f>+月次BS!J51/1000</f>
        <v>0</v>
      </c>
      <c r="K51" s="18">
        <f>+月次BS!K51/1000</f>
        <v>0</v>
      </c>
      <c r="L51" s="18">
        <f>+月次BS!L51/1000</f>
        <v>0</v>
      </c>
      <c r="M51" s="18">
        <f>+月次BS!M51/1000</f>
        <v>0</v>
      </c>
      <c r="N51" s="18">
        <f>+月次BS!N51/1000</f>
        <v>0</v>
      </c>
      <c r="O51" s="18">
        <f>+月次BS!O51/1000</f>
        <v>0</v>
      </c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</row>
    <row r="52" spans="1:45" s="21" customFormat="1">
      <c r="A52" s="21" t="str">
        <f>+月次BS!A52</f>
        <v>仕入債務合計</v>
      </c>
      <c r="B52" s="129">
        <f>+月次BS!B52</f>
        <v>0</v>
      </c>
      <c r="C52" s="125">
        <f>+月次BS!C52/1000</f>
        <v>0</v>
      </c>
      <c r="D52" s="22">
        <f>+月次BS!D52/1000</f>
        <v>0</v>
      </c>
      <c r="E52" s="22">
        <f>+月次BS!E52/1000</f>
        <v>0</v>
      </c>
      <c r="F52" s="22">
        <f>+月次BS!F52/1000</f>
        <v>0</v>
      </c>
      <c r="G52" s="22">
        <f>+月次BS!G52/1000</f>
        <v>0</v>
      </c>
      <c r="H52" s="22">
        <f>+月次BS!H52/1000</f>
        <v>0</v>
      </c>
      <c r="I52" s="22">
        <f>+月次BS!I52/1000</f>
        <v>0</v>
      </c>
      <c r="J52" s="22">
        <f>+月次BS!J52/1000</f>
        <v>0</v>
      </c>
      <c r="K52" s="22">
        <f>+月次BS!K52/1000</f>
        <v>0</v>
      </c>
      <c r="L52" s="22">
        <f>+月次BS!L52/1000</f>
        <v>0</v>
      </c>
      <c r="M52" s="22">
        <f>+月次BS!M52/1000</f>
        <v>0</v>
      </c>
      <c r="N52" s="22">
        <f>+月次BS!N52/1000</f>
        <v>0</v>
      </c>
      <c r="O52" s="22">
        <f>+月次BS!O52/1000</f>
        <v>0</v>
      </c>
    </row>
    <row r="53" spans="1:45">
      <c r="A53" t="str">
        <f>+月次BS!A53</f>
        <v>その他流動負債</v>
      </c>
      <c r="B53" s="19">
        <f>+月次BS!B53</f>
        <v>0</v>
      </c>
      <c r="C53" s="124">
        <f>+月次BS!C53/1000</f>
        <v>0</v>
      </c>
      <c r="D53" s="18">
        <f>+月次BS!D53/1000</f>
        <v>0</v>
      </c>
      <c r="E53" s="18">
        <f>+月次BS!E53/1000</f>
        <v>0</v>
      </c>
      <c r="F53" s="18">
        <f>+月次BS!F53/1000</f>
        <v>0</v>
      </c>
      <c r="G53" s="18">
        <f>+月次BS!G53/1000</f>
        <v>0</v>
      </c>
      <c r="H53" s="18">
        <f>+月次BS!H53/1000</f>
        <v>0</v>
      </c>
      <c r="I53" s="18">
        <f>+月次BS!I53/1000</f>
        <v>0</v>
      </c>
      <c r="J53" s="18">
        <f>+月次BS!J53/1000</f>
        <v>0</v>
      </c>
      <c r="K53" s="18">
        <f>+月次BS!K53/1000</f>
        <v>0</v>
      </c>
      <c r="L53" s="18">
        <f>+月次BS!L53/1000</f>
        <v>0</v>
      </c>
      <c r="M53" s="18">
        <f>+月次BS!M53/1000</f>
        <v>0</v>
      </c>
      <c r="N53" s="18">
        <f>+月次BS!N53/1000</f>
        <v>0</v>
      </c>
      <c r="O53" s="18">
        <f>+月次BS!O53/1000</f>
        <v>0</v>
      </c>
    </row>
    <row r="54" spans="1:45">
      <c r="B54" s="19" t="str">
        <f>+月次BS!B54</f>
        <v>短期借入金</v>
      </c>
      <c r="C54" s="124">
        <f>+月次BS!C54/1000</f>
        <v>0</v>
      </c>
      <c r="D54" s="18">
        <f>+月次BS!D54/1000</f>
        <v>0</v>
      </c>
      <c r="E54" s="18">
        <f>+月次BS!E54/1000</f>
        <v>0</v>
      </c>
      <c r="F54" s="18">
        <f>+月次BS!F54/1000</f>
        <v>0</v>
      </c>
      <c r="G54" s="18">
        <f>+月次BS!G54/1000</f>
        <v>0</v>
      </c>
      <c r="H54" s="18">
        <f>+月次BS!H54/1000</f>
        <v>0</v>
      </c>
      <c r="I54" s="18">
        <f>+月次BS!I54/1000</f>
        <v>0</v>
      </c>
      <c r="J54" s="18">
        <f>+月次BS!J54/1000</f>
        <v>0</v>
      </c>
      <c r="K54" s="18">
        <f>+月次BS!K54/1000</f>
        <v>0</v>
      </c>
      <c r="L54" s="18">
        <f>+月次BS!L54/1000</f>
        <v>0</v>
      </c>
      <c r="M54" s="18">
        <f>+月次BS!M54/1000</f>
        <v>0</v>
      </c>
      <c r="N54" s="18">
        <f>+月次BS!N54/1000</f>
        <v>0</v>
      </c>
      <c r="O54" s="18">
        <f>+月次BS!O54/1000</f>
        <v>0</v>
      </c>
    </row>
    <row r="55" spans="1:45" s="20" customFormat="1">
      <c r="A55">
        <f>+月次BS!A55</f>
        <v>0</v>
      </c>
      <c r="B55" s="19" t="str">
        <f>+月次BS!B55</f>
        <v>未払金</v>
      </c>
      <c r="C55" s="124">
        <f>+月次BS!C55/1000</f>
        <v>250</v>
      </c>
      <c r="D55" s="18">
        <f>+月次BS!D55/1000</f>
        <v>250</v>
      </c>
      <c r="E55" s="18">
        <f>+月次BS!E55/1000</f>
        <v>349.28</v>
      </c>
      <c r="F55" s="18">
        <f>+月次BS!F55/1000</f>
        <v>349.28</v>
      </c>
      <c r="G55" s="18">
        <f>+月次BS!G55/1000</f>
        <v>349.28</v>
      </c>
      <c r="H55" s="18">
        <f>+月次BS!H55/1000</f>
        <v>349.28</v>
      </c>
      <c r="I55" s="18">
        <f>+月次BS!I55/1000</f>
        <v>301.67700000000002</v>
      </c>
      <c r="J55" s="18">
        <f>+月次BS!J55/1000</f>
        <v>301.67700000000002</v>
      </c>
      <c r="K55" s="18">
        <f>+月次BS!K55/1000</f>
        <v>301.67700000000002</v>
      </c>
      <c r="L55" s="18">
        <f>+月次BS!L55/1000</f>
        <v>301.67700000000002</v>
      </c>
      <c r="M55" s="18">
        <f>+月次BS!M55/1000</f>
        <v>315.25200000000001</v>
      </c>
      <c r="N55" s="18">
        <f>+月次BS!N55/1000</f>
        <v>301.67700000000002</v>
      </c>
      <c r="O55" s="18">
        <f>+月次BS!O55/1000</f>
        <v>271.67700000000002</v>
      </c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</row>
    <row r="56" spans="1:45" s="20" customFormat="1">
      <c r="A56">
        <f>+月次BS!A56</f>
        <v>0</v>
      </c>
      <c r="B56" s="19" t="str">
        <f>+月次BS!B56</f>
        <v>未払費用</v>
      </c>
      <c r="C56" s="124">
        <f>+月次BS!C56/1000</f>
        <v>154.39699999999999</v>
      </c>
      <c r="D56" s="18">
        <f>+月次BS!D56/1000</f>
        <v>277.18200000000002</v>
      </c>
      <c r="E56" s="18">
        <f>+月次BS!E56/1000</f>
        <v>174.93700000000001</v>
      </c>
      <c r="F56" s="18">
        <f>+月次BS!F56/1000</f>
        <v>256.41300000000001</v>
      </c>
      <c r="G56" s="18">
        <f>+月次BS!G56/1000</f>
        <v>233.345</v>
      </c>
      <c r="H56" s="18">
        <f>+月次BS!H56/1000</f>
        <v>201.34899999999999</v>
      </c>
      <c r="I56" s="18">
        <f>+月次BS!I56/1000</f>
        <v>346.83300000000003</v>
      </c>
      <c r="J56" s="18">
        <f>+月次BS!J56/1000</f>
        <v>214.41300000000001</v>
      </c>
      <c r="K56" s="18">
        <f>+月次BS!K56/1000</f>
        <v>179.88399999999999</v>
      </c>
      <c r="L56" s="18">
        <f>+月次BS!L56/1000</f>
        <v>215.524</v>
      </c>
      <c r="M56" s="18">
        <f>+月次BS!M56/1000</f>
        <v>194.76400000000001</v>
      </c>
      <c r="N56" s="18">
        <f>+月次BS!N56/1000</f>
        <v>261.959</v>
      </c>
      <c r="O56" s="18">
        <f>+月次BS!O56/1000</f>
        <v>299.36700000000002</v>
      </c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</row>
    <row r="57" spans="1:45" s="20" customFormat="1">
      <c r="A57">
        <f>+月次BS!A57</f>
        <v>0</v>
      </c>
      <c r="B57" s="19" t="str">
        <f>+月次BS!B57</f>
        <v>預り金</v>
      </c>
      <c r="C57" s="124">
        <f>+月次BS!C57/1000</f>
        <v>0</v>
      </c>
      <c r="D57" s="18">
        <f>+月次BS!D57/1000</f>
        <v>0</v>
      </c>
      <c r="E57" s="18">
        <f>+月次BS!E57/1000</f>
        <v>0.72</v>
      </c>
      <c r="F57" s="18">
        <f>+月次BS!F57/1000</f>
        <v>1.44</v>
      </c>
      <c r="G57" s="18">
        <f>+月次BS!G57/1000</f>
        <v>14.412000000000001</v>
      </c>
      <c r="H57" s="18">
        <f>+月次BS!H57/1000</f>
        <v>15.132</v>
      </c>
      <c r="I57" s="18">
        <f>+月次BS!I57/1000</f>
        <v>18.195</v>
      </c>
      <c r="J57" s="18">
        <f>+月次BS!J57/1000</f>
        <v>6.1260000000000003</v>
      </c>
      <c r="K57" s="18">
        <f>+月次BS!K57/1000</f>
        <v>9.1890000000000001</v>
      </c>
      <c r="L57" s="18">
        <f>+月次BS!L57/1000</f>
        <v>12.252000000000001</v>
      </c>
      <c r="M57" s="18">
        <f>+月次BS!M57/1000</f>
        <v>15.315</v>
      </c>
      <c r="N57" s="18">
        <f>+月次BS!N57/1000</f>
        <v>18.378</v>
      </c>
      <c r="O57" s="18">
        <f>+月次BS!O57/1000</f>
        <v>21.440999999999999</v>
      </c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</row>
    <row r="58" spans="1:45" s="20" customFormat="1">
      <c r="A58">
        <f>+月次BS!A58</f>
        <v>0</v>
      </c>
      <c r="B58" s="19" t="str">
        <f>+月次BS!B58</f>
        <v>仮受金</v>
      </c>
      <c r="C58" s="124">
        <f>+月次BS!C58/1000</f>
        <v>21.420999999999999</v>
      </c>
      <c r="D58" s="18">
        <f>+月次BS!D58/1000</f>
        <v>-1.101</v>
      </c>
      <c r="E58" s="18">
        <f>+月次BS!E58/1000</f>
        <v>-48.040999999999997</v>
      </c>
      <c r="F58" s="18">
        <f>+月次BS!F58/1000</f>
        <v>-35.82</v>
      </c>
      <c r="G58" s="18">
        <f>+月次BS!G58/1000</f>
        <v>-10.303000000000001</v>
      </c>
      <c r="H58" s="18">
        <f>+月次BS!H58/1000</f>
        <v>5.0309999999999997</v>
      </c>
      <c r="I58" s="18">
        <f>+月次BS!I58/1000</f>
        <v>106.718</v>
      </c>
      <c r="J58" s="18">
        <f>+月次BS!J58/1000</f>
        <v>18.3</v>
      </c>
      <c r="K58" s="18">
        <f>+月次BS!K58/1000</f>
        <v>70.307000000000002</v>
      </c>
      <c r="L58" s="18">
        <f>+月次BS!L58/1000</f>
        <v>-0.185</v>
      </c>
      <c r="M58" s="18">
        <f>+月次BS!M58/1000</f>
        <v>0</v>
      </c>
      <c r="N58" s="18">
        <f>+月次BS!N58/1000</f>
        <v>30</v>
      </c>
      <c r="O58" s="18">
        <f>+月次BS!O58/1000</f>
        <v>11.08</v>
      </c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</row>
    <row r="59" spans="1:45" s="20" customFormat="1">
      <c r="A59">
        <f>+月次BS!A59</f>
        <v>0</v>
      </c>
      <c r="B59" s="19" t="str">
        <f>+月次BS!B59</f>
        <v>未払消費税</v>
      </c>
      <c r="C59" s="124">
        <f>+月次BS!C59/1000</f>
        <v>135.6</v>
      </c>
      <c r="D59" s="18">
        <f>+月次BS!D59/1000</f>
        <v>135.6</v>
      </c>
      <c r="E59" s="18">
        <f>+月次BS!E59/1000</f>
        <v>0</v>
      </c>
      <c r="F59" s="18">
        <f>+月次BS!F59/1000</f>
        <v>0</v>
      </c>
      <c r="G59" s="18">
        <f>+月次BS!G59/1000</f>
        <v>0</v>
      </c>
      <c r="H59" s="18">
        <f>+月次BS!H59/1000</f>
        <v>0</v>
      </c>
      <c r="I59" s="18">
        <f>+月次BS!I59/1000</f>
        <v>0</v>
      </c>
      <c r="J59" s="18">
        <f>+月次BS!J59/1000</f>
        <v>0</v>
      </c>
      <c r="K59" s="18">
        <f>+月次BS!K59/1000</f>
        <v>0</v>
      </c>
      <c r="L59" s="18">
        <f>+月次BS!L59/1000</f>
        <v>0</v>
      </c>
      <c r="M59" s="18">
        <f>+月次BS!M59/1000</f>
        <v>0</v>
      </c>
      <c r="N59" s="18">
        <f>+月次BS!N59/1000</f>
        <v>0</v>
      </c>
      <c r="O59" s="18">
        <f>+月次BS!O59/1000</f>
        <v>0</v>
      </c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</row>
    <row r="60" spans="1:45" s="20" customFormat="1">
      <c r="A60">
        <f>+月次BS!A60</f>
        <v>0</v>
      </c>
      <c r="B60" s="19" t="str">
        <f>+月次BS!B60</f>
        <v>未払法人税等</v>
      </c>
      <c r="C60" s="124">
        <f>+月次BS!C60/1000</f>
        <v>70</v>
      </c>
      <c r="D60" s="18">
        <f>+月次BS!D60/1000</f>
        <v>70</v>
      </c>
      <c r="E60" s="18">
        <f>+月次BS!E60/1000</f>
        <v>0</v>
      </c>
      <c r="F60" s="18">
        <f>+月次BS!F60/1000</f>
        <v>0</v>
      </c>
      <c r="G60" s="18">
        <f>+月次BS!G60/1000</f>
        <v>0</v>
      </c>
      <c r="H60" s="18">
        <f>+月次BS!H60/1000</f>
        <v>0</v>
      </c>
      <c r="I60" s="18">
        <f>+月次BS!I60/1000</f>
        <v>0</v>
      </c>
      <c r="J60" s="18">
        <f>+月次BS!J60/1000</f>
        <v>0</v>
      </c>
      <c r="K60" s="18">
        <f>+月次BS!K60/1000</f>
        <v>0</v>
      </c>
      <c r="L60" s="18">
        <f>+月次BS!L60/1000</f>
        <v>0</v>
      </c>
      <c r="M60" s="18">
        <f>+月次BS!M60/1000</f>
        <v>0</v>
      </c>
      <c r="N60" s="18">
        <f>+月次BS!N60/1000</f>
        <v>0</v>
      </c>
      <c r="O60" s="18">
        <f>+月次BS!O60/1000</f>
        <v>0</v>
      </c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</row>
    <row r="61" spans="1:45" s="20" customFormat="1">
      <c r="A61">
        <f>+月次BS!A61</f>
        <v>0</v>
      </c>
      <c r="B61" s="19" t="str">
        <f>+月次BS!B61</f>
        <v>仮受消費税</v>
      </c>
      <c r="C61" s="124">
        <f>+月次BS!C61/1000</f>
        <v>0</v>
      </c>
      <c r="D61" s="18">
        <f>+月次BS!D61/1000</f>
        <v>62.283000000000001</v>
      </c>
      <c r="E61" s="18">
        <f>+月次BS!E61/1000</f>
        <v>118.267</v>
      </c>
      <c r="F61" s="18">
        <f>+月次BS!F61/1000</f>
        <v>175.43199999999999</v>
      </c>
      <c r="G61" s="18">
        <f>+月次BS!G61/1000</f>
        <v>232.59899999999999</v>
      </c>
      <c r="H61" s="18">
        <f>+月次BS!H61/1000</f>
        <v>280.85300000000001</v>
      </c>
      <c r="I61" s="18">
        <f>+月次BS!I61/1000</f>
        <v>337.66</v>
      </c>
      <c r="J61" s="18">
        <f>+月次BS!J61/1000</f>
        <v>394.964</v>
      </c>
      <c r="K61" s="18">
        <f>+月次BS!K61/1000</f>
        <v>451.57900000000001</v>
      </c>
      <c r="L61" s="18">
        <f>+月次BS!L61/1000</f>
        <v>515.92499999999995</v>
      </c>
      <c r="M61" s="18">
        <f>+月次BS!M61/1000</f>
        <v>618.98599999999999</v>
      </c>
      <c r="N61" s="18">
        <f>+月次BS!N61/1000</f>
        <v>708.02599999999995</v>
      </c>
      <c r="O61" s="18">
        <f>+月次BS!O61/1000</f>
        <v>806.87300000000005</v>
      </c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</row>
    <row r="62" spans="1:45" s="20" customFormat="1">
      <c r="A62">
        <f>+月次BS!A62</f>
        <v>0</v>
      </c>
      <c r="B62" s="19" t="str">
        <f>+月次BS!B62</f>
        <v>助成引当</v>
      </c>
      <c r="C62" s="124">
        <f>+月次BS!C62/1000</f>
        <v>0</v>
      </c>
      <c r="D62" s="18">
        <f>+月次BS!D62/1000</f>
        <v>0</v>
      </c>
      <c r="E62" s="18">
        <f>+月次BS!E62/1000</f>
        <v>0</v>
      </c>
      <c r="F62" s="18">
        <f>+月次BS!F62/1000</f>
        <v>0</v>
      </c>
      <c r="G62" s="18">
        <f>+月次BS!G62/1000</f>
        <v>0</v>
      </c>
      <c r="H62" s="18">
        <f>+月次BS!H62/1000</f>
        <v>0</v>
      </c>
      <c r="I62" s="18">
        <f>+月次BS!I62/1000</f>
        <v>0</v>
      </c>
      <c r="J62" s="18">
        <f>+月次BS!J62/1000</f>
        <v>0</v>
      </c>
      <c r="K62" s="18">
        <f>+月次BS!K62/1000</f>
        <v>0</v>
      </c>
      <c r="L62" s="18">
        <f>+月次BS!L62/1000</f>
        <v>0</v>
      </c>
      <c r="M62" s="18">
        <f>+月次BS!M62/1000</f>
        <v>0</v>
      </c>
      <c r="N62" s="18">
        <f>+月次BS!N62/1000</f>
        <v>0</v>
      </c>
      <c r="O62" s="18">
        <f>+月次BS!O62/1000</f>
        <v>0</v>
      </c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</row>
    <row r="63" spans="1:45" s="20" customFormat="1">
      <c r="A63">
        <f>+月次BS!A63</f>
        <v>0</v>
      </c>
      <c r="B63" s="19" t="str">
        <f>+月次BS!B63</f>
        <v>一年以内返済長期借入金</v>
      </c>
      <c r="C63" s="124">
        <f>+月次BS!C63/1000</f>
        <v>1200</v>
      </c>
      <c r="D63" s="18">
        <f>+月次BS!D63/1000</f>
        <v>1200</v>
      </c>
      <c r="E63" s="18">
        <f>+月次BS!E63/1000</f>
        <v>1200</v>
      </c>
      <c r="F63" s="18">
        <f>+月次BS!F63/1000</f>
        <v>1200</v>
      </c>
      <c r="G63" s="18">
        <f>+月次BS!G63/1000</f>
        <v>1200</v>
      </c>
      <c r="H63" s="18">
        <f>+月次BS!H63/1000</f>
        <v>1200</v>
      </c>
      <c r="I63" s="18">
        <f>+月次BS!I63/1000</f>
        <v>1200</v>
      </c>
      <c r="J63" s="18">
        <f>+月次BS!J63/1000</f>
        <v>1200</v>
      </c>
      <c r="K63" s="18">
        <f>+月次BS!K63/1000</f>
        <v>1200</v>
      </c>
      <c r="L63" s="18">
        <f>+月次BS!L63/1000</f>
        <v>1200</v>
      </c>
      <c r="M63" s="18">
        <f>+月次BS!M63/1000</f>
        <v>0</v>
      </c>
      <c r="N63" s="18">
        <f>+月次BS!N63/1000</f>
        <v>0</v>
      </c>
      <c r="O63" s="18">
        <f>+月次BS!O63/1000</f>
        <v>0</v>
      </c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</row>
    <row r="64" spans="1:45" s="21" customFormat="1">
      <c r="A64" s="21" t="str">
        <f>+月次BS!A64</f>
        <v>その他流動負債合計</v>
      </c>
      <c r="B64" s="129">
        <f>+月次BS!B64</f>
        <v>0</v>
      </c>
      <c r="C64" s="125">
        <f>+月次BS!C64/1000</f>
        <v>1831.4179999999999</v>
      </c>
      <c r="D64" s="22">
        <f>+月次BS!D64/1000</f>
        <v>1993.9639999999999</v>
      </c>
      <c r="E64" s="22">
        <f>+月次BS!E64/1000</f>
        <v>1795.163</v>
      </c>
      <c r="F64" s="22">
        <f>+月次BS!F64/1000</f>
        <v>1946.7449999999999</v>
      </c>
      <c r="G64" s="22">
        <f>+月次BS!G64/1000</f>
        <v>2019.3330000000001</v>
      </c>
      <c r="H64" s="22">
        <f>+月次BS!H64/1000</f>
        <v>2051.645</v>
      </c>
      <c r="I64" s="22">
        <f>+月次BS!I64/1000</f>
        <v>2311.0830000000001</v>
      </c>
      <c r="J64" s="22">
        <f>+月次BS!J64/1000</f>
        <v>2135.48</v>
      </c>
      <c r="K64" s="22">
        <f>+月次BS!K64/1000</f>
        <v>2212.636</v>
      </c>
      <c r="L64" s="22">
        <f>+月次BS!L64/1000</f>
        <v>2245.1930000000002</v>
      </c>
      <c r="M64" s="22">
        <f>+月次BS!M64/1000</f>
        <v>1144.317</v>
      </c>
      <c r="N64" s="22">
        <f>+月次BS!N64/1000</f>
        <v>1320.04</v>
      </c>
      <c r="O64" s="22">
        <f>+月次BS!O64/1000</f>
        <v>1410.4380000000001</v>
      </c>
    </row>
    <row r="65" spans="1:45" s="131" customFormat="1">
      <c r="A65" s="131" t="str">
        <f>+月次BS!A65</f>
        <v>流動負債合計</v>
      </c>
      <c r="B65" s="132">
        <f>+月次BS!B65</f>
        <v>0</v>
      </c>
      <c r="C65" s="133">
        <f>+月次BS!C65/1000</f>
        <v>1831.4179999999999</v>
      </c>
      <c r="D65" s="134">
        <f>+月次BS!D65/1000</f>
        <v>1993.9639999999999</v>
      </c>
      <c r="E65" s="134">
        <f>+月次BS!E65/1000</f>
        <v>1795.163</v>
      </c>
      <c r="F65" s="134">
        <f>+月次BS!F65/1000</f>
        <v>1946.7449999999999</v>
      </c>
      <c r="G65" s="134">
        <f>+月次BS!G65/1000</f>
        <v>2019.3330000000001</v>
      </c>
      <c r="H65" s="134">
        <f>+月次BS!H65/1000</f>
        <v>2051.645</v>
      </c>
      <c r="I65" s="134">
        <f>+月次BS!I65/1000</f>
        <v>2311.0830000000001</v>
      </c>
      <c r="J65" s="134">
        <f>+月次BS!J65/1000</f>
        <v>2135.48</v>
      </c>
      <c r="K65" s="134">
        <f>+月次BS!K65/1000</f>
        <v>2212.636</v>
      </c>
      <c r="L65" s="134">
        <f>+月次BS!L65/1000</f>
        <v>2245.1930000000002</v>
      </c>
      <c r="M65" s="134">
        <f>+月次BS!M65/1000</f>
        <v>1144.317</v>
      </c>
      <c r="N65" s="134">
        <f>+月次BS!N65/1000</f>
        <v>1320.04</v>
      </c>
      <c r="O65" s="134">
        <f>+月次BS!O65/1000</f>
        <v>1410.4380000000001</v>
      </c>
    </row>
    <row r="66" spans="1:45" s="20" customFormat="1">
      <c r="A66" t="str">
        <f>+月次BS!A66</f>
        <v>固定負債</v>
      </c>
      <c r="B66" s="19">
        <f>+月次BS!B66</f>
        <v>0</v>
      </c>
      <c r="C66" s="124">
        <f>+月次BS!C66/1000</f>
        <v>0</v>
      </c>
      <c r="D66" s="18">
        <f>+月次BS!D66/1000</f>
        <v>0</v>
      </c>
      <c r="E66" s="18">
        <f>+月次BS!E66/1000</f>
        <v>0</v>
      </c>
      <c r="F66" s="18">
        <f>+月次BS!F66/1000</f>
        <v>0</v>
      </c>
      <c r="G66" s="18">
        <f>+月次BS!G66/1000</f>
        <v>0</v>
      </c>
      <c r="H66" s="18">
        <f>+月次BS!H66/1000</f>
        <v>0</v>
      </c>
      <c r="I66" s="18">
        <f>+月次BS!I66/1000</f>
        <v>0</v>
      </c>
      <c r="J66" s="18">
        <f>+月次BS!J66/1000</f>
        <v>0</v>
      </c>
      <c r="K66" s="18">
        <f>+月次BS!K66/1000</f>
        <v>0</v>
      </c>
      <c r="L66" s="18">
        <f>+月次BS!L66/1000</f>
        <v>0</v>
      </c>
      <c r="M66" s="18">
        <f>+月次BS!M66/1000</f>
        <v>0</v>
      </c>
      <c r="N66" s="18">
        <f>+月次BS!N66/1000</f>
        <v>0</v>
      </c>
      <c r="O66" s="18">
        <f>+月次BS!O66/1000</f>
        <v>0</v>
      </c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</row>
    <row r="67" spans="1:45" s="20" customFormat="1">
      <c r="A67">
        <f>+月次BS!A67</f>
        <v>0</v>
      </c>
      <c r="B67" s="19" t="str">
        <f>+月次BS!B67</f>
        <v>長期借入金</v>
      </c>
      <c r="C67" s="124">
        <f>+月次BS!C67/1000</f>
        <v>8800</v>
      </c>
      <c r="D67" s="18">
        <f>+月次BS!D67/1000</f>
        <v>8800</v>
      </c>
      <c r="E67" s="18">
        <f>+月次BS!E67/1000</f>
        <v>8800</v>
      </c>
      <c r="F67" s="18">
        <f>+月次BS!F67/1000</f>
        <v>8800</v>
      </c>
      <c r="G67" s="18">
        <f>+月次BS!G67/1000</f>
        <v>8800</v>
      </c>
      <c r="H67" s="18">
        <f>+月次BS!H67/1000</f>
        <v>8800</v>
      </c>
      <c r="I67" s="18">
        <f>+月次BS!I67/1000</f>
        <v>8800</v>
      </c>
      <c r="J67" s="18">
        <f>+月次BS!J67/1000</f>
        <v>8800</v>
      </c>
      <c r="K67" s="18">
        <f>+月次BS!K67/1000</f>
        <v>8800</v>
      </c>
      <c r="L67" s="18">
        <f>+月次BS!L67/1000</f>
        <v>8800</v>
      </c>
      <c r="M67" s="18">
        <f>+月次BS!M67/1000</f>
        <v>10000</v>
      </c>
      <c r="N67" s="18">
        <f>+月次BS!N67/1000</f>
        <v>10000</v>
      </c>
      <c r="O67" s="18">
        <f>+月次BS!O67/1000</f>
        <v>10000</v>
      </c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</row>
    <row r="68" spans="1:45" s="131" customFormat="1">
      <c r="A68" s="131" t="str">
        <f>+月次BS!A68</f>
        <v>固定負債合計</v>
      </c>
      <c r="B68" s="132">
        <f>+月次BS!B68</f>
        <v>0</v>
      </c>
      <c r="C68" s="133">
        <f>+月次BS!C68/1000</f>
        <v>8800</v>
      </c>
      <c r="D68" s="134">
        <f>+月次BS!D68/1000</f>
        <v>8800</v>
      </c>
      <c r="E68" s="134">
        <f>+月次BS!E68/1000</f>
        <v>8800</v>
      </c>
      <c r="F68" s="134">
        <f>+月次BS!F68/1000</f>
        <v>8800</v>
      </c>
      <c r="G68" s="134">
        <f>+月次BS!G68/1000</f>
        <v>8800</v>
      </c>
      <c r="H68" s="134">
        <f>+月次BS!H68/1000</f>
        <v>8800</v>
      </c>
      <c r="I68" s="134">
        <f>+月次BS!I68/1000</f>
        <v>8800</v>
      </c>
      <c r="J68" s="134">
        <f>+月次BS!J68/1000</f>
        <v>8800</v>
      </c>
      <c r="K68" s="134">
        <f>+月次BS!K68/1000</f>
        <v>8800</v>
      </c>
      <c r="L68" s="134">
        <f>+月次BS!L68/1000</f>
        <v>8800</v>
      </c>
      <c r="M68" s="134">
        <f>+月次BS!M68/1000</f>
        <v>10000</v>
      </c>
      <c r="N68" s="134">
        <f>+月次BS!N68/1000</f>
        <v>10000</v>
      </c>
      <c r="O68" s="134">
        <f>+月次BS!O68/1000</f>
        <v>10000</v>
      </c>
    </row>
    <row r="69" spans="1:45" s="138" customFormat="1" ht="18" thickBot="1">
      <c r="A69" s="138" t="str">
        <f>+月次BS!A69</f>
        <v>負債の部合計</v>
      </c>
      <c r="B69" s="139">
        <f>+月次BS!B69</f>
        <v>0</v>
      </c>
      <c r="C69" s="140">
        <f>+月次BS!C69/1000</f>
        <v>10631.418</v>
      </c>
      <c r="D69" s="141">
        <f>+月次BS!D69/1000</f>
        <v>10793.964</v>
      </c>
      <c r="E69" s="141">
        <f>+月次BS!E69/1000</f>
        <v>10595.163</v>
      </c>
      <c r="F69" s="141">
        <f>+月次BS!F69/1000</f>
        <v>10746.745000000001</v>
      </c>
      <c r="G69" s="141">
        <f>+月次BS!G69/1000</f>
        <v>10819.333000000001</v>
      </c>
      <c r="H69" s="141">
        <f>+月次BS!H69/1000</f>
        <v>10851.645</v>
      </c>
      <c r="I69" s="141">
        <f>+月次BS!I69/1000</f>
        <v>11111.083000000001</v>
      </c>
      <c r="J69" s="141">
        <f>+月次BS!J69/1000</f>
        <v>10935.48</v>
      </c>
      <c r="K69" s="141">
        <f>+月次BS!K69/1000</f>
        <v>11012.636</v>
      </c>
      <c r="L69" s="141">
        <f>+月次BS!L69/1000</f>
        <v>11045.192999999999</v>
      </c>
      <c r="M69" s="141">
        <f>+月次BS!M69/1000</f>
        <v>11144.316999999999</v>
      </c>
      <c r="N69" s="141">
        <f>+月次BS!N69/1000</f>
        <v>11320.04</v>
      </c>
      <c r="O69" s="141">
        <f>+月次BS!O69/1000</f>
        <v>11410.438</v>
      </c>
    </row>
    <row r="70" spans="1:45" ht="18" thickTop="1">
      <c r="A70" t="str">
        <f>+月次BS!A70</f>
        <v>純資産の部</v>
      </c>
      <c r="B70" s="19">
        <f>+月次BS!B70</f>
        <v>0</v>
      </c>
      <c r="C70" s="124">
        <f>+月次BS!C70/1000</f>
        <v>0</v>
      </c>
      <c r="D70" s="18">
        <f>+月次BS!D70/1000</f>
        <v>0</v>
      </c>
      <c r="E70" s="18">
        <f>+月次BS!E70/1000</f>
        <v>0</v>
      </c>
      <c r="F70" s="18">
        <f>+月次BS!F70/1000</f>
        <v>0</v>
      </c>
      <c r="G70" s="18">
        <f>+月次BS!G70/1000</f>
        <v>0</v>
      </c>
      <c r="H70" s="18">
        <f>+月次BS!H70/1000</f>
        <v>0</v>
      </c>
      <c r="I70" s="18">
        <f>+月次BS!I70/1000</f>
        <v>0</v>
      </c>
      <c r="J70" s="18">
        <f>+月次BS!J70/1000</f>
        <v>0</v>
      </c>
      <c r="K70" s="18">
        <f>+月次BS!K70/1000</f>
        <v>0</v>
      </c>
      <c r="L70" s="18">
        <f>+月次BS!L70/1000</f>
        <v>0</v>
      </c>
      <c r="M70" s="18">
        <f>+月次BS!M70/1000</f>
        <v>0</v>
      </c>
      <c r="N70" s="18">
        <f>+月次BS!N70/1000</f>
        <v>0</v>
      </c>
      <c r="O70" s="18">
        <f>+月次BS!O70/1000</f>
        <v>0</v>
      </c>
    </row>
    <row r="71" spans="1:45">
      <c r="A71" t="str">
        <f>+月次BS!A71</f>
        <v>株主資本</v>
      </c>
      <c r="B71" s="19">
        <f>+月次BS!B71</f>
        <v>0</v>
      </c>
      <c r="C71" s="124">
        <f>+月次BS!C71/1000</f>
        <v>0</v>
      </c>
      <c r="D71" s="18">
        <f>+月次BS!D71/1000</f>
        <v>0</v>
      </c>
      <c r="E71" s="18">
        <f>+月次BS!E71/1000</f>
        <v>0</v>
      </c>
      <c r="F71" s="18">
        <f>+月次BS!F71/1000</f>
        <v>0</v>
      </c>
      <c r="G71" s="18">
        <f>+月次BS!G71/1000</f>
        <v>0</v>
      </c>
      <c r="H71" s="18">
        <f>+月次BS!H71/1000</f>
        <v>0</v>
      </c>
      <c r="I71" s="18">
        <f>+月次BS!I71/1000</f>
        <v>0</v>
      </c>
      <c r="J71" s="18">
        <f>+月次BS!J71/1000</f>
        <v>0</v>
      </c>
      <c r="K71" s="18">
        <f>+月次BS!K71/1000</f>
        <v>0</v>
      </c>
      <c r="L71" s="18">
        <f>+月次BS!L71/1000</f>
        <v>0</v>
      </c>
      <c r="M71" s="18">
        <f>+月次BS!M71/1000</f>
        <v>0</v>
      </c>
      <c r="N71" s="18">
        <f>+月次BS!N71/1000</f>
        <v>0</v>
      </c>
      <c r="O71" s="18">
        <f>+月次BS!O71/1000</f>
        <v>0</v>
      </c>
    </row>
    <row r="72" spans="1:45">
      <c r="A72" t="str">
        <f>+月次BS!A72</f>
        <v>資本金</v>
      </c>
      <c r="B72" s="19">
        <f>+月次BS!B72</f>
        <v>0</v>
      </c>
      <c r="C72" s="124">
        <f>+月次BS!C72/1000</f>
        <v>0</v>
      </c>
      <c r="D72" s="18">
        <f>+月次BS!D72/1000</f>
        <v>0</v>
      </c>
      <c r="E72" s="18">
        <f>+月次BS!E72/1000</f>
        <v>0</v>
      </c>
      <c r="F72" s="18">
        <f>+月次BS!F72/1000</f>
        <v>0</v>
      </c>
      <c r="G72" s="18">
        <f>+月次BS!G72/1000</f>
        <v>0</v>
      </c>
      <c r="H72" s="18">
        <f>+月次BS!H72/1000</f>
        <v>0</v>
      </c>
      <c r="I72" s="18">
        <f>+月次BS!I72/1000</f>
        <v>0</v>
      </c>
      <c r="J72" s="18">
        <f>+月次BS!J72/1000</f>
        <v>0</v>
      </c>
      <c r="K72" s="18">
        <f>+月次BS!K72/1000</f>
        <v>0</v>
      </c>
      <c r="L72" s="18">
        <f>+月次BS!L72/1000</f>
        <v>0</v>
      </c>
      <c r="M72" s="18">
        <f>+月次BS!M72/1000</f>
        <v>0</v>
      </c>
      <c r="N72" s="18">
        <f>+月次BS!N72/1000</f>
        <v>0</v>
      </c>
      <c r="O72" s="18">
        <f>+月次BS!O72/1000</f>
        <v>0</v>
      </c>
    </row>
    <row r="73" spans="1:45">
      <c r="A73">
        <f>+月次BS!A73</f>
        <v>0</v>
      </c>
      <c r="B73" s="19" t="str">
        <f>+月次BS!B73</f>
        <v>資本金</v>
      </c>
      <c r="C73" s="124">
        <f>+月次BS!C73/1000</f>
        <v>3000</v>
      </c>
      <c r="D73" s="18">
        <f>+月次BS!D73/1000</f>
        <v>3000</v>
      </c>
      <c r="E73" s="18">
        <f>+月次BS!E73/1000</f>
        <v>3000</v>
      </c>
      <c r="F73" s="18">
        <f>+月次BS!F73/1000</f>
        <v>3000</v>
      </c>
      <c r="G73" s="18">
        <f>+月次BS!G73/1000</f>
        <v>3000</v>
      </c>
      <c r="H73" s="18">
        <f>+月次BS!H73/1000</f>
        <v>3000</v>
      </c>
      <c r="I73" s="18">
        <f>+月次BS!I73/1000</f>
        <v>3000</v>
      </c>
      <c r="J73" s="18">
        <f>+月次BS!J73/1000</f>
        <v>3000</v>
      </c>
      <c r="K73" s="18">
        <f>+月次BS!K73/1000</f>
        <v>3000</v>
      </c>
      <c r="L73" s="18">
        <f>+月次BS!L73/1000</f>
        <v>3000</v>
      </c>
      <c r="M73" s="18">
        <f>+月次BS!M73/1000</f>
        <v>3000</v>
      </c>
      <c r="N73" s="18">
        <f>+月次BS!N73/1000</f>
        <v>3000</v>
      </c>
      <c r="O73" s="18">
        <f>+月次BS!O73/1000</f>
        <v>3000</v>
      </c>
    </row>
    <row r="74" spans="1:45" s="21" customFormat="1">
      <c r="A74" s="21" t="str">
        <f>+月次BS!A74</f>
        <v>資本金合計</v>
      </c>
      <c r="B74" s="129">
        <f>+月次BS!B74</f>
        <v>0</v>
      </c>
      <c r="C74" s="125">
        <f>+月次BS!C74/1000</f>
        <v>3000</v>
      </c>
      <c r="D74" s="22">
        <f>+月次BS!D74/1000</f>
        <v>3000</v>
      </c>
      <c r="E74" s="22">
        <f>+月次BS!E74/1000</f>
        <v>3000</v>
      </c>
      <c r="F74" s="22">
        <f>+月次BS!F74/1000</f>
        <v>3000</v>
      </c>
      <c r="G74" s="22">
        <f>+月次BS!G74/1000</f>
        <v>3000</v>
      </c>
      <c r="H74" s="22">
        <f>+月次BS!H74/1000</f>
        <v>3000</v>
      </c>
      <c r="I74" s="22">
        <f>+月次BS!I74/1000</f>
        <v>3000</v>
      </c>
      <c r="J74" s="22">
        <f>+月次BS!J74/1000</f>
        <v>3000</v>
      </c>
      <c r="K74" s="22">
        <f>+月次BS!K74/1000</f>
        <v>3000</v>
      </c>
      <c r="L74" s="22">
        <f>+月次BS!L74/1000</f>
        <v>3000</v>
      </c>
      <c r="M74" s="22">
        <f>+月次BS!M74/1000</f>
        <v>3000</v>
      </c>
      <c r="N74" s="22">
        <f>+月次BS!N74/1000</f>
        <v>3000</v>
      </c>
      <c r="O74" s="22">
        <f>+月次BS!O74/1000</f>
        <v>3000</v>
      </c>
    </row>
    <row r="75" spans="1:45">
      <c r="A75" t="str">
        <f>+月次BS!A75</f>
        <v>新株式申込証拠金</v>
      </c>
      <c r="B75" s="19">
        <f>+月次BS!B75</f>
        <v>0</v>
      </c>
      <c r="C75" s="124">
        <f>+月次BS!C75/1000</f>
        <v>0</v>
      </c>
      <c r="D75" s="18">
        <f>+月次BS!D75/1000</f>
        <v>0</v>
      </c>
      <c r="E75" s="18">
        <f>+月次BS!E75/1000</f>
        <v>0</v>
      </c>
      <c r="F75" s="18">
        <f>+月次BS!F75/1000</f>
        <v>0</v>
      </c>
      <c r="G75" s="18">
        <f>+月次BS!G75/1000</f>
        <v>0</v>
      </c>
      <c r="H75" s="18">
        <f>+月次BS!H75/1000</f>
        <v>0</v>
      </c>
      <c r="I75" s="18">
        <f>+月次BS!I75/1000</f>
        <v>0</v>
      </c>
      <c r="J75" s="18">
        <f>+月次BS!J75/1000</f>
        <v>0</v>
      </c>
      <c r="K75" s="18">
        <f>+月次BS!K75/1000</f>
        <v>0</v>
      </c>
      <c r="L75" s="18">
        <f>+月次BS!L75/1000</f>
        <v>0</v>
      </c>
      <c r="M75" s="18">
        <f>+月次BS!M75/1000</f>
        <v>0</v>
      </c>
      <c r="N75" s="18">
        <f>+月次BS!N75/1000</f>
        <v>0</v>
      </c>
      <c r="O75" s="18">
        <f>+月次BS!O75/1000</f>
        <v>0</v>
      </c>
    </row>
    <row r="76" spans="1:45">
      <c r="A76" t="str">
        <f>+月次BS!A76</f>
        <v>新株式申込証拠金合計</v>
      </c>
      <c r="B76" s="19">
        <f>+月次BS!B76</f>
        <v>0</v>
      </c>
      <c r="C76" s="124">
        <f>+月次BS!C76/1000</f>
        <v>0</v>
      </c>
      <c r="D76" s="18">
        <f>+月次BS!D76/1000</f>
        <v>0</v>
      </c>
      <c r="E76" s="18">
        <f>+月次BS!E76/1000</f>
        <v>0</v>
      </c>
      <c r="F76" s="18">
        <f>+月次BS!F76/1000</f>
        <v>0</v>
      </c>
      <c r="G76" s="18">
        <f>+月次BS!G76/1000</f>
        <v>0</v>
      </c>
      <c r="H76" s="18">
        <f>+月次BS!H76/1000</f>
        <v>0</v>
      </c>
      <c r="I76" s="18">
        <f>+月次BS!I76/1000</f>
        <v>0</v>
      </c>
      <c r="J76" s="18">
        <f>+月次BS!J76/1000</f>
        <v>0</v>
      </c>
      <c r="K76" s="18">
        <f>+月次BS!K76/1000</f>
        <v>0</v>
      </c>
      <c r="L76" s="18">
        <f>+月次BS!L76/1000</f>
        <v>0</v>
      </c>
      <c r="M76" s="18">
        <f>+月次BS!M76/1000</f>
        <v>0</v>
      </c>
      <c r="N76" s="18">
        <f>+月次BS!N76/1000</f>
        <v>0</v>
      </c>
      <c r="O76" s="18">
        <f>+月次BS!O76/1000</f>
        <v>0</v>
      </c>
    </row>
    <row r="77" spans="1:45">
      <c r="A77" t="str">
        <f>+月次BS!A77</f>
        <v>資本剰余金</v>
      </c>
      <c r="B77" s="19">
        <f>+月次BS!B77</f>
        <v>0</v>
      </c>
      <c r="C77" s="124">
        <f>+月次BS!C77/1000</f>
        <v>0</v>
      </c>
      <c r="D77" s="18">
        <f>+月次BS!D77/1000</f>
        <v>0</v>
      </c>
      <c r="E77" s="18">
        <f>+月次BS!E77/1000</f>
        <v>0</v>
      </c>
      <c r="F77" s="18">
        <f>+月次BS!F77/1000</f>
        <v>0</v>
      </c>
      <c r="G77" s="18">
        <f>+月次BS!G77/1000</f>
        <v>0</v>
      </c>
      <c r="H77" s="18">
        <f>+月次BS!H77/1000</f>
        <v>0</v>
      </c>
      <c r="I77" s="18">
        <f>+月次BS!I77/1000</f>
        <v>0</v>
      </c>
      <c r="J77" s="18">
        <f>+月次BS!J77/1000</f>
        <v>0</v>
      </c>
      <c r="K77" s="18">
        <f>+月次BS!K77/1000</f>
        <v>0</v>
      </c>
      <c r="L77" s="18">
        <f>+月次BS!L77/1000</f>
        <v>0</v>
      </c>
      <c r="M77" s="18">
        <f>+月次BS!M77/1000</f>
        <v>0</v>
      </c>
      <c r="N77" s="18">
        <f>+月次BS!N77/1000</f>
        <v>0</v>
      </c>
      <c r="O77" s="18">
        <f>+月次BS!O77/1000</f>
        <v>0</v>
      </c>
    </row>
    <row r="78" spans="1:45">
      <c r="A78" t="str">
        <f>+月次BS!A78</f>
        <v>資本剰余金合計</v>
      </c>
      <c r="B78" s="19">
        <f>+月次BS!B78</f>
        <v>0</v>
      </c>
      <c r="C78" s="124">
        <f>+月次BS!C78/1000</f>
        <v>0</v>
      </c>
      <c r="D78" s="18">
        <f>+月次BS!D78/1000</f>
        <v>0</v>
      </c>
      <c r="E78" s="18">
        <f>+月次BS!E78/1000</f>
        <v>0</v>
      </c>
      <c r="F78" s="18">
        <f>+月次BS!F78/1000</f>
        <v>0</v>
      </c>
      <c r="G78" s="18">
        <f>+月次BS!G78/1000</f>
        <v>0</v>
      </c>
      <c r="H78" s="18">
        <f>+月次BS!H78/1000</f>
        <v>0</v>
      </c>
      <c r="I78" s="18">
        <f>+月次BS!I78/1000</f>
        <v>0</v>
      </c>
      <c r="J78" s="18">
        <f>+月次BS!J78/1000</f>
        <v>0</v>
      </c>
      <c r="K78" s="18">
        <f>+月次BS!K78/1000</f>
        <v>0</v>
      </c>
      <c r="L78" s="18">
        <f>+月次BS!L78/1000</f>
        <v>0</v>
      </c>
      <c r="M78" s="18">
        <f>+月次BS!M78/1000</f>
        <v>0</v>
      </c>
      <c r="N78" s="18">
        <f>+月次BS!N78/1000</f>
        <v>0</v>
      </c>
      <c r="O78" s="18">
        <f>+月次BS!O78/1000</f>
        <v>0</v>
      </c>
    </row>
    <row r="79" spans="1:45">
      <c r="A79" t="str">
        <f>+月次BS!A79</f>
        <v>利益剰余金</v>
      </c>
      <c r="B79" s="19">
        <f>+月次BS!B79</f>
        <v>0</v>
      </c>
      <c r="C79" s="124">
        <f>+月次BS!C79/1000</f>
        <v>0</v>
      </c>
      <c r="D79" s="18">
        <f>+月次BS!D79/1000</f>
        <v>0</v>
      </c>
      <c r="E79" s="18">
        <f>+月次BS!E79/1000</f>
        <v>0</v>
      </c>
      <c r="F79" s="18">
        <f>+月次BS!F79/1000</f>
        <v>0</v>
      </c>
      <c r="G79" s="18">
        <f>+月次BS!G79/1000</f>
        <v>0</v>
      </c>
      <c r="H79" s="18">
        <f>+月次BS!H79/1000</f>
        <v>0</v>
      </c>
      <c r="I79" s="18">
        <f>+月次BS!I79/1000</f>
        <v>0</v>
      </c>
      <c r="J79" s="18">
        <f>+月次BS!J79/1000</f>
        <v>0</v>
      </c>
      <c r="K79" s="18">
        <f>+月次BS!K79/1000</f>
        <v>0</v>
      </c>
      <c r="L79" s="18">
        <f>+月次BS!L79/1000</f>
        <v>0</v>
      </c>
      <c r="M79" s="18">
        <f>+月次BS!M79/1000</f>
        <v>0</v>
      </c>
      <c r="N79" s="18">
        <f>+月次BS!N79/1000</f>
        <v>0</v>
      </c>
      <c r="O79" s="18">
        <f>+月次BS!O79/1000</f>
        <v>0</v>
      </c>
    </row>
    <row r="80" spans="1:45">
      <c r="A80" t="str">
        <f>+月次BS!A80</f>
        <v>繰越利益剰余金</v>
      </c>
      <c r="B80" s="19">
        <f>+月次BS!B80</f>
        <v>0</v>
      </c>
      <c r="C80" s="124">
        <f>+月次BS!C80/1000</f>
        <v>6405.4059999999999</v>
      </c>
      <c r="D80" s="18">
        <f>+月次BS!D80/1000</f>
        <v>6121.5429999999997</v>
      </c>
      <c r="E80" s="18">
        <f>+月次BS!E80/1000</f>
        <v>6106.7510000000002</v>
      </c>
      <c r="F80" s="18">
        <f>+月次BS!F80/1000</f>
        <v>6016.9750000000004</v>
      </c>
      <c r="G80" s="18">
        <f>+月次BS!G80/1000</f>
        <v>5855.1710000000003</v>
      </c>
      <c r="H80" s="18">
        <f>+月次BS!H80/1000</f>
        <v>5804.2910000000002</v>
      </c>
      <c r="I80" s="18">
        <f>+月次BS!I80/1000</f>
        <v>5668.8950000000004</v>
      </c>
      <c r="J80" s="18">
        <f>+月次BS!J80/1000</f>
        <v>5559.3320000000003</v>
      </c>
      <c r="K80" s="18">
        <f>+月次BS!K80/1000</f>
        <v>5494.2780000000002</v>
      </c>
      <c r="L80" s="18">
        <f>+月次BS!L80/1000</f>
        <v>5475.174</v>
      </c>
      <c r="M80" s="18">
        <f>+月次BS!M80/1000</f>
        <v>5896.2809999999999</v>
      </c>
      <c r="N80" s="18">
        <f>+月次BS!N80/1000</f>
        <v>6102.0029999999997</v>
      </c>
      <c r="O80" s="18">
        <f>+月次BS!O80/1000</f>
        <v>6420.857</v>
      </c>
    </row>
    <row r="81" spans="1:45">
      <c r="A81" t="str">
        <f>+月次BS!A81</f>
        <v>（うち当期純利益）</v>
      </c>
      <c r="B81" s="19">
        <f>+月次BS!B81</f>
        <v>0</v>
      </c>
      <c r="C81" s="124">
        <f>+月次BS!C81/1000</f>
        <v>0</v>
      </c>
      <c r="D81" s="18">
        <f>+月次BS!D81/1000</f>
        <v>-283.863</v>
      </c>
      <c r="E81" s="18">
        <f>+月次BS!E81/1000</f>
        <v>-298.65499999999997</v>
      </c>
      <c r="F81" s="18">
        <f>+月次BS!F81/1000</f>
        <v>-388.43099999999998</v>
      </c>
      <c r="G81" s="18">
        <f>+月次BS!G81/1000</f>
        <v>-550.23500000000001</v>
      </c>
      <c r="H81" s="18">
        <f>+月次BS!H81/1000</f>
        <v>-601.11500000000001</v>
      </c>
      <c r="I81" s="18">
        <f>+月次BS!I81/1000</f>
        <v>-736.51099999999997</v>
      </c>
      <c r="J81" s="18">
        <f>+月次BS!J81/1000</f>
        <v>-846.07399999999996</v>
      </c>
      <c r="K81" s="18">
        <f>+月次BS!K81/1000</f>
        <v>-911.12800000000004</v>
      </c>
      <c r="L81" s="18">
        <f>+月次BS!L81/1000</f>
        <v>-930.23199999999997</v>
      </c>
      <c r="M81" s="18">
        <f>+月次BS!M81/1000</f>
        <v>-509.125</v>
      </c>
      <c r="N81" s="18">
        <f>+月次BS!N81/1000</f>
        <v>-303.40300000000002</v>
      </c>
      <c r="O81" s="18">
        <f>+月次BS!O81/1000</f>
        <v>15.451000000000001</v>
      </c>
    </row>
    <row r="82" spans="1:45" s="131" customFormat="1">
      <c r="A82" s="131" t="str">
        <f>+月次BS!A82</f>
        <v>利益剰余金合計</v>
      </c>
      <c r="B82" s="132">
        <f>+月次BS!B82</f>
        <v>0</v>
      </c>
      <c r="C82" s="133">
        <f>+月次BS!C82/1000</f>
        <v>6405.4059999999999</v>
      </c>
      <c r="D82" s="134">
        <f>+月次BS!D82/1000</f>
        <v>6121.5429999999997</v>
      </c>
      <c r="E82" s="134">
        <f>+月次BS!E82/1000</f>
        <v>6106.7510000000002</v>
      </c>
      <c r="F82" s="134">
        <f>+月次BS!F82/1000</f>
        <v>6016.9750000000004</v>
      </c>
      <c r="G82" s="134">
        <f>+月次BS!G82/1000</f>
        <v>5855.1710000000003</v>
      </c>
      <c r="H82" s="134">
        <f>+月次BS!H82/1000</f>
        <v>5804.2910000000002</v>
      </c>
      <c r="I82" s="134">
        <f>+月次BS!I82/1000</f>
        <v>5668.8950000000004</v>
      </c>
      <c r="J82" s="134">
        <f>+月次BS!J82/1000</f>
        <v>5559.3320000000003</v>
      </c>
      <c r="K82" s="134">
        <f>+月次BS!K82/1000</f>
        <v>5494.2780000000002</v>
      </c>
      <c r="L82" s="134">
        <f>+月次BS!L82/1000</f>
        <v>5475.174</v>
      </c>
      <c r="M82" s="134">
        <f>+月次BS!M82/1000</f>
        <v>5896.2809999999999</v>
      </c>
      <c r="N82" s="134">
        <f>+月次BS!N82/1000</f>
        <v>6102.0029999999997</v>
      </c>
      <c r="O82" s="134">
        <f>+月次BS!O82/1000</f>
        <v>6420.857</v>
      </c>
    </row>
    <row r="83" spans="1:45">
      <c r="A83" t="str">
        <f>+月次BS!A83</f>
        <v>自己株式</v>
      </c>
      <c r="B83" s="19">
        <f>+月次BS!B83</f>
        <v>0</v>
      </c>
      <c r="C83" s="124">
        <f>+月次BS!C83/1000</f>
        <v>0</v>
      </c>
      <c r="D83" s="18">
        <f>+月次BS!D83/1000</f>
        <v>0</v>
      </c>
      <c r="E83" s="18">
        <f>+月次BS!E83/1000</f>
        <v>0</v>
      </c>
      <c r="F83" s="18">
        <f>+月次BS!F83/1000</f>
        <v>0</v>
      </c>
      <c r="G83" s="18">
        <f>+月次BS!G83/1000</f>
        <v>0</v>
      </c>
      <c r="H83" s="18">
        <f>+月次BS!H83/1000</f>
        <v>0</v>
      </c>
      <c r="I83" s="18">
        <f>+月次BS!I83/1000</f>
        <v>0</v>
      </c>
      <c r="J83" s="18">
        <f>+月次BS!J83/1000</f>
        <v>0</v>
      </c>
      <c r="K83" s="18">
        <f>+月次BS!K83/1000</f>
        <v>0</v>
      </c>
      <c r="L83" s="18">
        <f>+月次BS!L83/1000</f>
        <v>0</v>
      </c>
      <c r="M83" s="18">
        <f>+月次BS!M83/1000</f>
        <v>0</v>
      </c>
      <c r="N83" s="18">
        <f>+月次BS!N83/1000</f>
        <v>0</v>
      </c>
      <c r="O83" s="18">
        <f>+月次BS!O83/1000</f>
        <v>0</v>
      </c>
    </row>
    <row r="84" spans="1:45">
      <c r="A84" t="str">
        <f>+月次BS!A84</f>
        <v>自己株式合計</v>
      </c>
      <c r="B84" s="19">
        <f>+月次BS!B84</f>
        <v>0</v>
      </c>
      <c r="C84" s="124">
        <f>+月次BS!C84/1000</f>
        <v>0</v>
      </c>
      <c r="D84" s="18">
        <f>+月次BS!D84/1000</f>
        <v>0</v>
      </c>
      <c r="E84" s="18">
        <f>+月次BS!E84/1000</f>
        <v>0</v>
      </c>
      <c r="F84" s="18">
        <f>+月次BS!F84/1000</f>
        <v>0</v>
      </c>
      <c r="G84" s="18">
        <f>+月次BS!G84/1000</f>
        <v>0</v>
      </c>
      <c r="H84" s="18">
        <f>+月次BS!H84/1000</f>
        <v>0</v>
      </c>
      <c r="I84" s="18">
        <f>+月次BS!I84/1000</f>
        <v>0</v>
      </c>
      <c r="J84" s="18">
        <f>+月次BS!J84/1000</f>
        <v>0</v>
      </c>
      <c r="K84" s="18">
        <f>+月次BS!K84/1000</f>
        <v>0</v>
      </c>
      <c r="L84" s="18">
        <f>+月次BS!L84/1000</f>
        <v>0</v>
      </c>
      <c r="M84" s="18">
        <f>+月次BS!M84/1000</f>
        <v>0</v>
      </c>
      <c r="N84" s="18">
        <f>+月次BS!N84/1000</f>
        <v>0</v>
      </c>
      <c r="O84" s="18">
        <f>+月次BS!O84/1000</f>
        <v>0</v>
      </c>
    </row>
    <row r="85" spans="1:45">
      <c r="A85" t="str">
        <f>+月次BS!A85</f>
        <v>自己株式申込証拠金</v>
      </c>
      <c r="B85" s="19">
        <f>+月次BS!B85</f>
        <v>0</v>
      </c>
      <c r="C85" s="124">
        <f>+月次BS!C85/1000</f>
        <v>0</v>
      </c>
      <c r="D85" s="18">
        <f>+月次BS!D85/1000</f>
        <v>0</v>
      </c>
      <c r="E85" s="18">
        <f>+月次BS!E85/1000</f>
        <v>0</v>
      </c>
      <c r="F85" s="18">
        <f>+月次BS!F85/1000</f>
        <v>0</v>
      </c>
      <c r="G85" s="18">
        <f>+月次BS!G85/1000</f>
        <v>0</v>
      </c>
      <c r="H85" s="18">
        <f>+月次BS!H85/1000</f>
        <v>0</v>
      </c>
      <c r="I85" s="18">
        <f>+月次BS!I85/1000</f>
        <v>0</v>
      </c>
      <c r="J85" s="18">
        <f>+月次BS!J85/1000</f>
        <v>0</v>
      </c>
      <c r="K85" s="18">
        <f>+月次BS!K85/1000</f>
        <v>0</v>
      </c>
      <c r="L85" s="18">
        <f>+月次BS!L85/1000</f>
        <v>0</v>
      </c>
      <c r="M85" s="18">
        <f>+月次BS!M85/1000</f>
        <v>0</v>
      </c>
      <c r="N85" s="18">
        <f>+月次BS!N85/1000</f>
        <v>0</v>
      </c>
      <c r="O85" s="18">
        <f>+月次BS!O85/1000</f>
        <v>0</v>
      </c>
    </row>
    <row r="86" spans="1:45">
      <c r="A86" t="str">
        <f>+月次BS!A86</f>
        <v>自己株式申込証拠金合計</v>
      </c>
      <c r="B86" s="19">
        <f>+月次BS!B86</f>
        <v>0</v>
      </c>
      <c r="C86" s="124">
        <f>+月次BS!C86/1000</f>
        <v>0</v>
      </c>
      <c r="D86" s="18">
        <f>+月次BS!D86/1000</f>
        <v>0</v>
      </c>
      <c r="E86" s="18">
        <f>+月次BS!E86/1000</f>
        <v>0</v>
      </c>
      <c r="F86" s="18">
        <f>+月次BS!F86/1000</f>
        <v>0</v>
      </c>
      <c r="G86" s="18">
        <f>+月次BS!G86/1000</f>
        <v>0</v>
      </c>
      <c r="H86" s="18">
        <f>+月次BS!H86/1000</f>
        <v>0</v>
      </c>
      <c r="I86" s="18">
        <f>+月次BS!I86/1000</f>
        <v>0</v>
      </c>
      <c r="J86" s="18">
        <f>+月次BS!J86/1000</f>
        <v>0</v>
      </c>
      <c r="K86" s="18">
        <f>+月次BS!K86/1000</f>
        <v>0</v>
      </c>
      <c r="L86" s="18">
        <f>+月次BS!L86/1000</f>
        <v>0</v>
      </c>
      <c r="M86" s="18">
        <f>+月次BS!M86/1000</f>
        <v>0</v>
      </c>
      <c r="N86" s="18">
        <f>+月次BS!N86/1000</f>
        <v>0</v>
      </c>
      <c r="O86" s="18">
        <f>+月次BS!O86/1000</f>
        <v>0</v>
      </c>
    </row>
    <row r="87" spans="1:45" s="131" customFormat="1">
      <c r="A87" s="131" t="str">
        <f>+月次BS!A87</f>
        <v>株主資本合計</v>
      </c>
      <c r="B87" s="132">
        <f>+月次BS!B87</f>
        <v>0</v>
      </c>
      <c r="C87" s="133">
        <f>+月次BS!C87/1000</f>
        <v>9405.4060000000009</v>
      </c>
      <c r="D87" s="134">
        <f>+月次BS!D87/1000</f>
        <v>9121.5429999999997</v>
      </c>
      <c r="E87" s="134">
        <f>+月次BS!E87/1000</f>
        <v>9106.7510000000002</v>
      </c>
      <c r="F87" s="134">
        <f>+月次BS!F87/1000</f>
        <v>9016.9750000000004</v>
      </c>
      <c r="G87" s="134">
        <f>+月次BS!G87/1000</f>
        <v>8855.1710000000003</v>
      </c>
      <c r="H87" s="134">
        <f>+月次BS!H87/1000</f>
        <v>8804.2909999999993</v>
      </c>
      <c r="I87" s="134">
        <f>+月次BS!I87/1000</f>
        <v>8668.8950000000004</v>
      </c>
      <c r="J87" s="134">
        <f>+月次BS!J87/1000</f>
        <v>8559.3320000000003</v>
      </c>
      <c r="K87" s="134">
        <f>+月次BS!K87/1000</f>
        <v>8494.2780000000002</v>
      </c>
      <c r="L87" s="134">
        <f>+月次BS!L87/1000</f>
        <v>8475.1740000000009</v>
      </c>
      <c r="M87" s="134">
        <f>+月次BS!M87/1000</f>
        <v>8896.2810000000009</v>
      </c>
      <c r="N87" s="134">
        <f>+月次BS!N87/1000</f>
        <v>9102.0030000000006</v>
      </c>
      <c r="O87" s="134">
        <f>+月次BS!O87/1000</f>
        <v>9420.857</v>
      </c>
    </row>
    <row r="88" spans="1:45">
      <c r="A88" t="str">
        <f>+月次BS!A88</f>
        <v>評価・換算差額等</v>
      </c>
      <c r="B88" s="19">
        <f>+月次BS!B88</f>
        <v>0</v>
      </c>
      <c r="C88" s="124">
        <f>+月次BS!C88/1000</f>
        <v>0</v>
      </c>
      <c r="D88" s="18">
        <f>+月次BS!D88/1000</f>
        <v>0</v>
      </c>
      <c r="E88" s="18">
        <f>+月次BS!E88/1000</f>
        <v>0</v>
      </c>
      <c r="F88" s="18">
        <f>+月次BS!F88/1000</f>
        <v>0</v>
      </c>
      <c r="G88" s="18">
        <f>+月次BS!G88/1000</f>
        <v>0</v>
      </c>
      <c r="H88" s="18">
        <f>+月次BS!H88/1000</f>
        <v>0</v>
      </c>
      <c r="I88" s="18">
        <f>+月次BS!I88/1000</f>
        <v>0</v>
      </c>
      <c r="J88" s="18">
        <f>+月次BS!J88/1000</f>
        <v>0</v>
      </c>
      <c r="K88" s="18">
        <f>+月次BS!K88/1000</f>
        <v>0</v>
      </c>
      <c r="L88" s="18">
        <f>+月次BS!L88/1000</f>
        <v>0</v>
      </c>
      <c r="M88" s="18">
        <f>+月次BS!M88/1000</f>
        <v>0</v>
      </c>
      <c r="N88" s="18">
        <f>+月次BS!N88/1000</f>
        <v>0</v>
      </c>
      <c r="O88" s="18">
        <f>+月次BS!O88/1000</f>
        <v>0</v>
      </c>
    </row>
    <row r="89" spans="1:45">
      <c r="A89" t="str">
        <f>+月次BS!A89</f>
        <v>評価・換算差額等合計</v>
      </c>
      <c r="B89" s="19">
        <f>+月次BS!B89</f>
        <v>0</v>
      </c>
      <c r="C89" s="124">
        <f>+月次BS!C89/1000</f>
        <v>0</v>
      </c>
      <c r="D89" s="18">
        <f>+月次BS!D89/1000</f>
        <v>0</v>
      </c>
      <c r="E89" s="18">
        <f>+月次BS!E89/1000</f>
        <v>0</v>
      </c>
      <c r="F89" s="18">
        <f>+月次BS!F89/1000</f>
        <v>0</v>
      </c>
      <c r="G89" s="18">
        <f>+月次BS!G89/1000</f>
        <v>0</v>
      </c>
      <c r="H89" s="18">
        <f>+月次BS!H89/1000</f>
        <v>0</v>
      </c>
      <c r="I89" s="18">
        <f>+月次BS!I89/1000</f>
        <v>0</v>
      </c>
      <c r="J89" s="18">
        <f>+月次BS!J89/1000</f>
        <v>0</v>
      </c>
      <c r="K89" s="18">
        <f>+月次BS!K89/1000</f>
        <v>0</v>
      </c>
      <c r="L89" s="18">
        <f>+月次BS!L89/1000</f>
        <v>0</v>
      </c>
      <c r="M89" s="18">
        <f>+月次BS!M89/1000</f>
        <v>0</v>
      </c>
      <c r="N89" s="18">
        <f>+月次BS!N89/1000</f>
        <v>0</v>
      </c>
      <c r="O89" s="18">
        <f>+月次BS!O89/1000</f>
        <v>0</v>
      </c>
    </row>
    <row r="90" spans="1:45">
      <c r="A90" t="str">
        <f>+月次BS!A90</f>
        <v>新株予約権</v>
      </c>
      <c r="B90" s="19">
        <f>+月次BS!B90</f>
        <v>0</v>
      </c>
      <c r="C90" s="124">
        <f>+月次BS!C90/1000</f>
        <v>0</v>
      </c>
      <c r="D90" s="18">
        <f>+月次BS!D90/1000</f>
        <v>0</v>
      </c>
      <c r="E90" s="18">
        <f>+月次BS!E90/1000</f>
        <v>0</v>
      </c>
      <c r="F90" s="18">
        <f>+月次BS!F90/1000</f>
        <v>0</v>
      </c>
      <c r="G90" s="18">
        <f>+月次BS!G90/1000</f>
        <v>0</v>
      </c>
      <c r="H90" s="18">
        <f>+月次BS!H90/1000</f>
        <v>0</v>
      </c>
      <c r="I90" s="18">
        <f>+月次BS!I90/1000</f>
        <v>0</v>
      </c>
      <c r="J90" s="18">
        <f>+月次BS!J90/1000</f>
        <v>0</v>
      </c>
      <c r="K90" s="18">
        <f>+月次BS!K90/1000</f>
        <v>0</v>
      </c>
      <c r="L90" s="18">
        <f>+月次BS!L90/1000</f>
        <v>0</v>
      </c>
      <c r="M90" s="18">
        <f>+月次BS!M90/1000</f>
        <v>0</v>
      </c>
      <c r="N90" s="18">
        <f>+月次BS!N90/1000</f>
        <v>0</v>
      </c>
      <c r="O90" s="18">
        <f>+月次BS!O90/1000</f>
        <v>0</v>
      </c>
    </row>
    <row r="91" spans="1:45">
      <c r="A91" t="str">
        <f>+月次BS!A91</f>
        <v>新株予約権合計</v>
      </c>
      <c r="B91" s="19">
        <f>+月次BS!B91</f>
        <v>0</v>
      </c>
      <c r="C91" s="124">
        <f>+月次BS!C91/1000</f>
        <v>0</v>
      </c>
      <c r="D91" s="18">
        <f>+月次BS!D91/1000</f>
        <v>0</v>
      </c>
      <c r="E91" s="18">
        <f>+月次BS!E91/1000</f>
        <v>0</v>
      </c>
      <c r="F91" s="18">
        <f>+月次BS!F91/1000</f>
        <v>0</v>
      </c>
      <c r="G91" s="18">
        <f>+月次BS!G91/1000</f>
        <v>0</v>
      </c>
      <c r="H91" s="18">
        <f>+月次BS!H91/1000</f>
        <v>0</v>
      </c>
      <c r="I91" s="18">
        <f>+月次BS!I91/1000</f>
        <v>0</v>
      </c>
      <c r="J91" s="18">
        <f>+月次BS!J91/1000</f>
        <v>0</v>
      </c>
      <c r="K91" s="18">
        <f>+月次BS!K91/1000</f>
        <v>0</v>
      </c>
      <c r="L91" s="18">
        <f>+月次BS!L91/1000</f>
        <v>0</v>
      </c>
      <c r="M91" s="18">
        <f>+月次BS!M91/1000</f>
        <v>0</v>
      </c>
      <c r="N91" s="18">
        <f>+月次BS!N91/1000</f>
        <v>0</v>
      </c>
      <c r="O91" s="18">
        <f>+月次BS!O91/1000</f>
        <v>0</v>
      </c>
    </row>
    <row r="92" spans="1:45" s="142" customFormat="1">
      <c r="A92" s="142" t="str">
        <f>+月次BS!A92</f>
        <v>純資産の部合計</v>
      </c>
      <c r="B92" s="143">
        <f>+月次BS!B92</f>
        <v>0</v>
      </c>
      <c r="C92" s="144">
        <f>+月次BS!C92/1000</f>
        <v>9405.4060000000009</v>
      </c>
      <c r="D92" s="145">
        <f>+月次BS!D92/1000</f>
        <v>9121.5429999999997</v>
      </c>
      <c r="E92" s="145">
        <f>+月次BS!E92/1000</f>
        <v>9106.7510000000002</v>
      </c>
      <c r="F92" s="145">
        <f>+月次BS!F92/1000</f>
        <v>9016.9750000000004</v>
      </c>
      <c r="G92" s="145">
        <f>+月次BS!G92/1000</f>
        <v>8855.1710000000003</v>
      </c>
      <c r="H92" s="145">
        <f>+月次BS!H92/1000</f>
        <v>8804.2909999999993</v>
      </c>
      <c r="I92" s="145">
        <f>+月次BS!I92/1000</f>
        <v>8668.8950000000004</v>
      </c>
      <c r="J92" s="145">
        <f>+月次BS!J92/1000</f>
        <v>8559.3320000000003</v>
      </c>
      <c r="K92" s="145">
        <f>+月次BS!K92/1000</f>
        <v>8494.2780000000002</v>
      </c>
      <c r="L92" s="145">
        <f>+月次BS!L92/1000</f>
        <v>8475.1740000000009</v>
      </c>
      <c r="M92" s="145">
        <f>+月次BS!M92/1000</f>
        <v>8896.2810000000009</v>
      </c>
      <c r="N92" s="145">
        <f>+月次BS!N92/1000</f>
        <v>9102.0030000000006</v>
      </c>
      <c r="O92" s="145">
        <f>+月次BS!O92/1000</f>
        <v>9420.857</v>
      </c>
    </row>
    <row r="93" spans="1:45" s="138" customFormat="1" ht="18" thickBot="1">
      <c r="A93" s="138" t="str">
        <f>+月次BS!A93</f>
        <v>負債・純資産の部合計</v>
      </c>
      <c r="B93" s="139">
        <f>+月次BS!B93</f>
        <v>0</v>
      </c>
      <c r="C93" s="140">
        <f>+月次BS!C93/1000</f>
        <v>20036.824000000001</v>
      </c>
      <c r="D93" s="141">
        <f>+月次BS!D93/1000</f>
        <v>19915.507000000001</v>
      </c>
      <c r="E93" s="141">
        <f>+月次BS!E93/1000</f>
        <v>19701.914000000001</v>
      </c>
      <c r="F93" s="141">
        <f>+月次BS!F93/1000</f>
        <v>19763.72</v>
      </c>
      <c r="G93" s="141">
        <f>+月次BS!G93/1000</f>
        <v>19674.504000000001</v>
      </c>
      <c r="H93" s="141">
        <f>+月次BS!H93/1000</f>
        <v>19655.936000000002</v>
      </c>
      <c r="I93" s="141">
        <f>+月次BS!I93/1000</f>
        <v>19779.977999999999</v>
      </c>
      <c r="J93" s="141">
        <f>+月次BS!J93/1000</f>
        <v>19494.812000000002</v>
      </c>
      <c r="K93" s="141">
        <f>+月次BS!K93/1000</f>
        <v>19506.914000000001</v>
      </c>
      <c r="L93" s="141">
        <f>+月次BS!L93/1000</f>
        <v>19520.366999999998</v>
      </c>
      <c r="M93" s="141">
        <f>+月次BS!M93/1000</f>
        <v>20040.598000000002</v>
      </c>
      <c r="N93" s="141">
        <f>+月次BS!N93/1000</f>
        <v>20422.043000000001</v>
      </c>
      <c r="O93" s="141">
        <f>+月次BS!O93/1000</f>
        <v>20831.294999999998</v>
      </c>
    </row>
    <row r="94" spans="1:45" s="20" customFormat="1" ht="18" thickTop="1">
      <c r="A94">
        <f>+月次BS!A95</f>
        <v>0</v>
      </c>
      <c r="B94" s="19">
        <f>+月次BS!B95</f>
        <v>0</v>
      </c>
      <c r="C94" s="124">
        <f>+月次BS!C95/1000</f>
        <v>0</v>
      </c>
      <c r="D94" s="18">
        <f>+月次BS!D95/1000</f>
        <v>0</v>
      </c>
      <c r="E94" s="18">
        <f>+月次BS!E95/1000</f>
        <v>0</v>
      </c>
      <c r="F94" s="18">
        <f>+月次BS!F95/1000</f>
        <v>0</v>
      </c>
      <c r="G94" s="18">
        <f>+月次BS!G95/1000</f>
        <v>0</v>
      </c>
      <c r="H94" s="18">
        <f>+月次BS!H95/1000</f>
        <v>0</v>
      </c>
      <c r="I94" s="18">
        <f>+月次BS!I95/1000</f>
        <v>0</v>
      </c>
      <c r="J94" s="18">
        <f>+月次BS!J95/1000</f>
        <v>0</v>
      </c>
      <c r="K94" s="18">
        <f>+月次BS!K95/1000</f>
        <v>0</v>
      </c>
      <c r="L94" s="18">
        <f>+月次BS!L95/1000</f>
        <v>0</v>
      </c>
      <c r="M94" s="18">
        <f>+月次BS!M95/1000</f>
        <v>0</v>
      </c>
      <c r="N94" s="18">
        <f>+月次BS!N95/1000</f>
        <v>0</v>
      </c>
      <c r="O94" s="18">
        <f>+月次BS!O95/1000</f>
        <v>0</v>
      </c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</row>
    <row r="95" spans="1:45">
      <c r="A95">
        <f>+月次BS!A96</f>
        <v>0</v>
      </c>
      <c r="B95" s="19" t="s">
        <v>319</v>
      </c>
      <c r="C95" s="124">
        <f>+C51+C55+C56</f>
        <v>404.39699999999999</v>
      </c>
      <c r="D95" s="18">
        <f>+D51+D55+D56</f>
        <v>527.18200000000002</v>
      </c>
      <c r="E95" s="18">
        <f t="shared" ref="E95:O95" si="0">+E51+E55+E56</f>
        <v>524.21699999999998</v>
      </c>
      <c r="F95" s="18">
        <f t="shared" si="0"/>
        <v>605.69299999999998</v>
      </c>
      <c r="G95" s="18">
        <f t="shared" si="0"/>
        <v>582.625</v>
      </c>
      <c r="H95" s="18">
        <f t="shared" si="0"/>
        <v>550.62899999999991</v>
      </c>
      <c r="I95" s="18">
        <f t="shared" si="0"/>
        <v>648.51</v>
      </c>
      <c r="J95" s="18">
        <f t="shared" si="0"/>
        <v>516.09</v>
      </c>
      <c r="K95" s="18">
        <f t="shared" si="0"/>
        <v>481.56100000000004</v>
      </c>
      <c r="L95" s="18">
        <f t="shared" si="0"/>
        <v>517.20100000000002</v>
      </c>
      <c r="M95" s="18">
        <f t="shared" si="0"/>
        <v>510.01600000000002</v>
      </c>
      <c r="N95" s="18">
        <f t="shared" si="0"/>
        <v>563.63599999999997</v>
      </c>
      <c r="O95" s="18">
        <f t="shared" si="0"/>
        <v>571.0440000000001</v>
      </c>
    </row>
    <row r="96" spans="1:45">
      <c r="A96">
        <f>+月次BS!A97</f>
        <v>0</v>
      </c>
      <c r="B96" s="19" t="s">
        <v>320</v>
      </c>
      <c r="C96" s="124">
        <f>+C57+C58+C62+C61</f>
        <v>21.420999999999999</v>
      </c>
      <c r="D96" s="18">
        <f t="shared" ref="D96:O96" si="1">+D57+D58+D62+D61</f>
        <v>61.182000000000002</v>
      </c>
      <c r="E96" s="18">
        <f t="shared" si="1"/>
        <v>70.945999999999998</v>
      </c>
      <c r="F96" s="18">
        <f t="shared" si="1"/>
        <v>141.05199999999999</v>
      </c>
      <c r="G96" s="18">
        <f t="shared" si="1"/>
        <v>236.708</v>
      </c>
      <c r="H96" s="18">
        <f t="shared" si="1"/>
        <v>301.01600000000002</v>
      </c>
      <c r="I96" s="18">
        <f t="shared" si="1"/>
        <v>462.57300000000004</v>
      </c>
      <c r="J96" s="18">
        <f t="shared" si="1"/>
        <v>419.39</v>
      </c>
      <c r="K96" s="18">
        <f t="shared" si="1"/>
        <v>531.07500000000005</v>
      </c>
      <c r="L96" s="18">
        <f t="shared" si="1"/>
        <v>527.99199999999996</v>
      </c>
      <c r="M96" s="18">
        <f t="shared" si="1"/>
        <v>634.30100000000004</v>
      </c>
      <c r="N96" s="18">
        <f t="shared" si="1"/>
        <v>756.404</v>
      </c>
      <c r="O96" s="18">
        <f t="shared" si="1"/>
        <v>839.39400000000001</v>
      </c>
    </row>
    <row r="97" spans="1:15">
      <c r="A97">
        <f>+月次BS!A98</f>
        <v>0</v>
      </c>
      <c r="B97" s="19" t="s">
        <v>321</v>
      </c>
      <c r="C97" s="124">
        <f>+C32+C35</f>
        <v>795</v>
      </c>
      <c r="D97" s="18">
        <f t="shared" ref="D97:O97" si="2">+D32+D35</f>
        <v>768.5</v>
      </c>
      <c r="E97" s="18">
        <f t="shared" si="2"/>
        <v>742</v>
      </c>
      <c r="F97" s="18">
        <f t="shared" si="2"/>
        <v>715.5</v>
      </c>
      <c r="G97" s="18">
        <f t="shared" si="2"/>
        <v>689</v>
      </c>
      <c r="H97" s="18">
        <f t="shared" si="2"/>
        <v>662.5</v>
      </c>
      <c r="I97" s="18">
        <f t="shared" si="2"/>
        <v>636</v>
      </c>
      <c r="J97" s="18">
        <f t="shared" si="2"/>
        <v>609.5</v>
      </c>
      <c r="K97" s="18">
        <f t="shared" si="2"/>
        <v>583</v>
      </c>
      <c r="L97" s="18">
        <f t="shared" si="2"/>
        <v>556.5</v>
      </c>
      <c r="M97" s="18">
        <f t="shared" si="2"/>
        <v>530</v>
      </c>
      <c r="N97" s="18">
        <f t="shared" si="2"/>
        <v>503.5</v>
      </c>
      <c r="O97" s="18">
        <f t="shared" si="2"/>
        <v>477</v>
      </c>
    </row>
    <row r="98" spans="1:15">
      <c r="A98">
        <f>+月次BS!A99</f>
        <v>0</v>
      </c>
      <c r="B98" s="19" t="s">
        <v>322</v>
      </c>
      <c r="C98" s="124">
        <f>+C63+C67</f>
        <v>10000</v>
      </c>
      <c r="D98" s="18">
        <f t="shared" ref="D98:O98" si="3">+D63+D67</f>
        <v>10000</v>
      </c>
      <c r="E98" s="18">
        <f t="shared" si="3"/>
        <v>10000</v>
      </c>
      <c r="F98" s="18">
        <f t="shared" si="3"/>
        <v>10000</v>
      </c>
      <c r="G98" s="18">
        <f t="shared" si="3"/>
        <v>10000</v>
      </c>
      <c r="H98" s="18">
        <f t="shared" si="3"/>
        <v>10000</v>
      </c>
      <c r="I98" s="18">
        <f t="shared" si="3"/>
        <v>10000</v>
      </c>
      <c r="J98" s="18">
        <f t="shared" si="3"/>
        <v>10000</v>
      </c>
      <c r="K98" s="18">
        <f t="shared" si="3"/>
        <v>10000</v>
      </c>
      <c r="L98" s="18">
        <f t="shared" si="3"/>
        <v>10000</v>
      </c>
      <c r="M98" s="18">
        <f t="shared" si="3"/>
        <v>10000</v>
      </c>
      <c r="N98" s="18">
        <f t="shared" si="3"/>
        <v>10000</v>
      </c>
      <c r="O98" s="18">
        <f t="shared" si="3"/>
        <v>10000</v>
      </c>
    </row>
    <row r="99" spans="1:15">
      <c r="A99">
        <f>+月次BS!A100</f>
        <v>0</v>
      </c>
      <c r="B99" s="19" t="str">
        <f>+B54</f>
        <v>短期借入金</v>
      </c>
      <c r="C99" s="124">
        <f>+C54</f>
        <v>0</v>
      </c>
      <c r="D99" s="18">
        <f t="shared" ref="D99:O99" si="4">+D54</f>
        <v>0</v>
      </c>
      <c r="E99" s="18">
        <f t="shared" si="4"/>
        <v>0</v>
      </c>
      <c r="F99" s="18">
        <f t="shared" si="4"/>
        <v>0</v>
      </c>
      <c r="G99" s="18">
        <f t="shared" si="4"/>
        <v>0</v>
      </c>
      <c r="H99" s="18">
        <f t="shared" si="4"/>
        <v>0</v>
      </c>
      <c r="I99" s="18">
        <f t="shared" si="4"/>
        <v>0</v>
      </c>
      <c r="J99" s="18">
        <f t="shared" si="4"/>
        <v>0</v>
      </c>
      <c r="K99" s="18">
        <f t="shared" si="4"/>
        <v>0</v>
      </c>
      <c r="L99" s="18">
        <f t="shared" si="4"/>
        <v>0</v>
      </c>
      <c r="M99" s="18">
        <f t="shared" si="4"/>
        <v>0</v>
      </c>
      <c r="N99" s="18">
        <f t="shared" si="4"/>
        <v>0</v>
      </c>
      <c r="O99" s="18">
        <f t="shared" si="4"/>
        <v>0</v>
      </c>
    </row>
    <row r="100" spans="1:15">
      <c r="A100">
        <f>+月次BS!A101</f>
        <v>0</v>
      </c>
      <c r="B100" s="19" t="s">
        <v>163</v>
      </c>
      <c r="C100" s="124">
        <f>+月次BS!C101/1000</f>
        <v>0</v>
      </c>
      <c r="D100" s="18">
        <f>+月次BS!D101/1000</f>
        <v>0</v>
      </c>
      <c r="E100" s="18">
        <f>+月次BS!E101/1000</f>
        <v>0</v>
      </c>
      <c r="F100" s="18">
        <f>+月次BS!F101/1000</f>
        <v>0</v>
      </c>
      <c r="G100" s="18">
        <f>+月次BS!G101/1000</f>
        <v>0</v>
      </c>
      <c r="H100" s="18">
        <f>+月次BS!H101/1000</f>
        <v>0</v>
      </c>
      <c r="I100" s="18">
        <f>+月次BS!I101/1000</f>
        <v>0</v>
      </c>
      <c r="J100" s="18">
        <f>+月次BS!J101/1000</f>
        <v>0</v>
      </c>
      <c r="K100" s="18">
        <f>+月次BS!K101/1000</f>
        <v>0</v>
      </c>
      <c r="L100" s="18">
        <f>+月次BS!L101/1000</f>
        <v>0</v>
      </c>
      <c r="M100" s="18">
        <f>+月次BS!M101/1000</f>
        <v>0</v>
      </c>
      <c r="N100" s="18">
        <f>+月次BS!N101/1000</f>
        <v>0</v>
      </c>
      <c r="O100" s="18">
        <f>+月次BS!O101/1000</f>
        <v>0</v>
      </c>
    </row>
    <row r="101" spans="1:15">
      <c r="A101">
        <f>+月次BS!A102</f>
        <v>0</v>
      </c>
      <c r="B101" s="19">
        <f>+月次BS!B102</f>
        <v>0</v>
      </c>
      <c r="C101" s="124">
        <f>+月次BS!C102/1000</f>
        <v>0</v>
      </c>
      <c r="D101" s="18">
        <f>+月次BS!D102/1000</f>
        <v>0</v>
      </c>
      <c r="E101" s="18">
        <f>+月次BS!E102/1000</f>
        <v>0</v>
      </c>
      <c r="F101" s="18">
        <f>+月次BS!F102/1000</f>
        <v>0</v>
      </c>
      <c r="G101" s="18">
        <f>+月次BS!G102/1000</f>
        <v>0</v>
      </c>
      <c r="H101" s="18">
        <f>+月次BS!H102/1000</f>
        <v>0</v>
      </c>
      <c r="I101" s="18">
        <f>+月次BS!I102/1000</f>
        <v>0</v>
      </c>
      <c r="J101" s="18">
        <f>+月次BS!J102/1000</f>
        <v>0</v>
      </c>
      <c r="K101" s="18">
        <f>+月次BS!K102/1000</f>
        <v>0</v>
      </c>
      <c r="L101" s="18">
        <f>+月次BS!L102/1000</f>
        <v>0</v>
      </c>
      <c r="M101" s="18">
        <f>+月次BS!M102/1000</f>
        <v>0</v>
      </c>
      <c r="N101" s="18">
        <f>+月次BS!N102/1000</f>
        <v>0</v>
      </c>
      <c r="O101" s="18">
        <f>+月次BS!O102/1000</f>
        <v>0</v>
      </c>
    </row>
    <row r="102" spans="1:15">
      <c r="A102">
        <f>+月次BS!A103</f>
        <v>0</v>
      </c>
      <c r="B102" s="19">
        <f>+月次BS!B103</f>
        <v>0</v>
      </c>
      <c r="C102" s="124">
        <f>+月次BS!C103/1000</f>
        <v>0</v>
      </c>
      <c r="D102" s="18">
        <f>+月次BS!D103/1000</f>
        <v>0</v>
      </c>
      <c r="E102" s="18">
        <f>+月次BS!E103/1000</f>
        <v>0</v>
      </c>
      <c r="F102" s="18">
        <f>+月次BS!F103/1000</f>
        <v>0</v>
      </c>
      <c r="G102" s="18">
        <f>+月次BS!G103/1000</f>
        <v>0</v>
      </c>
      <c r="H102" s="18">
        <f>+月次BS!H103/1000</f>
        <v>0</v>
      </c>
      <c r="I102" s="18">
        <f>+月次BS!I103/1000</f>
        <v>0</v>
      </c>
      <c r="J102" s="18">
        <f>+月次BS!J103/1000</f>
        <v>0</v>
      </c>
      <c r="K102" s="18">
        <f>+月次BS!K103/1000</f>
        <v>0</v>
      </c>
      <c r="L102" s="18">
        <f>+月次BS!L103/1000</f>
        <v>0</v>
      </c>
      <c r="M102" s="18">
        <f>+月次BS!M103/1000</f>
        <v>0</v>
      </c>
      <c r="N102" s="18">
        <f>+月次BS!N103/1000</f>
        <v>0</v>
      </c>
      <c r="O102" s="18">
        <f>+月次BS!O103/1000</f>
        <v>0</v>
      </c>
    </row>
    <row r="103" spans="1:15">
      <c r="A103">
        <f>+月次BS!A104</f>
        <v>0</v>
      </c>
      <c r="B103" s="19">
        <f>+月次BS!B104</f>
        <v>0</v>
      </c>
      <c r="C103" s="124">
        <f>+月次BS!C104/1000</f>
        <v>0</v>
      </c>
      <c r="D103" s="18">
        <f>+月次BS!D104/1000</f>
        <v>0</v>
      </c>
      <c r="E103" s="18">
        <f>+月次BS!E104/1000</f>
        <v>0</v>
      </c>
      <c r="F103" s="18">
        <f>+月次BS!F104/1000</f>
        <v>0</v>
      </c>
      <c r="G103" s="18">
        <f>+月次BS!G104/1000</f>
        <v>0</v>
      </c>
      <c r="H103" s="18">
        <f>+月次BS!H104/1000</f>
        <v>0</v>
      </c>
      <c r="I103" s="18">
        <f>+月次BS!I104/1000</f>
        <v>0</v>
      </c>
      <c r="J103" s="18">
        <f>+月次BS!J104/1000</f>
        <v>0</v>
      </c>
      <c r="K103" s="18">
        <f>+月次BS!K104/1000</f>
        <v>0</v>
      </c>
      <c r="L103" s="18">
        <f>+月次BS!L104/1000</f>
        <v>0</v>
      </c>
      <c r="M103" s="18">
        <f>+月次BS!M104/1000</f>
        <v>0</v>
      </c>
      <c r="N103" s="18">
        <f>+月次BS!N104/1000</f>
        <v>0</v>
      </c>
      <c r="O103" s="18">
        <f>+月次BS!O104/1000</f>
        <v>0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/>
  </sheetPr>
  <dimension ref="A1:O66"/>
  <sheetViews>
    <sheetView workbookViewId="0">
      <pane xSplit="2" ySplit="1" topLeftCell="C41" activePane="bottomRight" state="frozen"/>
      <selection pane="topRight" activeCell="C1" sqref="C1"/>
      <selection pane="bottomLeft" activeCell="A2" sqref="A2"/>
      <selection pane="bottomRight" activeCell="Q55" sqref="Q55"/>
    </sheetView>
  </sheetViews>
  <sheetFormatPr defaultColWidth="9" defaultRowHeight="16.5"/>
  <cols>
    <col min="1" max="1" width="9" style="2"/>
    <col min="2" max="2" width="14.625" style="2" customWidth="1"/>
    <col min="3" max="3" width="9.5" style="2" bestFit="1" customWidth="1"/>
    <col min="4" max="4" width="10.375" style="2" bestFit="1" customWidth="1"/>
    <col min="5" max="7" width="9.625" style="2" bestFit="1" customWidth="1"/>
    <col min="8" max="8" width="9.5" style="2" customWidth="1"/>
    <col min="9" max="9" width="9.5" style="2" bestFit="1" customWidth="1"/>
    <col min="10" max="10" width="10.5" style="2" bestFit="1" customWidth="1"/>
    <col min="11" max="13" width="10.625" style="2" customWidth="1"/>
    <col min="14" max="14" width="9" style="2"/>
    <col min="15" max="15" width="12.625" style="110" customWidth="1"/>
    <col min="16" max="16384" width="9" style="2"/>
  </cols>
  <sheetData>
    <row r="1" spans="1:15" s="108" customFormat="1" ht="16.899999999999999" thickBot="1">
      <c r="B1" s="108" t="s">
        <v>0</v>
      </c>
      <c r="C1" s="122">
        <f>+月次BS!D1</f>
        <v>7</v>
      </c>
      <c r="D1" s="122">
        <f>+月次BS!E1</f>
        <v>8</v>
      </c>
      <c r="E1" s="122">
        <f>+月次BS!F1</f>
        <v>9</v>
      </c>
      <c r="F1" s="122">
        <f>+月次BS!G1</f>
        <v>10</v>
      </c>
      <c r="G1" s="122">
        <f>+月次BS!H1</f>
        <v>11</v>
      </c>
      <c r="H1" s="122">
        <f>+月次BS!I1</f>
        <v>12</v>
      </c>
      <c r="I1" s="122">
        <f>+月次BS!J1</f>
        <v>1</v>
      </c>
      <c r="J1" s="122">
        <f>+月次BS!K1</f>
        <v>2</v>
      </c>
      <c r="K1" s="122">
        <f>+月次BS!L1</f>
        <v>3</v>
      </c>
      <c r="L1" s="122">
        <f>+月次BS!M1</f>
        <v>4</v>
      </c>
      <c r="M1" s="122">
        <f>+月次BS!N1</f>
        <v>5</v>
      </c>
      <c r="N1" s="122">
        <f>+月次BS!O1</f>
        <v>6</v>
      </c>
      <c r="O1" s="109" t="s">
        <v>188</v>
      </c>
    </row>
    <row r="2" spans="1:15" ht="16.899999999999999" thickTop="1">
      <c r="A2" s="2" t="s">
        <v>3</v>
      </c>
    </row>
    <row r="3" spans="1:15">
      <c r="B3" s="2" t="s">
        <v>3</v>
      </c>
      <c r="C3" s="2">
        <v>622833</v>
      </c>
      <c r="D3" s="2">
        <v>559842</v>
      </c>
      <c r="E3" s="2">
        <v>571656</v>
      </c>
      <c r="F3" s="2">
        <v>571680</v>
      </c>
      <c r="G3" s="2">
        <v>482542</v>
      </c>
      <c r="H3" s="2">
        <v>568075</v>
      </c>
      <c r="I3" s="2">
        <v>573045</v>
      </c>
      <c r="J3" s="2">
        <v>566158</v>
      </c>
      <c r="K3" s="2">
        <v>643467</v>
      </c>
      <c r="L3" s="2">
        <v>1030617</v>
      </c>
      <c r="M3" s="2">
        <v>890404</v>
      </c>
      <c r="N3" s="2">
        <v>988475</v>
      </c>
      <c r="O3" s="115">
        <f>SUM(C3:N3)</f>
        <v>8068794</v>
      </c>
    </row>
    <row r="4" spans="1:15">
      <c r="O4" s="115">
        <f t="shared" ref="O4:O65" si="0">SUM(C4:N4)</f>
        <v>0</v>
      </c>
    </row>
    <row r="5" spans="1:15">
      <c r="O5" s="115">
        <f t="shared" si="0"/>
        <v>0</v>
      </c>
    </row>
    <row r="6" spans="1:15">
      <c r="O6" s="115">
        <f t="shared" si="0"/>
        <v>0</v>
      </c>
    </row>
    <row r="7" spans="1:15">
      <c r="O7" s="115">
        <f t="shared" si="0"/>
        <v>0</v>
      </c>
    </row>
    <row r="8" spans="1:15" s="111" customFormat="1">
      <c r="A8" s="111" t="s">
        <v>4</v>
      </c>
      <c r="C8" s="112">
        <f t="shared" ref="C8:N8" si="1">+SUM(C3:C7)</f>
        <v>622833</v>
      </c>
      <c r="D8" s="112">
        <f t="shared" si="1"/>
        <v>559842</v>
      </c>
      <c r="E8" s="112">
        <f t="shared" si="1"/>
        <v>571656</v>
      </c>
      <c r="F8" s="112">
        <f t="shared" si="1"/>
        <v>571680</v>
      </c>
      <c r="G8" s="112">
        <f t="shared" si="1"/>
        <v>482542</v>
      </c>
      <c r="H8" s="112">
        <f t="shared" si="1"/>
        <v>568075</v>
      </c>
      <c r="I8" s="112">
        <f t="shared" si="1"/>
        <v>573045</v>
      </c>
      <c r="J8" s="112">
        <f t="shared" si="1"/>
        <v>566158</v>
      </c>
      <c r="K8" s="112">
        <f t="shared" si="1"/>
        <v>643467</v>
      </c>
      <c r="L8" s="112">
        <f t="shared" si="1"/>
        <v>1030617</v>
      </c>
      <c r="M8" s="112">
        <f t="shared" si="1"/>
        <v>890404</v>
      </c>
      <c r="N8" s="112">
        <f t="shared" si="1"/>
        <v>988475</v>
      </c>
      <c r="O8" s="116">
        <f t="shared" si="0"/>
        <v>8068794</v>
      </c>
    </row>
    <row r="9" spans="1:15">
      <c r="A9" s="2" t="s">
        <v>5</v>
      </c>
      <c r="O9" s="115">
        <f t="shared" si="0"/>
        <v>0</v>
      </c>
    </row>
    <row r="10" spans="1:15">
      <c r="O10" s="115">
        <f t="shared" si="0"/>
        <v>0</v>
      </c>
    </row>
    <row r="11" spans="1:15">
      <c r="O11" s="115">
        <f t="shared" si="0"/>
        <v>0</v>
      </c>
    </row>
    <row r="12" spans="1:15">
      <c r="O12" s="115">
        <f t="shared" si="0"/>
        <v>0</v>
      </c>
    </row>
    <row r="13" spans="1:15">
      <c r="O13" s="115">
        <f t="shared" si="0"/>
        <v>0</v>
      </c>
    </row>
    <row r="14" spans="1:15">
      <c r="O14" s="115">
        <f t="shared" si="0"/>
        <v>0</v>
      </c>
    </row>
    <row r="15" spans="1:15" s="111" customFormat="1">
      <c r="A15" s="111" t="s">
        <v>5</v>
      </c>
      <c r="C15" s="112">
        <f>+C10+C11+C12-C13-C14</f>
        <v>0</v>
      </c>
      <c r="D15" s="112">
        <f t="shared" ref="D15:M15" si="2">+D10+D11+D12-D13-D14</f>
        <v>0</v>
      </c>
      <c r="E15" s="112">
        <f t="shared" si="2"/>
        <v>0</v>
      </c>
      <c r="F15" s="112">
        <f t="shared" si="2"/>
        <v>0</v>
      </c>
      <c r="G15" s="112">
        <f t="shared" si="2"/>
        <v>0</v>
      </c>
      <c r="H15" s="112">
        <f t="shared" si="2"/>
        <v>0</v>
      </c>
      <c r="I15" s="112">
        <f t="shared" si="2"/>
        <v>0</v>
      </c>
      <c r="J15" s="112">
        <f t="shared" si="2"/>
        <v>0</v>
      </c>
      <c r="K15" s="112">
        <f t="shared" si="2"/>
        <v>0</v>
      </c>
      <c r="L15" s="112">
        <f t="shared" si="2"/>
        <v>0</v>
      </c>
      <c r="M15" s="112">
        <f t="shared" si="2"/>
        <v>0</v>
      </c>
      <c r="N15" s="112">
        <f t="shared" ref="N15" si="3">+N10+N11+N12-N13-N14</f>
        <v>0</v>
      </c>
      <c r="O15" s="116">
        <f t="shared" si="0"/>
        <v>0</v>
      </c>
    </row>
    <row r="16" spans="1:15" s="113" customFormat="1" ht="16.899999999999999" thickBot="1">
      <c r="A16" s="113" t="s">
        <v>6</v>
      </c>
      <c r="C16" s="114">
        <f>+C8-C15</f>
        <v>622833</v>
      </c>
      <c r="D16" s="114">
        <f t="shared" ref="D16:M16" si="4">+D8-D15</f>
        <v>559842</v>
      </c>
      <c r="E16" s="114">
        <f t="shared" si="4"/>
        <v>571656</v>
      </c>
      <c r="F16" s="114">
        <f t="shared" si="4"/>
        <v>571680</v>
      </c>
      <c r="G16" s="114">
        <f t="shared" si="4"/>
        <v>482542</v>
      </c>
      <c r="H16" s="114">
        <f t="shared" si="4"/>
        <v>568075</v>
      </c>
      <c r="I16" s="114">
        <f t="shared" si="4"/>
        <v>573045</v>
      </c>
      <c r="J16" s="114">
        <f t="shared" si="4"/>
        <v>566158</v>
      </c>
      <c r="K16" s="114">
        <f t="shared" si="4"/>
        <v>643467</v>
      </c>
      <c r="L16" s="114">
        <f t="shared" si="4"/>
        <v>1030617</v>
      </c>
      <c r="M16" s="114">
        <f t="shared" si="4"/>
        <v>890404</v>
      </c>
      <c r="N16" s="114">
        <f t="shared" ref="N16" si="5">+N8-N15</f>
        <v>988475</v>
      </c>
      <c r="O16" s="117">
        <f t="shared" si="0"/>
        <v>8068794</v>
      </c>
    </row>
    <row r="17" spans="1:15" ht="16.899999999999999" thickTop="1">
      <c r="A17" s="2" t="s">
        <v>7</v>
      </c>
      <c r="O17" s="115">
        <f t="shared" si="0"/>
        <v>0</v>
      </c>
    </row>
    <row r="18" spans="1:15" s="162" customFormat="1">
      <c r="B18" s="164" t="s">
        <v>8</v>
      </c>
      <c r="C18" s="164">
        <v>0</v>
      </c>
      <c r="D18" s="164">
        <v>100000</v>
      </c>
      <c r="E18" s="164">
        <v>100000</v>
      </c>
      <c r="F18" s="164">
        <v>100000</v>
      </c>
      <c r="G18" s="164">
        <v>100000</v>
      </c>
      <c r="H18" s="164">
        <v>100000</v>
      </c>
      <c r="I18" s="165">
        <v>100000</v>
      </c>
      <c r="J18" s="164">
        <v>100000</v>
      </c>
      <c r="K18" s="164">
        <v>100000</v>
      </c>
      <c r="L18" s="164">
        <v>100000</v>
      </c>
      <c r="M18" s="164">
        <v>100000</v>
      </c>
      <c r="N18" s="164">
        <v>100000</v>
      </c>
      <c r="O18" s="166">
        <f t="shared" si="0"/>
        <v>1100000</v>
      </c>
    </row>
    <row r="19" spans="1:15" s="55" customFormat="1">
      <c r="B19" s="167" t="s">
        <v>192</v>
      </c>
      <c r="C19" s="167"/>
      <c r="D19" s="167"/>
      <c r="E19" s="167"/>
      <c r="F19" s="167"/>
      <c r="G19" s="167"/>
      <c r="H19" s="167"/>
      <c r="I19" s="168"/>
      <c r="J19" s="167"/>
      <c r="K19" s="167"/>
      <c r="L19" s="167"/>
      <c r="M19" s="167"/>
      <c r="N19" s="167"/>
      <c r="O19" s="169">
        <f t="shared" si="0"/>
        <v>0</v>
      </c>
    </row>
    <row r="20" spans="1:15" s="55" customFormat="1">
      <c r="B20" s="167" t="s">
        <v>195</v>
      </c>
      <c r="C20" s="167"/>
      <c r="D20" s="167"/>
      <c r="E20" s="167"/>
      <c r="F20" s="167"/>
      <c r="G20" s="167"/>
      <c r="H20" s="167"/>
      <c r="I20" s="168"/>
      <c r="J20" s="167"/>
      <c r="K20" s="167"/>
      <c r="L20" s="167"/>
      <c r="M20" s="167"/>
      <c r="N20" s="167"/>
      <c r="O20" s="169">
        <f t="shared" si="0"/>
        <v>0</v>
      </c>
    </row>
    <row r="21" spans="1:15" s="55" customFormat="1">
      <c r="B21" s="167" t="s">
        <v>9</v>
      </c>
      <c r="C21" s="167"/>
      <c r="D21" s="167"/>
      <c r="E21" s="167"/>
      <c r="F21" s="167"/>
      <c r="G21" s="167"/>
      <c r="H21" s="167"/>
      <c r="I21" s="168"/>
      <c r="J21" s="167"/>
      <c r="K21" s="167"/>
      <c r="L21" s="167"/>
      <c r="M21" s="167"/>
      <c r="N21" s="167"/>
      <c r="O21" s="169">
        <f t="shared" si="0"/>
        <v>0</v>
      </c>
    </row>
    <row r="22" spans="1:15" s="55" customFormat="1">
      <c r="B22" s="167" t="s">
        <v>10</v>
      </c>
      <c r="C22" s="167"/>
      <c r="D22" s="167"/>
      <c r="E22" s="167"/>
      <c r="F22" s="167"/>
      <c r="G22" s="167"/>
      <c r="H22" s="167"/>
      <c r="I22" s="168"/>
      <c r="J22" s="167"/>
      <c r="K22" s="167"/>
      <c r="L22" s="167"/>
      <c r="M22" s="167"/>
      <c r="N22" s="167"/>
      <c r="O22" s="169">
        <f t="shared" si="0"/>
        <v>0</v>
      </c>
    </row>
    <row r="23" spans="1:15" s="55" customFormat="1">
      <c r="B23" s="167" t="s">
        <v>11</v>
      </c>
      <c r="C23" s="167"/>
      <c r="D23" s="167"/>
      <c r="E23" s="167"/>
      <c r="F23" s="167"/>
      <c r="G23" s="167"/>
      <c r="H23" s="167"/>
      <c r="I23" s="168"/>
      <c r="J23" s="167"/>
      <c r="K23" s="167"/>
      <c r="L23" s="167"/>
      <c r="M23" s="167"/>
      <c r="N23" s="167"/>
      <c r="O23" s="169">
        <f t="shared" si="0"/>
        <v>0</v>
      </c>
    </row>
    <row r="24" spans="1:15" s="55" customFormat="1">
      <c r="B24" s="167" t="s">
        <v>359</v>
      </c>
      <c r="C24" s="167"/>
      <c r="D24" s="167"/>
      <c r="E24" s="167"/>
      <c r="F24" s="167"/>
      <c r="G24" s="167"/>
      <c r="H24" s="167"/>
      <c r="I24" s="168"/>
      <c r="J24" s="167"/>
      <c r="K24" s="167"/>
      <c r="L24" s="167"/>
      <c r="M24" s="167"/>
      <c r="N24" s="167"/>
      <c r="O24" s="169"/>
    </row>
    <row r="25" spans="1:15" s="163" customFormat="1">
      <c r="B25" s="170" t="s">
        <v>12</v>
      </c>
      <c r="C25" s="170">
        <v>535456</v>
      </c>
      <c r="D25" s="170">
        <v>231819</v>
      </c>
      <c r="E25" s="170">
        <v>231819</v>
      </c>
      <c r="F25" s="170">
        <v>231819</v>
      </c>
      <c r="G25" s="170">
        <v>231819</v>
      </c>
      <c r="H25" s="170">
        <v>231819</v>
      </c>
      <c r="I25" s="171">
        <v>231819</v>
      </c>
      <c r="J25" s="170">
        <v>231819</v>
      </c>
      <c r="K25" s="170">
        <v>231819</v>
      </c>
      <c r="L25" s="170">
        <v>231819</v>
      </c>
      <c r="M25" s="170">
        <v>231819</v>
      </c>
      <c r="N25" s="170">
        <v>231819</v>
      </c>
      <c r="O25" s="172">
        <f t="shared" si="0"/>
        <v>3085465</v>
      </c>
    </row>
    <row r="26" spans="1:15" s="173" customFormat="1">
      <c r="B26" s="173" t="s">
        <v>13</v>
      </c>
      <c r="I26" s="174"/>
      <c r="O26" s="169">
        <f t="shared" si="0"/>
        <v>0</v>
      </c>
    </row>
    <row r="27" spans="1:15" s="173" customFormat="1">
      <c r="B27" s="173" t="s">
        <v>14</v>
      </c>
      <c r="C27" s="173">
        <v>13438</v>
      </c>
      <c r="D27" s="173">
        <v>50137</v>
      </c>
      <c r="E27" s="173">
        <v>103900</v>
      </c>
      <c r="F27" s="173">
        <v>12119</v>
      </c>
      <c r="G27" s="173">
        <v>30000</v>
      </c>
      <c r="H27" s="173">
        <v>158371</v>
      </c>
      <c r="I27" s="174">
        <v>87515</v>
      </c>
      <c r="J27" s="173">
        <v>113663</v>
      </c>
      <c r="K27" s="173">
        <v>172618</v>
      </c>
      <c r="L27" s="173">
        <v>89768</v>
      </c>
      <c r="M27" s="173">
        <v>95002</v>
      </c>
      <c r="N27" s="173">
        <v>111724</v>
      </c>
      <c r="O27" s="169">
        <f t="shared" si="0"/>
        <v>1038255</v>
      </c>
    </row>
    <row r="28" spans="1:15" s="173" customFormat="1">
      <c r="B28" s="173" t="s">
        <v>15</v>
      </c>
      <c r="C28" s="173">
        <v>9720</v>
      </c>
      <c r="D28" s="173">
        <v>5371</v>
      </c>
      <c r="E28" s="173">
        <v>8966</v>
      </c>
      <c r="F28" s="173">
        <v>74104</v>
      </c>
      <c r="G28" s="173">
        <v>6693</v>
      </c>
      <c r="H28" s="173">
        <v>1928</v>
      </c>
      <c r="I28" s="174">
        <v>101043</v>
      </c>
      <c r="J28" s="173">
        <v>5547</v>
      </c>
      <c r="K28" s="173">
        <v>1091</v>
      </c>
      <c r="L28" s="173">
        <v>0</v>
      </c>
      <c r="M28" s="173">
        <v>57464</v>
      </c>
      <c r="N28" s="173">
        <v>24862</v>
      </c>
      <c r="O28" s="169">
        <f t="shared" si="0"/>
        <v>296789</v>
      </c>
    </row>
    <row r="29" spans="1:15" s="173" customFormat="1">
      <c r="B29" s="173" t="s">
        <v>16</v>
      </c>
      <c r="C29" s="173">
        <v>1200</v>
      </c>
      <c r="D29" s="173">
        <v>55560</v>
      </c>
      <c r="E29" s="173">
        <v>54960</v>
      </c>
      <c r="F29" s="173">
        <v>1200</v>
      </c>
      <c r="G29" s="173">
        <v>1200</v>
      </c>
      <c r="H29" s="173">
        <v>78960</v>
      </c>
      <c r="I29" s="174">
        <v>3837</v>
      </c>
      <c r="J29" s="173">
        <v>57597</v>
      </c>
      <c r="K29" s="173">
        <v>18513</v>
      </c>
      <c r="L29" s="173">
        <v>27326</v>
      </c>
      <c r="M29" s="173">
        <v>71599</v>
      </c>
      <c r="N29" s="173">
        <v>62331</v>
      </c>
      <c r="O29" s="169">
        <f t="shared" si="0"/>
        <v>434283</v>
      </c>
    </row>
    <row r="30" spans="1:15" s="173" customFormat="1">
      <c r="B30" s="173" t="s">
        <v>17</v>
      </c>
      <c r="I30" s="174"/>
      <c r="O30" s="169">
        <f t="shared" si="0"/>
        <v>0</v>
      </c>
    </row>
    <row r="31" spans="1:15" s="173" customFormat="1">
      <c r="B31" s="173" t="s">
        <v>18</v>
      </c>
      <c r="I31" s="174"/>
      <c r="O31" s="169">
        <f t="shared" si="0"/>
        <v>0</v>
      </c>
    </row>
    <row r="32" spans="1:15" s="173" customFormat="1">
      <c r="B32" s="173" t="s">
        <v>19</v>
      </c>
      <c r="C32" s="173">
        <v>4797</v>
      </c>
      <c r="D32" s="173">
        <v>0</v>
      </c>
      <c r="E32" s="173">
        <v>0</v>
      </c>
      <c r="F32" s="173">
        <v>0</v>
      </c>
      <c r="G32" s="173">
        <v>0</v>
      </c>
      <c r="H32" s="173">
        <v>0</v>
      </c>
      <c r="I32" s="174">
        <v>0</v>
      </c>
      <c r="J32" s="173">
        <v>0</v>
      </c>
      <c r="K32" s="173">
        <v>0</v>
      </c>
      <c r="L32" s="173">
        <v>39584</v>
      </c>
      <c r="M32" s="173">
        <v>10200</v>
      </c>
      <c r="N32" s="173">
        <v>0</v>
      </c>
      <c r="O32" s="169">
        <f t="shared" si="0"/>
        <v>54581</v>
      </c>
    </row>
    <row r="33" spans="1:15" s="173" customFormat="1">
      <c r="B33" s="173" t="s">
        <v>20</v>
      </c>
      <c r="I33" s="174"/>
      <c r="O33" s="169">
        <f t="shared" si="0"/>
        <v>0</v>
      </c>
    </row>
    <row r="34" spans="1:15" s="173" customFormat="1">
      <c r="B34" s="173" t="s">
        <v>21</v>
      </c>
      <c r="C34" s="173">
        <v>44500</v>
      </c>
      <c r="D34" s="173">
        <v>44500</v>
      </c>
      <c r="E34" s="173">
        <v>44500</v>
      </c>
      <c r="F34" s="173">
        <v>44500</v>
      </c>
      <c r="G34" s="173">
        <v>44500</v>
      </c>
      <c r="H34" s="173">
        <v>44500</v>
      </c>
      <c r="I34" s="174">
        <v>44500</v>
      </c>
      <c r="J34" s="173">
        <v>44500</v>
      </c>
      <c r="K34" s="173">
        <v>44500</v>
      </c>
      <c r="L34" s="173">
        <v>44500</v>
      </c>
      <c r="M34" s="173">
        <v>44500</v>
      </c>
      <c r="N34" s="173">
        <v>44500</v>
      </c>
      <c r="O34" s="169">
        <f t="shared" si="0"/>
        <v>534000</v>
      </c>
    </row>
    <row r="35" spans="1:15" s="173" customFormat="1">
      <c r="B35" s="173" t="s">
        <v>22</v>
      </c>
      <c r="I35" s="174"/>
      <c r="O35" s="169">
        <f t="shared" si="0"/>
        <v>0</v>
      </c>
    </row>
    <row r="36" spans="1:15" s="173" customFormat="1">
      <c r="B36" s="173" t="s">
        <v>23</v>
      </c>
      <c r="C36" s="173">
        <v>5000</v>
      </c>
      <c r="D36" s="173">
        <v>5000</v>
      </c>
      <c r="E36" s="173">
        <v>5000</v>
      </c>
      <c r="F36" s="173">
        <v>5000</v>
      </c>
      <c r="G36" s="173">
        <v>5000</v>
      </c>
      <c r="H36" s="173">
        <v>5000</v>
      </c>
      <c r="I36" s="174">
        <v>5000</v>
      </c>
      <c r="J36" s="173">
        <v>5000</v>
      </c>
      <c r="K36" s="173">
        <v>5000</v>
      </c>
      <c r="L36" s="173">
        <v>5000</v>
      </c>
      <c r="M36" s="173">
        <v>5000</v>
      </c>
      <c r="N36" s="173">
        <v>5000</v>
      </c>
      <c r="O36" s="169">
        <f t="shared" si="0"/>
        <v>60000</v>
      </c>
    </row>
    <row r="37" spans="1:15" s="173" customFormat="1">
      <c r="B37" s="173" t="s">
        <v>24</v>
      </c>
      <c r="C37" s="173">
        <v>0</v>
      </c>
      <c r="D37" s="173">
        <v>0</v>
      </c>
      <c r="E37" s="173">
        <v>0</v>
      </c>
      <c r="F37" s="173">
        <v>0</v>
      </c>
      <c r="G37" s="173">
        <v>1200</v>
      </c>
      <c r="H37" s="173">
        <v>0</v>
      </c>
      <c r="I37" s="174">
        <v>600</v>
      </c>
      <c r="J37" s="173">
        <v>0</v>
      </c>
      <c r="K37" s="173">
        <v>0</v>
      </c>
      <c r="L37" s="173">
        <v>0</v>
      </c>
      <c r="M37" s="173">
        <v>0</v>
      </c>
      <c r="N37" s="173">
        <v>0</v>
      </c>
      <c r="O37" s="169">
        <f t="shared" si="0"/>
        <v>1800</v>
      </c>
    </row>
    <row r="38" spans="1:15" s="173" customFormat="1">
      <c r="B38" s="173" t="s">
        <v>25</v>
      </c>
      <c r="C38" s="173">
        <v>12455</v>
      </c>
      <c r="D38" s="173">
        <v>1955</v>
      </c>
      <c r="E38" s="173">
        <v>2105</v>
      </c>
      <c r="F38" s="173">
        <v>2255</v>
      </c>
      <c r="G38" s="173">
        <v>7469</v>
      </c>
      <c r="H38" s="173">
        <v>4353</v>
      </c>
      <c r="I38" s="174">
        <v>4694</v>
      </c>
      <c r="J38" s="173">
        <v>2155</v>
      </c>
      <c r="K38" s="173">
        <v>2255</v>
      </c>
      <c r="L38" s="173">
        <v>2105</v>
      </c>
      <c r="M38" s="173">
        <v>2105</v>
      </c>
      <c r="N38" s="173">
        <v>2105</v>
      </c>
      <c r="O38" s="169">
        <f t="shared" si="0"/>
        <v>46011</v>
      </c>
    </row>
    <row r="39" spans="1:15" s="173" customFormat="1">
      <c r="B39" s="173" t="s">
        <v>177</v>
      </c>
      <c r="C39" s="173">
        <v>84497</v>
      </c>
      <c r="D39" s="173">
        <v>10447</v>
      </c>
      <c r="E39" s="173">
        <v>11637</v>
      </c>
      <c r="F39" s="173">
        <v>67568</v>
      </c>
      <c r="G39" s="173">
        <v>49291</v>
      </c>
      <c r="H39" s="173">
        <v>22016</v>
      </c>
      <c r="I39" s="174">
        <v>45376</v>
      </c>
      <c r="J39" s="173">
        <v>13067</v>
      </c>
      <c r="K39" s="173">
        <v>27771</v>
      </c>
      <c r="L39" s="173">
        <v>13158</v>
      </c>
      <c r="M39" s="173">
        <v>10469</v>
      </c>
      <c r="N39" s="173">
        <v>27614</v>
      </c>
      <c r="O39" s="169">
        <f t="shared" si="0"/>
        <v>382911</v>
      </c>
    </row>
    <row r="40" spans="1:15" s="173" customFormat="1">
      <c r="B40" s="173" t="s">
        <v>26</v>
      </c>
      <c r="C40" s="173">
        <v>0</v>
      </c>
      <c r="D40" s="173">
        <v>1990</v>
      </c>
      <c r="E40" s="173">
        <v>1990</v>
      </c>
      <c r="F40" s="173">
        <v>891</v>
      </c>
      <c r="G40" s="173">
        <v>891</v>
      </c>
      <c r="H40" s="173">
        <v>891</v>
      </c>
      <c r="I40" s="174">
        <v>891</v>
      </c>
      <c r="J40" s="173">
        <v>3919</v>
      </c>
      <c r="K40" s="173">
        <v>891</v>
      </c>
      <c r="L40" s="173">
        <v>891</v>
      </c>
      <c r="M40" s="173">
        <v>891</v>
      </c>
      <c r="N40" s="173">
        <v>0</v>
      </c>
      <c r="O40" s="169">
        <f t="shared" si="0"/>
        <v>14136</v>
      </c>
    </row>
    <row r="41" spans="1:15" s="173" customFormat="1">
      <c r="B41" s="173" t="s">
        <v>27</v>
      </c>
      <c r="C41" s="173">
        <v>26500</v>
      </c>
      <c r="D41" s="173">
        <v>26500</v>
      </c>
      <c r="E41" s="173">
        <v>26500</v>
      </c>
      <c r="F41" s="173">
        <v>26500</v>
      </c>
      <c r="G41" s="173">
        <v>26500</v>
      </c>
      <c r="H41" s="173">
        <v>26500</v>
      </c>
      <c r="I41" s="174">
        <v>26500</v>
      </c>
      <c r="J41" s="173">
        <v>26500</v>
      </c>
      <c r="K41" s="173">
        <v>26500</v>
      </c>
      <c r="L41" s="173">
        <v>26500</v>
      </c>
      <c r="M41" s="173">
        <v>26500</v>
      </c>
      <c r="N41" s="173">
        <v>26500</v>
      </c>
      <c r="O41" s="169">
        <f t="shared" si="0"/>
        <v>318000</v>
      </c>
    </row>
    <row r="42" spans="1:15">
      <c r="B42" s="2" t="s">
        <v>28</v>
      </c>
      <c r="C42" s="2">
        <v>640</v>
      </c>
      <c r="D42" s="2">
        <v>640</v>
      </c>
      <c r="E42" s="2">
        <v>640</v>
      </c>
      <c r="F42" s="2">
        <v>19035</v>
      </c>
      <c r="G42" s="2">
        <v>640</v>
      </c>
      <c r="H42" s="2">
        <v>640</v>
      </c>
      <c r="I42" s="120">
        <v>2340</v>
      </c>
      <c r="J42" s="2">
        <v>640</v>
      </c>
      <c r="K42" s="2">
        <v>3640</v>
      </c>
      <c r="L42" s="2">
        <v>640</v>
      </c>
      <c r="M42" s="2">
        <v>640</v>
      </c>
      <c r="N42" s="2">
        <v>5186</v>
      </c>
      <c r="O42" s="115">
        <f t="shared" si="0"/>
        <v>35321</v>
      </c>
    </row>
    <row r="43" spans="1:15">
      <c r="B43" s="2" t="s">
        <v>29</v>
      </c>
      <c r="C43" s="2">
        <v>20000</v>
      </c>
      <c r="D43" s="2">
        <v>20000</v>
      </c>
      <c r="E43" s="2">
        <v>20000</v>
      </c>
      <c r="F43" s="2">
        <v>140000</v>
      </c>
      <c r="G43" s="2">
        <v>20000</v>
      </c>
      <c r="H43" s="2">
        <v>20000</v>
      </c>
      <c r="I43" s="120">
        <v>20000</v>
      </c>
      <c r="J43" s="2">
        <v>20000</v>
      </c>
      <c r="K43" s="2">
        <v>20000</v>
      </c>
      <c r="L43" s="2">
        <v>20000</v>
      </c>
      <c r="M43" s="2">
        <v>20000</v>
      </c>
      <c r="N43" s="2">
        <v>20000</v>
      </c>
      <c r="O43" s="115">
        <f t="shared" si="0"/>
        <v>360000</v>
      </c>
    </row>
    <row r="44" spans="1:15" s="173" customFormat="1">
      <c r="B44" s="173" t="s">
        <v>370</v>
      </c>
      <c r="C44" s="173">
        <v>140000</v>
      </c>
      <c r="D44" s="173">
        <v>14004</v>
      </c>
      <c r="E44" s="173">
        <v>42383</v>
      </c>
      <c r="F44" s="173">
        <v>0</v>
      </c>
      <c r="G44" s="173">
        <v>0</v>
      </c>
      <c r="H44" s="173">
        <v>0</v>
      </c>
      <c r="I44" s="174">
        <v>0</v>
      </c>
      <c r="J44" s="173">
        <v>0</v>
      </c>
      <c r="K44" s="173">
        <v>0</v>
      </c>
      <c r="L44" s="173">
        <v>0</v>
      </c>
      <c r="M44" s="173">
        <v>0</v>
      </c>
      <c r="N44" s="173">
        <v>0</v>
      </c>
      <c r="O44" s="169">
        <f t="shared" si="0"/>
        <v>196387</v>
      </c>
    </row>
    <row r="45" spans="1:15" s="111" customFormat="1">
      <c r="A45" s="111" t="s">
        <v>30</v>
      </c>
      <c r="C45" s="112">
        <f>+SUM(C18:C44)</f>
        <v>898203</v>
      </c>
      <c r="D45" s="112">
        <f t="shared" ref="D45:M45" si="6">+SUM(D18:D44)</f>
        <v>567923</v>
      </c>
      <c r="E45" s="112">
        <f t="shared" si="6"/>
        <v>654400</v>
      </c>
      <c r="F45" s="112">
        <f t="shared" si="6"/>
        <v>724991</v>
      </c>
      <c r="G45" s="112">
        <f t="shared" si="6"/>
        <v>525203</v>
      </c>
      <c r="H45" s="112">
        <f t="shared" si="6"/>
        <v>694978</v>
      </c>
      <c r="I45" s="112">
        <f t="shared" si="6"/>
        <v>674115</v>
      </c>
      <c r="J45" s="112">
        <f t="shared" si="6"/>
        <v>624407</v>
      </c>
      <c r="K45" s="112">
        <f t="shared" si="6"/>
        <v>654598</v>
      </c>
      <c r="L45" s="112">
        <f t="shared" si="6"/>
        <v>601291</v>
      </c>
      <c r="M45" s="112">
        <f t="shared" si="6"/>
        <v>676189</v>
      </c>
      <c r="N45" s="112">
        <f t="shared" ref="N45" si="7">+SUM(N18:N44)</f>
        <v>661641</v>
      </c>
      <c r="O45" s="116">
        <f t="shared" si="0"/>
        <v>7957939</v>
      </c>
    </row>
    <row r="46" spans="1:15" s="113" customFormat="1" ht="16.899999999999999" thickBot="1">
      <c r="A46" s="113" t="s">
        <v>31</v>
      </c>
      <c r="C46" s="114">
        <f>+C16-C45</f>
        <v>-275370</v>
      </c>
      <c r="D46" s="114">
        <f t="shared" ref="D46:M46" si="8">+D16-D45</f>
        <v>-8081</v>
      </c>
      <c r="E46" s="114">
        <f t="shared" si="8"/>
        <v>-82744</v>
      </c>
      <c r="F46" s="114">
        <f t="shared" si="8"/>
        <v>-153311</v>
      </c>
      <c r="G46" s="114">
        <f t="shared" si="8"/>
        <v>-42661</v>
      </c>
      <c r="H46" s="114">
        <f t="shared" si="8"/>
        <v>-126903</v>
      </c>
      <c r="I46" s="114">
        <f t="shared" si="8"/>
        <v>-101070</v>
      </c>
      <c r="J46" s="114">
        <f t="shared" si="8"/>
        <v>-58249</v>
      </c>
      <c r="K46" s="114">
        <f t="shared" si="8"/>
        <v>-11131</v>
      </c>
      <c r="L46" s="114">
        <f t="shared" si="8"/>
        <v>429326</v>
      </c>
      <c r="M46" s="114">
        <f t="shared" si="8"/>
        <v>214215</v>
      </c>
      <c r="N46" s="114">
        <f t="shared" ref="N46" si="9">+N16-N45</f>
        <v>326834</v>
      </c>
      <c r="O46" s="117">
        <f t="shared" si="0"/>
        <v>110855</v>
      </c>
    </row>
    <row r="47" spans="1:15" ht="16.899999999999999" thickTop="1">
      <c r="A47" s="2" t="s">
        <v>32</v>
      </c>
      <c r="O47" s="115">
        <f t="shared" si="0"/>
        <v>0</v>
      </c>
    </row>
    <row r="48" spans="1:15">
      <c r="B48" s="2" t="s">
        <v>33</v>
      </c>
      <c r="C48" s="2">
        <v>0</v>
      </c>
      <c r="D48" s="2">
        <v>1782</v>
      </c>
      <c r="E48" s="2">
        <v>560</v>
      </c>
      <c r="F48" s="2">
        <v>0</v>
      </c>
      <c r="G48" s="2">
        <v>0</v>
      </c>
      <c r="H48" s="2">
        <v>0</v>
      </c>
      <c r="I48" s="2">
        <v>0</v>
      </c>
      <c r="J48" s="2">
        <v>866</v>
      </c>
      <c r="K48" s="2">
        <v>520</v>
      </c>
      <c r="L48" s="2">
        <v>0</v>
      </c>
      <c r="M48" s="2">
        <v>0</v>
      </c>
      <c r="N48" s="2">
        <v>0</v>
      </c>
      <c r="O48" s="115">
        <f t="shared" si="0"/>
        <v>3728</v>
      </c>
    </row>
    <row r="49" spans="1:15">
      <c r="B49" s="2" t="s">
        <v>180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239</v>
      </c>
      <c r="O49" s="115">
        <f t="shared" si="0"/>
        <v>239</v>
      </c>
    </row>
    <row r="50" spans="1:15">
      <c r="B50" s="2" t="s">
        <v>34</v>
      </c>
      <c r="C50" s="2">
        <v>0</v>
      </c>
      <c r="D50" s="2">
        <v>0</v>
      </c>
      <c r="E50" s="2">
        <v>627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115">
        <f t="shared" si="0"/>
        <v>627</v>
      </c>
    </row>
    <row r="51" spans="1:15" s="111" customFormat="1">
      <c r="A51" s="111" t="s">
        <v>35</v>
      </c>
      <c r="C51" s="111">
        <v>0</v>
      </c>
      <c r="D51" s="111">
        <v>1782</v>
      </c>
      <c r="E51" s="111">
        <v>1187</v>
      </c>
      <c r="F51" s="111">
        <v>0</v>
      </c>
      <c r="G51" s="111">
        <v>0</v>
      </c>
      <c r="H51" s="111">
        <v>0</v>
      </c>
      <c r="I51" s="111">
        <v>0</v>
      </c>
      <c r="J51" s="111">
        <v>866</v>
      </c>
      <c r="K51" s="111">
        <v>520</v>
      </c>
      <c r="L51" s="111">
        <v>0</v>
      </c>
      <c r="M51" s="111">
        <v>0</v>
      </c>
      <c r="N51" s="111">
        <v>239</v>
      </c>
      <c r="O51" s="116">
        <f t="shared" si="0"/>
        <v>4594</v>
      </c>
    </row>
    <row r="52" spans="1:15">
      <c r="A52" s="2" t="s">
        <v>36</v>
      </c>
      <c r="O52" s="115">
        <f t="shared" si="0"/>
        <v>0</v>
      </c>
    </row>
    <row r="53" spans="1:15">
      <c r="B53" s="2" t="s">
        <v>37</v>
      </c>
      <c r="C53" s="2">
        <v>8493</v>
      </c>
      <c r="D53" s="2">
        <v>8493</v>
      </c>
      <c r="E53" s="2">
        <v>8219</v>
      </c>
      <c r="F53" s="2">
        <v>8493</v>
      </c>
      <c r="G53" s="2">
        <v>8219</v>
      </c>
      <c r="H53" s="2">
        <v>8493</v>
      </c>
      <c r="I53" s="2">
        <v>8493</v>
      </c>
      <c r="J53" s="2">
        <v>7671</v>
      </c>
      <c r="K53" s="2">
        <v>8493</v>
      </c>
      <c r="L53" s="2">
        <v>8219</v>
      </c>
      <c r="M53" s="2">
        <v>8493</v>
      </c>
      <c r="N53" s="2">
        <v>8219</v>
      </c>
      <c r="O53" s="115">
        <f t="shared" si="0"/>
        <v>99998</v>
      </c>
    </row>
    <row r="54" spans="1:15">
      <c r="B54" s="2" t="s">
        <v>38</v>
      </c>
      <c r="O54" s="115">
        <f t="shared" si="0"/>
        <v>0</v>
      </c>
    </row>
    <row r="55" spans="1:15">
      <c r="B55" s="2" t="s">
        <v>39</v>
      </c>
      <c r="O55" s="115">
        <f t="shared" si="0"/>
        <v>0</v>
      </c>
    </row>
    <row r="56" spans="1:15" s="111" customFormat="1">
      <c r="A56" s="111" t="s">
        <v>40</v>
      </c>
      <c r="C56" s="111">
        <v>8493</v>
      </c>
      <c r="D56" s="111">
        <v>8493</v>
      </c>
      <c r="E56" s="111">
        <v>8219</v>
      </c>
      <c r="F56" s="111">
        <v>8493</v>
      </c>
      <c r="G56" s="111">
        <v>8219</v>
      </c>
      <c r="H56" s="111">
        <v>8493</v>
      </c>
      <c r="I56" s="111">
        <v>8493</v>
      </c>
      <c r="J56" s="111">
        <v>7671</v>
      </c>
      <c r="K56" s="111">
        <v>8493</v>
      </c>
      <c r="L56" s="111">
        <v>8219</v>
      </c>
      <c r="M56" s="111">
        <v>8493</v>
      </c>
      <c r="N56" s="111">
        <v>8219</v>
      </c>
      <c r="O56" s="116">
        <f t="shared" si="0"/>
        <v>99998</v>
      </c>
    </row>
    <row r="57" spans="1:15" s="113" customFormat="1" ht="16.899999999999999" thickBot="1">
      <c r="A57" s="113" t="s">
        <v>41</v>
      </c>
      <c r="C57" s="114">
        <f>+C46+C51-C56</f>
        <v>-283863</v>
      </c>
      <c r="D57" s="114">
        <f t="shared" ref="D57:N57" si="10">+D46+D51-D56</f>
        <v>-14792</v>
      </c>
      <c r="E57" s="114">
        <f t="shared" si="10"/>
        <v>-89776</v>
      </c>
      <c r="F57" s="114">
        <f t="shared" si="10"/>
        <v>-161804</v>
      </c>
      <c r="G57" s="114">
        <f t="shared" si="10"/>
        <v>-50880</v>
      </c>
      <c r="H57" s="114">
        <f t="shared" si="10"/>
        <v>-135396</v>
      </c>
      <c r="I57" s="114">
        <f t="shared" si="10"/>
        <v>-109563</v>
      </c>
      <c r="J57" s="114">
        <f t="shared" si="10"/>
        <v>-65054</v>
      </c>
      <c r="K57" s="114">
        <f t="shared" si="10"/>
        <v>-19104</v>
      </c>
      <c r="L57" s="114">
        <f t="shared" si="10"/>
        <v>421107</v>
      </c>
      <c r="M57" s="114">
        <f t="shared" si="10"/>
        <v>205722</v>
      </c>
      <c r="N57" s="114">
        <f t="shared" si="10"/>
        <v>318854</v>
      </c>
      <c r="O57" s="117">
        <f t="shared" si="0"/>
        <v>15451</v>
      </c>
    </row>
    <row r="58" spans="1:15" ht="16.899999999999999" thickTop="1">
      <c r="A58" s="2" t="s">
        <v>42</v>
      </c>
      <c r="O58" s="115">
        <f t="shared" si="0"/>
        <v>0</v>
      </c>
    </row>
    <row r="59" spans="1:15" s="111" customFormat="1">
      <c r="A59" s="111" t="s">
        <v>43</v>
      </c>
      <c r="O59" s="116">
        <f t="shared" si="0"/>
        <v>0</v>
      </c>
    </row>
    <row r="60" spans="1:15">
      <c r="A60" s="2" t="s">
        <v>44</v>
      </c>
      <c r="O60" s="115">
        <f t="shared" si="0"/>
        <v>0</v>
      </c>
    </row>
    <row r="61" spans="1:15" s="111" customFormat="1">
      <c r="A61" s="111" t="s">
        <v>45</v>
      </c>
      <c r="O61" s="116">
        <f t="shared" si="0"/>
        <v>0</v>
      </c>
    </row>
    <row r="62" spans="1:15">
      <c r="A62" s="2" t="s">
        <v>46</v>
      </c>
      <c r="O62" s="115">
        <f t="shared" si="0"/>
        <v>0</v>
      </c>
    </row>
    <row r="63" spans="1:15" s="113" customFormat="1" ht="16.899999999999999" thickBot="1">
      <c r="A63" s="113" t="s">
        <v>47</v>
      </c>
      <c r="C63" s="114">
        <f>+C57+C59-C61</f>
        <v>-283863</v>
      </c>
      <c r="D63" s="114">
        <f t="shared" ref="D63:M63" si="11">+D57+D59-D61</f>
        <v>-14792</v>
      </c>
      <c r="E63" s="114">
        <f t="shared" si="11"/>
        <v>-89776</v>
      </c>
      <c r="F63" s="114">
        <f t="shared" si="11"/>
        <v>-161804</v>
      </c>
      <c r="G63" s="114">
        <f t="shared" si="11"/>
        <v>-50880</v>
      </c>
      <c r="H63" s="114">
        <f t="shared" si="11"/>
        <v>-135396</v>
      </c>
      <c r="I63" s="114">
        <f t="shared" si="11"/>
        <v>-109563</v>
      </c>
      <c r="J63" s="114">
        <f t="shared" si="11"/>
        <v>-65054</v>
      </c>
      <c r="K63" s="114">
        <f t="shared" si="11"/>
        <v>-19104</v>
      </c>
      <c r="L63" s="114">
        <f t="shared" si="11"/>
        <v>421107</v>
      </c>
      <c r="M63" s="114">
        <f t="shared" si="11"/>
        <v>205722</v>
      </c>
      <c r="N63" s="114">
        <f t="shared" ref="N63" si="12">+N57+N59-N61</f>
        <v>318854</v>
      </c>
      <c r="O63" s="117">
        <f t="shared" si="0"/>
        <v>15451</v>
      </c>
    </row>
    <row r="64" spans="1:15" ht="16.899999999999999" thickTop="1">
      <c r="B64" s="2" t="s">
        <v>181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N64" s="118"/>
      <c r="O64" s="115">
        <f t="shared" si="0"/>
        <v>0</v>
      </c>
    </row>
    <row r="65" spans="1:15" s="113" customFormat="1" ht="16.899999999999999" thickBot="1">
      <c r="A65" s="113" t="s">
        <v>48</v>
      </c>
      <c r="C65" s="114">
        <f>+C63-C64</f>
        <v>-283863</v>
      </c>
      <c r="D65" s="114">
        <f t="shared" ref="D65:M65" si="13">+D63-D64</f>
        <v>-14792</v>
      </c>
      <c r="E65" s="114">
        <f t="shared" si="13"/>
        <v>-89776</v>
      </c>
      <c r="F65" s="114">
        <f t="shared" si="13"/>
        <v>-161804</v>
      </c>
      <c r="G65" s="114">
        <f t="shared" si="13"/>
        <v>-50880</v>
      </c>
      <c r="H65" s="114">
        <f t="shared" si="13"/>
        <v>-135396</v>
      </c>
      <c r="I65" s="114">
        <f t="shared" si="13"/>
        <v>-109563</v>
      </c>
      <c r="J65" s="114">
        <f t="shared" si="13"/>
        <v>-65054</v>
      </c>
      <c r="K65" s="114">
        <f t="shared" si="13"/>
        <v>-19104</v>
      </c>
      <c r="L65" s="114">
        <f t="shared" si="13"/>
        <v>421107</v>
      </c>
      <c r="M65" s="114">
        <f t="shared" si="13"/>
        <v>205722</v>
      </c>
      <c r="N65" s="114">
        <f t="shared" ref="N65" si="14">+N63-N64</f>
        <v>318854</v>
      </c>
      <c r="O65" s="117">
        <f t="shared" si="0"/>
        <v>15451</v>
      </c>
    </row>
    <row r="66" spans="1:15" ht="16.899999999999999" thickTop="1"/>
  </sheetData>
  <phoneticPr fontId="1"/>
  <pageMargins left="0.7" right="0.7" top="0.75" bottom="0.75" header="0.3" footer="0.3"/>
  <pageSetup paperSize="9" orientation="portrait" verticalDpi="0" copies="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6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N18" sqref="N18"/>
    </sheetView>
  </sheetViews>
  <sheetFormatPr defaultColWidth="9" defaultRowHeight="16.5" outlineLevelRow="1"/>
  <cols>
    <col min="1" max="1" width="9" style="2"/>
    <col min="2" max="2" width="14.625" style="2" customWidth="1"/>
    <col min="3" max="3" width="9.5" style="9" bestFit="1" customWidth="1"/>
    <col min="4" max="4" width="10.375" style="2" bestFit="1" customWidth="1"/>
    <col min="5" max="7" width="9.625" style="2" bestFit="1" customWidth="1"/>
    <col min="8" max="8" width="9.5" style="2" customWidth="1"/>
    <col min="9" max="9" width="9.5" style="2" bestFit="1" customWidth="1"/>
    <col min="10" max="10" width="10.5" style="2" bestFit="1" customWidth="1"/>
    <col min="11" max="14" width="10.625" style="2" customWidth="1"/>
    <col min="15" max="15" width="12.625" style="110" customWidth="1"/>
    <col min="16" max="16384" width="9" style="2"/>
  </cols>
  <sheetData>
    <row r="1" spans="1:16" ht="20.25" thickBot="1">
      <c r="A1" s="549" t="s">
        <v>380</v>
      </c>
      <c r="O1" s="10"/>
    </row>
    <row r="2" spans="1:16" s="108" customFormat="1" ht="17.25" thickTop="1" thickBot="1">
      <c r="B2" s="108" t="s">
        <v>0</v>
      </c>
      <c r="C2" s="543">
        <f>+月次BS!D1</f>
        <v>7</v>
      </c>
      <c r="D2" s="122">
        <f>+月次BS!E1</f>
        <v>8</v>
      </c>
      <c r="E2" s="122">
        <f>+月次BS!F1</f>
        <v>9</v>
      </c>
      <c r="F2" s="122">
        <f>+月次BS!G1</f>
        <v>10</v>
      </c>
      <c r="G2" s="122">
        <f>+月次BS!H1</f>
        <v>11</v>
      </c>
      <c r="H2" s="122">
        <f>+月次BS!I1</f>
        <v>12</v>
      </c>
      <c r="I2" s="122">
        <f>+月次BS!J1</f>
        <v>1</v>
      </c>
      <c r="J2" s="122">
        <f>+月次BS!K1</f>
        <v>2</v>
      </c>
      <c r="K2" s="122">
        <f>+月次BS!L1</f>
        <v>3</v>
      </c>
      <c r="L2" s="122">
        <f>+月次BS!M1</f>
        <v>4</v>
      </c>
      <c r="M2" s="122">
        <f>+月次BS!N1</f>
        <v>5</v>
      </c>
      <c r="N2" s="525">
        <f>+月次BS!O1</f>
        <v>6</v>
      </c>
      <c r="O2" s="526" t="s">
        <v>188</v>
      </c>
    </row>
    <row r="3" spans="1:16" ht="16.899999999999999" thickTop="1">
      <c r="A3" s="2" t="s">
        <v>3</v>
      </c>
      <c r="M3" s="55"/>
      <c r="N3" s="527"/>
      <c r="O3" s="528"/>
    </row>
    <row r="4" spans="1:16">
      <c r="B4" s="2" t="s">
        <v>3</v>
      </c>
      <c r="C4" s="9">
        <f>+月次PL!C3</f>
        <v>622833</v>
      </c>
      <c r="D4" s="2">
        <f>+月次PL!D3</f>
        <v>559842</v>
      </c>
      <c r="E4" s="2">
        <f>+月次PL!E3</f>
        <v>571656</v>
      </c>
      <c r="F4" s="2">
        <f>+月次PL!F3</f>
        <v>571680</v>
      </c>
      <c r="G4" s="2">
        <f>+月次PL!G3</f>
        <v>482542</v>
      </c>
      <c r="H4" s="2">
        <f>+月次PL!H3</f>
        <v>568075</v>
      </c>
      <c r="I4" s="2">
        <f>+月次PL!I3</f>
        <v>573045</v>
      </c>
      <c r="J4" s="2">
        <f>+月次PL!J3</f>
        <v>566158</v>
      </c>
      <c r="K4" s="2">
        <f>+月次PL!K3</f>
        <v>643467</v>
      </c>
      <c r="L4" s="2">
        <f>+月次PL!L3</f>
        <v>1030617</v>
      </c>
      <c r="M4" s="55">
        <f>+月次PL!M3</f>
        <v>890404</v>
      </c>
      <c r="N4" s="527">
        <f>932914+100000</f>
        <v>1032914</v>
      </c>
      <c r="O4" s="529">
        <f>SUM(C4:N4)</f>
        <v>8113233</v>
      </c>
      <c r="P4" s="2" t="s">
        <v>378</v>
      </c>
    </row>
    <row r="5" spans="1:16" hidden="1" outlineLevel="1">
      <c r="M5" s="55"/>
      <c r="N5" s="527"/>
      <c r="O5" s="529">
        <f t="shared" ref="O5:O66" si="0">SUM(C5:N5)</f>
        <v>0</v>
      </c>
    </row>
    <row r="6" spans="1:16" hidden="1" outlineLevel="1">
      <c r="M6" s="55"/>
      <c r="N6" s="527"/>
      <c r="O6" s="529">
        <f t="shared" si="0"/>
        <v>0</v>
      </c>
    </row>
    <row r="7" spans="1:16" hidden="1" outlineLevel="1">
      <c r="M7" s="55"/>
      <c r="N7" s="527"/>
      <c r="O7" s="529">
        <f t="shared" si="0"/>
        <v>0</v>
      </c>
    </row>
    <row r="8" spans="1:16" hidden="1" outlineLevel="1">
      <c r="M8" s="55"/>
      <c r="N8" s="527"/>
      <c r="O8" s="529">
        <f t="shared" si="0"/>
        <v>0</v>
      </c>
    </row>
    <row r="9" spans="1:16" s="111" customFormat="1" collapsed="1">
      <c r="A9" s="111" t="s">
        <v>4</v>
      </c>
      <c r="C9" s="544">
        <f t="shared" ref="C9:N9" si="1">+SUM(C4:C8)</f>
        <v>622833</v>
      </c>
      <c r="D9" s="112">
        <f t="shared" si="1"/>
        <v>559842</v>
      </c>
      <c r="E9" s="112">
        <f t="shared" si="1"/>
        <v>571656</v>
      </c>
      <c r="F9" s="112">
        <f t="shared" si="1"/>
        <v>571680</v>
      </c>
      <c r="G9" s="112">
        <f t="shared" si="1"/>
        <v>482542</v>
      </c>
      <c r="H9" s="112">
        <f t="shared" si="1"/>
        <v>568075</v>
      </c>
      <c r="I9" s="112">
        <f t="shared" si="1"/>
        <v>573045</v>
      </c>
      <c r="J9" s="112">
        <f t="shared" si="1"/>
        <v>566158</v>
      </c>
      <c r="K9" s="112">
        <f t="shared" si="1"/>
        <v>643467</v>
      </c>
      <c r="L9" s="112">
        <f t="shared" si="1"/>
        <v>1030617</v>
      </c>
      <c r="M9" s="112">
        <f t="shared" si="1"/>
        <v>890404</v>
      </c>
      <c r="N9" s="530">
        <f t="shared" si="1"/>
        <v>1032914</v>
      </c>
      <c r="O9" s="531">
        <f t="shared" si="0"/>
        <v>8113233</v>
      </c>
    </row>
    <row r="10" spans="1:16" hidden="1" outlineLevel="1">
      <c r="A10" s="2" t="s">
        <v>5</v>
      </c>
      <c r="M10" s="55"/>
      <c r="N10" s="527"/>
      <c r="O10" s="529">
        <f t="shared" si="0"/>
        <v>0</v>
      </c>
    </row>
    <row r="11" spans="1:16" hidden="1" outlineLevel="1">
      <c r="M11" s="55"/>
      <c r="N11" s="527"/>
      <c r="O11" s="529">
        <f t="shared" si="0"/>
        <v>0</v>
      </c>
    </row>
    <row r="12" spans="1:16" hidden="1" outlineLevel="1">
      <c r="M12" s="55"/>
      <c r="N12" s="527"/>
      <c r="O12" s="529">
        <f t="shared" si="0"/>
        <v>0</v>
      </c>
    </row>
    <row r="13" spans="1:16" hidden="1" outlineLevel="1">
      <c r="M13" s="55"/>
      <c r="N13" s="527"/>
      <c r="O13" s="529">
        <f t="shared" si="0"/>
        <v>0</v>
      </c>
    </row>
    <row r="14" spans="1:16" hidden="1" outlineLevel="1">
      <c r="M14" s="55"/>
      <c r="N14" s="527"/>
      <c r="O14" s="529">
        <f t="shared" si="0"/>
        <v>0</v>
      </c>
    </row>
    <row r="15" spans="1:16" hidden="1" outlineLevel="1">
      <c r="M15" s="55"/>
      <c r="N15" s="527"/>
      <c r="O15" s="529">
        <f t="shared" si="0"/>
        <v>0</v>
      </c>
    </row>
    <row r="16" spans="1:16" s="111" customFormat="1" collapsed="1">
      <c r="A16" s="111" t="s">
        <v>5</v>
      </c>
      <c r="C16" s="544">
        <f>+C11+C12+C13-C14-C15</f>
        <v>0</v>
      </c>
      <c r="D16" s="112">
        <f t="shared" ref="D16:N16" si="2">+D11+D12+D13-D14-D15</f>
        <v>0</v>
      </c>
      <c r="E16" s="112">
        <f t="shared" si="2"/>
        <v>0</v>
      </c>
      <c r="F16" s="112">
        <f t="shared" si="2"/>
        <v>0</v>
      </c>
      <c r="G16" s="112">
        <f t="shared" si="2"/>
        <v>0</v>
      </c>
      <c r="H16" s="112">
        <f t="shared" si="2"/>
        <v>0</v>
      </c>
      <c r="I16" s="112">
        <f t="shared" si="2"/>
        <v>0</v>
      </c>
      <c r="J16" s="112">
        <f t="shared" si="2"/>
        <v>0</v>
      </c>
      <c r="K16" s="112">
        <f t="shared" si="2"/>
        <v>0</v>
      </c>
      <c r="L16" s="112">
        <f t="shared" si="2"/>
        <v>0</v>
      </c>
      <c r="M16" s="112">
        <f t="shared" si="2"/>
        <v>0</v>
      </c>
      <c r="N16" s="530">
        <f t="shared" si="2"/>
        <v>0</v>
      </c>
      <c r="O16" s="531">
        <f t="shared" si="0"/>
        <v>0</v>
      </c>
    </row>
    <row r="17" spans="1:16" s="113" customFormat="1" ht="16.899999999999999" thickBot="1">
      <c r="A17" s="113" t="s">
        <v>6</v>
      </c>
      <c r="C17" s="545">
        <f>+C9-C16</f>
        <v>622833</v>
      </c>
      <c r="D17" s="114">
        <f t="shared" ref="D17:N17" si="3">+D9-D16</f>
        <v>559842</v>
      </c>
      <c r="E17" s="114">
        <f t="shared" si="3"/>
        <v>571656</v>
      </c>
      <c r="F17" s="114">
        <f t="shared" si="3"/>
        <v>571680</v>
      </c>
      <c r="G17" s="114">
        <f t="shared" si="3"/>
        <v>482542</v>
      </c>
      <c r="H17" s="114">
        <f t="shared" si="3"/>
        <v>568075</v>
      </c>
      <c r="I17" s="114">
        <f t="shared" si="3"/>
        <v>573045</v>
      </c>
      <c r="J17" s="114">
        <f t="shared" si="3"/>
        <v>566158</v>
      </c>
      <c r="K17" s="114">
        <f t="shared" si="3"/>
        <v>643467</v>
      </c>
      <c r="L17" s="114">
        <f t="shared" si="3"/>
        <v>1030617</v>
      </c>
      <c r="M17" s="114">
        <f t="shared" si="3"/>
        <v>890404</v>
      </c>
      <c r="N17" s="532">
        <f t="shared" si="3"/>
        <v>1032914</v>
      </c>
      <c r="O17" s="533">
        <f t="shared" si="0"/>
        <v>8113233</v>
      </c>
    </row>
    <row r="18" spans="1:16" ht="16.899999999999999" thickTop="1">
      <c r="A18" s="2" t="s">
        <v>7</v>
      </c>
      <c r="M18" s="55"/>
      <c r="N18" s="527"/>
      <c r="O18" s="529">
        <f t="shared" si="0"/>
        <v>0</v>
      </c>
    </row>
    <row r="19" spans="1:16" s="162" customFormat="1">
      <c r="B19" s="164" t="s">
        <v>8</v>
      </c>
      <c r="C19" s="546">
        <f>+月次PL!C18</f>
        <v>0</v>
      </c>
      <c r="D19" s="164">
        <f>+月次PL!D18</f>
        <v>100000</v>
      </c>
      <c r="E19" s="164">
        <f>+月次PL!E18</f>
        <v>100000</v>
      </c>
      <c r="F19" s="164">
        <f>+月次PL!F18</f>
        <v>100000</v>
      </c>
      <c r="G19" s="164">
        <f>+月次PL!G18</f>
        <v>100000</v>
      </c>
      <c r="H19" s="164">
        <f>+月次PL!H18</f>
        <v>100000</v>
      </c>
      <c r="I19" s="165">
        <f>+月次PL!I18</f>
        <v>100000</v>
      </c>
      <c r="J19" s="164">
        <f>+月次PL!J18</f>
        <v>100000</v>
      </c>
      <c r="K19" s="164">
        <f>+月次PL!K18</f>
        <v>100000</v>
      </c>
      <c r="L19" s="164">
        <f>+月次PL!L18</f>
        <v>100000</v>
      </c>
      <c r="M19" s="164">
        <f>+月次PL!M18</f>
        <v>100000</v>
      </c>
      <c r="N19" s="534">
        <f>+M19</f>
        <v>100000</v>
      </c>
      <c r="O19" s="535">
        <f t="shared" si="0"/>
        <v>1100000</v>
      </c>
      <c r="P19" s="162" t="s">
        <v>379</v>
      </c>
    </row>
    <row r="20" spans="1:16" s="55" customFormat="1" hidden="1" outlineLevel="1">
      <c r="B20" s="167" t="s">
        <v>192</v>
      </c>
      <c r="C20" s="547"/>
      <c r="D20" s="167"/>
      <c r="E20" s="167"/>
      <c r="F20" s="167"/>
      <c r="G20" s="167"/>
      <c r="H20" s="167"/>
      <c r="I20" s="168"/>
      <c r="J20" s="167"/>
      <c r="K20" s="167"/>
      <c r="L20" s="167"/>
      <c r="M20" s="167"/>
      <c r="N20" s="536"/>
      <c r="O20" s="537">
        <f t="shared" si="0"/>
        <v>0</v>
      </c>
    </row>
    <row r="21" spans="1:16" s="55" customFormat="1" hidden="1" outlineLevel="1">
      <c r="B21" s="167" t="s">
        <v>195</v>
      </c>
      <c r="C21" s="547"/>
      <c r="D21" s="167"/>
      <c r="E21" s="167"/>
      <c r="F21" s="167"/>
      <c r="G21" s="167"/>
      <c r="H21" s="167"/>
      <c r="I21" s="168"/>
      <c r="J21" s="167"/>
      <c r="K21" s="167"/>
      <c r="L21" s="167"/>
      <c r="M21" s="167"/>
      <c r="N21" s="536"/>
      <c r="O21" s="537">
        <f t="shared" si="0"/>
        <v>0</v>
      </c>
    </row>
    <row r="22" spans="1:16" s="55" customFormat="1" hidden="1" outlineLevel="1">
      <c r="B22" s="167" t="s">
        <v>9</v>
      </c>
      <c r="C22" s="547"/>
      <c r="D22" s="167"/>
      <c r="E22" s="167"/>
      <c r="F22" s="167"/>
      <c r="G22" s="167"/>
      <c r="H22" s="167"/>
      <c r="I22" s="168"/>
      <c r="J22" s="167"/>
      <c r="K22" s="167"/>
      <c r="L22" s="167"/>
      <c r="M22" s="167"/>
      <c r="N22" s="536"/>
      <c r="O22" s="537">
        <f t="shared" si="0"/>
        <v>0</v>
      </c>
    </row>
    <row r="23" spans="1:16" s="55" customFormat="1" hidden="1" outlineLevel="1">
      <c r="B23" s="167" t="s">
        <v>10</v>
      </c>
      <c r="C23" s="547"/>
      <c r="D23" s="167"/>
      <c r="E23" s="167"/>
      <c r="F23" s="167"/>
      <c r="G23" s="167"/>
      <c r="H23" s="167"/>
      <c r="I23" s="168"/>
      <c r="J23" s="167"/>
      <c r="K23" s="167"/>
      <c r="L23" s="167"/>
      <c r="M23" s="167"/>
      <c r="N23" s="536"/>
      <c r="O23" s="537">
        <f t="shared" si="0"/>
        <v>0</v>
      </c>
    </row>
    <row r="24" spans="1:16" s="55" customFormat="1" hidden="1" outlineLevel="1">
      <c r="B24" s="167" t="s">
        <v>11</v>
      </c>
      <c r="C24" s="547"/>
      <c r="D24" s="167"/>
      <c r="E24" s="167"/>
      <c r="F24" s="167"/>
      <c r="G24" s="167"/>
      <c r="H24" s="167"/>
      <c r="I24" s="168"/>
      <c r="J24" s="167"/>
      <c r="K24" s="167"/>
      <c r="L24" s="167"/>
      <c r="M24" s="167"/>
      <c r="N24" s="536"/>
      <c r="O24" s="537">
        <f t="shared" si="0"/>
        <v>0</v>
      </c>
    </row>
    <row r="25" spans="1:16" s="55" customFormat="1" hidden="1" outlineLevel="1">
      <c r="B25" s="167" t="s">
        <v>359</v>
      </c>
      <c r="C25" s="547"/>
      <c r="D25" s="167"/>
      <c r="E25" s="167"/>
      <c r="F25" s="167"/>
      <c r="G25" s="167"/>
      <c r="H25" s="167"/>
      <c r="I25" s="168"/>
      <c r="J25" s="167"/>
      <c r="K25" s="167"/>
      <c r="L25" s="167"/>
      <c r="M25" s="167"/>
      <c r="N25" s="536"/>
      <c r="O25" s="537"/>
    </row>
    <row r="26" spans="1:16" s="163" customFormat="1" collapsed="1">
      <c r="B26" s="170" t="s">
        <v>12</v>
      </c>
      <c r="C26" s="548">
        <f>+月次PL!C25</f>
        <v>535456</v>
      </c>
      <c r="D26" s="170">
        <f>+月次PL!D25</f>
        <v>231819</v>
      </c>
      <c r="E26" s="170">
        <f>+月次PL!E25</f>
        <v>231819</v>
      </c>
      <c r="F26" s="170">
        <f>+月次PL!F25</f>
        <v>231819</v>
      </c>
      <c r="G26" s="170">
        <f>+月次PL!G25</f>
        <v>231819</v>
      </c>
      <c r="H26" s="170">
        <f>+月次PL!H25</f>
        <v>231819</v>
      </c>
      <c r="I26" s="171">
        <f>+月次PL!I25</f>
        <v>231819</v>
      </c>
      <c r="J26" s="170">
        <f>+月次PL!J25</f>
        <v>231819</v>
      </c>
      <c r="K26" s="170">
        <f>+月次PL!K25</f>
        <v>231819</v>
      </c>
      <c r="L26" s="170">
        <f>+月次PL!L25</f>
        <v>231819</v>
      </c>
      <c r="M26" s="170">
        <f>+月次PL!M25</f>
        <v>231819</v>
      </c>
      <c r="N26" s="538">
        <f>+M26</f>
        <v>231819</v>
      </c>
      <c r="O26" s="539">
        <f t="shared" si="0"/>
        <v>3085465</v>
      </c>
      <c r="P26" s="163" t="s">
        <v>379</v>
      </c>
    </row>
    <row r="27" spans="1:16" s="173" customFormat="1">
      <c r="B27" s="173" t="s">
        <v>13</v>
      </c>
      <c r="C27" s="547"/>
      <c r="I27" s="174"/>
      <c r="M27" s="167"/>
      <c r="N27" s="536"/>
      <c r="O27" s="537">
        <f t="shared" si="0"/>
        <v>0</v>
      </c>
      <c r="P27" s="173" t="s">
        <v>382</v>
      </c>
    </row>
    <row r="28" spans="1:16" s="173" customFormat="1">
      <c r="B28" s="173" t="s">
        <v>14</v>
      </c>
      <c r="C28" s="547">
        <f>+月次PL!C27</f>
        <v>13438</v>
      </c>
      <c r="D28" s="173">
        <f>+月次PL!D27</f>
        <v>50137</v>
      </c>
      <c r="E28" s="173">
        <f>+月次PL!E27</f>
        <v>103900</v>
      </c>
      <c r="F28" s="173">
        <f>+月次PL!F27</f>
        <v>12119</v>
      </c>
      <c r="G28" s="173">
        <f>+月次PL!G27</f>
        <v>30000</v>
      </c>
      <c r="H28" s="173">
        <f>+月次PL!H27</f>
        <v>158371</v>
      </c>
      <c r="I28" s="174">
        <f>+月次PL!I27</f>
        <v>87515</v>
      </c>
      <c r="J28" s="173">
        <f>+月次PL!J27</f>
        <v>113663</v>
      </c>
      <c r="K28" s="173">
        <f>+月次PL!K27</f>
        <v>172618</v>
      </c>
      <c r="L28" s="173">
        <f>+月次PL!L27</f>
        <v>89768</v>
      </c>
      <c r="M28" s="167">
        <f>+月次PL!M27</f>
        <v>95002</v>
      </c>
      <c r="N28" s="536">
        <f>+P28</f>
        <v>84230.090909090912</v>
      </c>
      <c r="O28" s="537">
        <f t="shared" si="0"/>
        <v>1010761.0909090909</v>
      </c>
      <c r="P28" s="173">
        <f>SUM(C28:M28)/11</f>
        <v>84230.090909090912</v>
      </c>
    </row>
    <row r="29" spans="1:16" s="173" customFormat="1">
      <c r="B29" s="173" t="s">
        <v>15</v>
      </c>
      <c r="C29" s="547">
        <f>+月次PL!C28</f>
        <v>9720</v>
      </c>
      <c r="D29" s="173">
        <f>+月次PL!D28</f>
        <v>5371</v>
      </c>
      <c r="E29" s="173">
        <f>+月次PL!E28</f>
        <v>8966</v>
      </c>
      <c r="F29" s="173">
        <f>+月次PL!F28</f>
        <v>74104</v>
      </c>
      <c r="G29" s="173">
        <f>+月次PL!G28</f>
        <v>6693</v>
      </c>
      <c r="H29" s="173">
        <f>+月次PL!H28</f>
        <v>1928</v>
      </c>
      <c r="I29" s="174">
        <f>+月次PL!I28</f>
        <v>101043</v>
      </c>
      <c r="J29" s="173">
        <f>+月次PL!J28</f>
        <v>5547</v>
      </c>
      <c r="K29" s="173">
        <f>+月次PL!K28</f>
        <v>1091</v>
      </c>
      <c r="L29" s="173">
        <f>+月次PL!L28</f>
        <v>0</v>
      </c>
      <c r="M29" s="167">
        <f>+月次PL!M28</f>
        <v>57464</v>
      </c>
      <c r="N29" s="536">
        <f t="shared" ref="N29:N45" si="4">+P29</f>
        <v>24720.636363636364</v>
      </c>
      <c r="O29" s="537">
        <f t="shared" si="0"/>
        <v>296647.63636363635</v>
      </c>
      <c r="P29" s="173">
        <f t="shared" ref="P29:P45" si="5">SUM(C29:M29)/11</f>
        <v>24720.636363636364</v>
      </c>
    </row>
    <row r="30" spans="1:16" s="173" customFormat="1">
      <c r="B30" s="173" t="s">
        <v>16</v>
      </c>
      <c r="C30" s="547">
        <f>+月次PL!C29</f>
        <v>1200</v>
      </c>
      <c r="D30" s="173">
        <f>+月次PL!D29</f>
        <v>55560</v>
      </c>
      <c r="E30" s="173">
        <f>+月次PL!E29</f>
        <v>54960</v>
      </c>
      <c r="F30" s="173">
        <f>+月次PL!F29</f>
        <v>1200</v>
      </c>
      <c r="G30" s="173">
        <f>+月次PL!G29</f>
        <v>1200</v>
      </c>
      <c r="H30" s="173">
        <f>+月次PL!H29</f>
        <v>78960</v>
      </c>
      <c r="I30" s="174">
        <f>+月次PL!I29</f>
        <v>3837</v>
      </c>
      <c r="J30" s="173">
        <f>+月次PL!J29</f>
        <v>57597</v>
      </c>
      <c r="K30" s="173">
        <f>+月次PL!K29</f>
        <v>18513</v>
      </c>
      <c r="L30" s="173">
        <f>+月次PL!L29</f>
        <v>27326</v>
      </c>
      <c r="M30" s="167">
        <f>+月次PL!M29</f>
        <v>71599</v>
      </c>
      <c r="N30" s="536">
        <f t="shared" si="4"/>
        <v>33813.818181818184</v>
      </c>
      <c r="O30" s="537">
        <f t="shared" si="0"/>
        <v>405765.81818181818</v>
      </c>
      <c r="P30" s="173">
        <f t="shared" si="5"/>
        <v>33813.818181818184</v>
      </c>
    </row>
    <row r="31" spans="1:16" s="173" customFormat="1">
      <c r="B31" s="173" t="s">
        <v>17</v>
      </c>
      <c r="C31" s="547">
        <f>+月次PL!C30</f>
        <v>0</v>
      </c>
      <c r="D31" s="173">
        <f>+月次PL!D30</f>
        <v>0</v>
      </c>
      <c r="E31" s="173">
        <f>+月次PL!E30</f>
        <v>0</v>
      </c>
      <c r="F31" s="173">
        <f>+月次PL!F30</f>
        <v>0</v>
      </c>
      <c r="G31" s="173">
        <f>+月次PL!G30</f>
        <v>0</v>
      </c>
      <c r="H31" s="173">
        <f>+月次PL!H30</f>
        <v>0</v>
      </c>
      <c r="I31" s="174">
        <f>+月次PL!I30</f>
        <v>0</v>
      </c>
      <c r="J31" s="173">
        <f>+月次PL!J30</f>
        <v>0</v>
      </c>
      <c r="K31" s="173">
        <f>+月次PL!K30</f>
        <v>0</v>
      </c>
      <c r="L31" s="173">
        <f>+月次PL!L30</f>
        <v>0</v>
      </c>
      <c r="M31" s="167">
        <f>+月次PL!M30</f>
        <v>0</v>
      </c>
      <c r="N31" s="536">
        <f t="shared" si="4"/>
        <v>0</v>
      </c>
      <c r="O31" s="537">
        <f t="shared" si="0"/>
        <v>0</v>
      </c>
      <c r="P31" s="173">
        <f t="shared" si="5"/>
        <v>0</v>
      </c>
    </row>
    <row r="32" spans="1:16" s="173" customFormat="1">
      <c r="B32" s="173" t="s">
        <v>18</v>
      </c>
      <c r="C32" s="547">
        <f>+月次PL!C31</f>
        <v>0</v>
      </c>
      <c r="D32" s="173">
        <f>+月次PL!D31</f>
        <v>0</v>
      </c>
      <c r="E32" s="173">
        <f>+月次PL!E31</f>
        <v>0</v>
      </c>
      <c r="F32" s="173">
        <f>+月次PL!F31</f>
        <v>0</v>
      </c>
      <c r="G32" s="173">
        <f>+月次PL!G31</f>
        <v>0</v>
      </c>
      <c r="H32" s="173">
        <f>+月次PL!H31</f>
        <v>0</v>
      </c>
      <c r="I32" s="174">
        <f>+月次PL!I31</f>
        <v>0</v>
      </c>
      <c r="J32" s="173">
        <f>+月次PL!J31</f>
        <v>0</v>
      </c>
      <c r="K32" s="173">
        <f>+月次PL!K31</f>
        <v>0</v>
      </c>
      <c r="L32" s="173">
        <f>+月次PL!L31</f>
        <v>0</v>
      </c>
      <c r="M32" s="167">
        <f>+月次PL!M31</f>
        <v>0</v>
      </c>
      <c r="N32" s="536">
        <f t="shared" si="4"/>
        <v>0</v>
      </c>
      <c r="O32" s="537">
        <f t="shared" si="0"/>
        <v>0</v>
      </c>
      <c r="P32" s="173">
        <f t="shared" si="5"/>
        <v>0</v>
      </c>
    </row>
    <row r="33" spans="1:16" s="173" customFormat="1">
      <c r="B33" s="173" t="s">
        <v>19</v>
      </c>
      <c r="C33" s="547">
        <f>+月次PL!C32</f>
        <v>4797</v>
      </c>
      <c r="D33" s="173">
        <f>+月次PL!D32</f>
        <v>0</v>
      </c>
      <c r="E33" s="173">
        <f>+月次PL!E32</f>
        <v>0</v>
      </c>
      <c r="F33" s="173">
        <f>+月次PL!F32</f>
        <v>0</v>
      </c>
      <c r="G33" s="173">
        <f>+月次PL!G32</f>
        <v>0</v>
      </c>
      <c r="H33" s="173">
        <f>+月次PL!H32</f>
        <v>0</v>
      </c>
      <c r="I33" s="174">
        <f>+月次PL!I32</f>
        <v>0</v>
      </c>
      <c r="J33" s="173">
        <f>+月次PL!J32</f>
        <v>0</v>
      </c>
      <c r="K33" s="173">
        <f>+月次PL!K32</f>
        <v>0</v>
      </c>
      <c r="L33" s="173">
        <f>+月次PL!L32</f>
        <v>39584</v>
      </c>
      <c r="M33" s="167">
        <f>+月次PL!M32</f>
        <v>10200</v>
      </c>
      <c r="N33" s="536">
        <f t="shared" si="4"/>
        <v>4961.909090909091</v>
      </c>
      <c r="O33" s="537">
        <f t="shared" si="0"/>
        <v>59542.909090909088</v>
      </c>
      <c r="P33" s="173">
        <f t="shared" si="5"/>
        <v>4961.909090909091</v>
      </c>
    </row>
    <row r="34" spans="1:16" s="173" customFormat="1">
      <c r="B34" s="173" t="s">
        <v>20</v>
      </c>
      <c r="C34" s="547">
        <f>+月次PL!C33</f>
        <v>0</v>
      </c>
      <c r="D34" s="173">
        <f>+月次PL!D33</f>
        <v>0</v>
      </c>
      <c r="E34" s="173">
        <f>+月次PL!E33</f>
        <v>0</v>
      </c>
      <c r="F34" s="173">
        <f>+月次PL!F33</f>
        <v>0</v>
      </c>
      <c r="G34" s="173">
        <f>+月次PL!G33</f>
        <v>0</v>
      </c>
      <c r="H34" s="173">
        <f>+月次PL!H33</f>
        <v>0</v>
      </c>
      <c r="I34" s="174">
        <f>+月次PL!I33</f>
        <v>0</v>
      </c>
      <c r="J34" s="173">
        <f>+月次PL!J33</f>
        <v>0</v>
      </c>
      <c r="K34" s="173">
        <f>+月次PL!K33</f>
        <v>0</v>
      </c>
      <c r="L34" s="173">
        <f>+月次PL!L33</f>
        <v>0</v>
      </c>
      <c r="M34" s="167">
        <f>+月次PL!M33</f>
        <v>0</v>
      </c>
      <c r="N34" s="536">
        <f t="shared" si="4"/>
        <v>0</v>
      </c>
      <c r="O34" s="537">
        <f t="shared" si="0"/>
        <v>0</v>
      </c>
      <c r="P34" s="173">
        <f t="shared" si="5"/>
        <v>0</v>
      </c>
    </row>
    <row r="35" spans="1:16" s="173" customFormat="1">
      <c r="B35" s="173" t="s">
        <v>21</v>
      </c>
      <c r="C35" s="547">
        <f>+月次PL!C34</f>
        <v>44500</v>
      </c>
      <c r="D35" s="173">
        <f>+月次PL!D34</f>
        <v>44500</v>
      </c>
      <c r="E35" s="173">
        <f>+月次PL!E34</f>
        <v>44500</v>
      </c>
      <c r="F35" s="173">
        <f>+月次PL!F34</f>
        <v>44500</v>
      </c>
      <c r="G35" s="173">
        <f>+月次PL!G34</f>
        <v>44500</v>
      </c>
      <c r="H35" s="173">
        <f>+月次PL!H34</f>
        <v>44500</v>
      </c>
      <c r="I35" s="174">
        <f>+月次PL!I34</f>
        <v>44500</v>
      </c>
      <c r="J35" s="173">
        <f>+月次PL!J34</f>
        <v>44500</v>
      </c>
      <c r="K35" s="173">
        <f>+月次PL!K34</f>
        <v>44500</v>
      </c>
      <c r="L35" s="173">
        <f>+月次PL!L34</f>
        <v>44500</v>
      </c>
      <c r="M35" s="167">
        <f>+月次PL!M34</f>
        <v>44500</v>
      </c>
      <c r="N35" s="536">
        <f t="shared" si="4"/>
        <v>44500</v>
      </c>
      <c r="O35" s="537">
        <f t="shared" si="0"/>
        <v>534000</v>
      </c>
      <c r="P35" s="173">
        <f t="shared" si="5"/>
        <v>44500</v>
      </c>
    </row>
    <row r="36" spans="1:16" s="173" customFormat="1">
      <c r="B36" s="173" t="s">
        <v>22</v>
      </c>
      <c r="C36" s="547">
        <f>+月次PL!C35</f>
        <v>0</v>
      </c>
      <c r="D36" s="173">
        <f>+月次PL!D35</f>
        <v>0</v>
      </c>
      <c r="E36" s="173">
        <f>+月次PL!E35</f>
        <v>0</v>
      </c>
      <c r="F36" s="173">
        <f>+月次PL!F35</f>
        <v>0</v>
      </c>
      <c r="G36" s="173">
        <f>+月次PL!G35</f>
        <v>0</v>
      </c>
      <c r="H36" s="173">
        <f>+月次PL!H35</f>
        <v>0</v>
      </c>
      <c r="I36" s="174">
        <f>+月次PL!I35</f>
        <v>0</v>
      </c>
      <c r="J36" s="173">
        <f>+月次PL!J35</f>
        <v>0</v>
      </c>
      <c r="K36" s="173">
        <f>+月次PL!K35</f>
        <v>0</v>
      </c>
      <c r="L36" s="173">
        <f>+月次PL!L35</f>
        <v>0</v>
      </c>
      <c r="M36" s="167">
        <f>+月次PL!M35</f>
        <v>0</v>
      </c>
      <c r="N36" s="536">
        <f t="shared" si="4"/>
        <v>0</v>
      </c>
      <c r="O36" s="537">
        <f t="shared" si="0"/>
        <v>0</v>
      </c>
      <c r="P36" s="173">
        <f t="shared" si="5"/>
        <v>0</v>
      </c>
    </row>
    <row r="37" spans="1:16" s="173" customFormat="1">
      <c r="B37" s="173" t="s">
        <v>23</v>
      </c>
      <c r="C37" s="547">
        <f>+月次PL!C36</f>
        <v>5000</v>
      </c>
      <c r="D37" s="173">
        <f>+月次PL!D36</f>
        <v>5000</v>
      </c>
      <c r="E37" s="173">
        <f>+月次PL!E36</f>
        <v>5000</v>
      </c>
      <c r="F37" s="173">
        <f>+月次PL!F36</f>
        <v>5000</v>
      </c>
      <c r="G37" s="173">
        <f>+月次PL!G36</f>
        <v>5000</v>
      </c>
      <c r="H37" s="173">
        <f>+月次PL!H36</f>
        <v>5000</v>
      </c>
      <c r="I37" s="174">
        <f>+月次PL!I36</f>
        <v>5000</v>
      </c>
      <c r="J37" s="173">
        <f>+月次PL!J36</f>
        <v>5000</v>
      </c>
      <c r="K37" s="173">
        <f>+月次PL!K36</f>
        <v>5000</v>
      </c>
      <c r="L37" s="173">
        <f>+月次PL!L36</f>
        <v>5000</v>
      </c>
      <c r="M37" s="167">
        <f>+月次PL!M36</f>
        <v>5000</v>
      </c>
      <c r="N37" s="536">
        <f t="shared" si="4"/>
        <v>5000</v>
      </c>
      <c r="O37" s="537">
        <f t="shared" si="0"/>
        <v>60000</v>
      </c>
      <c r="P37" s="173">
        <f t="shared" si="5"/>
        <v>5000</v>
      </c>
    </row>
    <row r="38" spans="1:16" s="173" customFormat="1">
      <c r="B38" s="173" t="s">
        <v>24</v>
      </c>
      <c r="C38" s="547">
        <f>+月次PL!C37</f>
        <v>0</v>
      </c>
      <c r="D38" s="173">
        <f>+月次PL!D37</f>
        <v>0</v>
      </c>
      <c r="E38" s="173">
        <f>+月次PL!E37</f>
        <v>0</v>
      </c>
      <c r="F38" s="173">
        <f>+月次PL!F37</f>
        <v>0</v>
      </c>
      <c r="G38" s="173">
        <f>+月次PL!G37</f>
        <v>1200</v>
      </c>
      <c r="H38" s="173">
        <f>+月次PL!H37</f>
        <v>0</v>
      </c>
      <c r="I38" s="174">
        <f>+月次PL!I37</f>
        <v>600</v>
      </c>
      <c r="J38" s="173">
        <f>+月次PL!J37</f>
        <v>0</v>
      </c>
      <c r="K38" s="173">
        <f>+月次PL!K37</f>
        <v>0</v>
      </c>
      <c r="L38" s="173">
        <f>+月次PL!L37</f>
        <v>0</v>
      </c>
      <c r="M38" s="167">
        <f>+月次PL!M37</f>
        <v>0</v>
      </c>
      <c r="N38" s="536">
        <f t="shared" si="4"/>
        <v>163.63636363636363</v>
      </c>
      <c r="O38" s="537">
        <f t="shared" si="0"/>
        <v>1963.6363636363635</v>
      </c>
      <c r="P38" s="173">
        <f t="shared" si="5"/>
        <v>163.63636363636363</v>
      </c>
    </row>
    <row r="39" spans="1:16" s="173" customFormat="1">
      <c r="B39" s="173" t="s">
        <v>25</v>
      </c>
      <c r="C39" s="547">
        <f>+月次PL!C38</f>
        <v>12455</v>
      </c>
      <c r="D39" s="173">
        <f>+月次PL!D38</f>
        <v>1955</v>
      </c>
      <c r="E39" s="173">
        <f>+月次PL!E38</f>
        <v>2105</v>
      </c>
      <c r="F39" s="173">
        <f>+月次PL!F38</f>
        <v>2255</v>
      </c>
      <c r="G39" s="173">
        <f>+月次PL!G38</f>
        <v>7469</v>
      </c>
      <c r="H39" s="173">
        <f>+月次PL!H38</f>
        <v>4353</v>
      </c>
      <c r="I39" s="174">
        <f>+月次PL!I38</f>
        <v>4694</v>
      </c>
      <c r="J39" s="173">
        <f>+月次PL!J38</f>
        <v>2155</v>
      </c>
      <c r="K39" s="173">
        <f>+月次PL!K38</f>
        <v>2255</v>
      </c>
      <c r="L39" s="173">
        <f>+月次PL!L38</f>
        <v>2105</v>
      </c>
      <c r="M39" s="167">
        <f>+月次PL!M38</f>
        <v>2105</v>
      </c>
      <c r="N39" s="536">
        <f t="shared" si="4"/>
        <v>3991.4545454545455</v>
      </c>
      <c r="O39" s="537">
        <f t="shared" si="0"/>
        <v>47897.454545454544</v>
      </c>
      <c r="P39" s="173">
        <f t="shared" si="5"/>
        <v>3991.4545454545455</v>
      </c>
    </row>
    <row r="40" spans="1:16" s="173" customFormat="1">
      <c r="B40" s="173" t="s">
        <v>177</v>
      </c>
      <c r="C40" s="547">
        <f>+月次PL!C39</f>
        <v>84497</v>
      </c>
      <c r="D40" s="173">
        <f>+月次PL!D39</f>
        <v>10447</v>
      </c>
      <c r="E40" s="173">
        <f>+月次PL!E39</f>
        <v>11637</v>
      </c>
      <c r="F40" s="173">
        <f>+月次PL!F39</f>
        <v>67568</v>
      </c>
      <c r="G40" s="173">
        <f>+月次PL!G39</f>
        <v>49291</v>
      </c>
      <c r="H40" s="173">
        <f>+月次PL!H39</f>
        <v>22016</v>
      </c>
      <c r="I40" s="174">
        <f>+月次PL!I39</f>
        <v>45376</v>
      </c>
      <c r="J40" s="173">
        <f>+月次PL!J39</f>
        <v>13067</v>
      </c>
      <c r="K40" s="173">
        <f>+月次PL!K39</f>
        <v>27771</v>
      </c>
      <c r="L40" s="173">
        <f>+月次PL!L39</f>
        <v>13158</v>
      </c>
      <c r="M40" s="167">
        <f>+月次PL!M39</f>
        <v>10469</v>
      </c>
      <c r="N40" s="536">
        <f t="shared" si="4"/>
        <v>32299.727272727272</v>
      </c>
      <c r="O40" s="537">
        <f t="shared" si="0"/>
        <v>387596.72727272729</v>
      </c>
      <c r="P40" s="173">
        <f t="shared" si="5"/>
        <v>32299.727272727272</v>
      </c>
    </row>
    <row r="41" spans="1:16" s="173" customFormat="1">
      <c r="B41" s="173" t="s">
        <v>26</v>
      </c>
      <c r="C41" s="547">
        <f>+月次PL!C40</f>
        <v>0</v>
      </c>
      <c r="D41" s="173">
        <f>+月次PL!D40</f>
        <v>1990</v>
      </c>
      <c r="E41" s="173">
        <f>+月次PL!E40</f>
        <v>1990</v>
      </c>
      <c r="F41" s="173">
        <f>+月次PL!F40</f>
        <v>891</v>
      </c>
      <c r="G41" s="173">
        <f>+月次PL!G40</f>
        <v>891</v>
      </c>
      <c r="H41" s="173">
        <f>+月次PL!H40</f>
        <v>891</v>
      </c>
      <c r="I41" s="174">
        <f>+月次PL!I40</f>
        <v>891</v>
      </c>
      <c r="J41" s="173">
        <f>+月次PL!J40</f>
        <v>3919</v>
      </c>
      <c r="K41" s="173">
        <f>+月次PL!K40</f>
        <v>891</v>
      </c>
      <c r="L41" s="173">
        <f>+月次PL!L40</f>
        <v>891</v>
      </c>
      <c r="M41" s="167">
        <f>+月次PL!M40</f>
        <v>891</v>
      </c>
      <c r="N41" s="536">
        <f t="shared" si="4"/>
        <v>1285.090909090909</v>
      </c>
      <c r="O41" s="537">
        <f t="shared" si="0"/>
        <v>15421.090909090908</v>
      </c>
      <c r="P41" s="173">
        <f t="shared" si="5"/>
        <v>1285.090909090909</v>
      </c>
    </row>
    <row r="42" spans="1:16" s="173" customFormat="1">
      <c r="B42" s="173" t="s">
        <v>27</v>
      </c>
      <c r="C42" s="547">
        <f>+月次PL!C41</f>
        <v>26500</v>
      </c>
      <c r="D42" s="173">
        <f>+月次PL!D41</f>
        <v>26500</v>
      </c>
      <c r="E42" s="173">
        <f>+月次PL!E41</f>
        <v>26500</v>
      </c>
      <c r="F42" s="173">
        <f>+月次PL!F41</f>
        <v>26500</v>
      </c>
      <c r="G42" s="173">
        <f>+月次PL!G41</f>
        <v>26500</v>
      </c>
      <c r="H42" s="173">
        <f>+月次PL!H41</f>
        <v>26500</v>
      </c>
      <c r="I42" s="174">
        <f>+月次PL!I41</f>
        <v>26500</v>
      </c>
      <c r="J42" s="173">
        <f>+月次PL!J41</f>
        <v>26500</v>
      </c>
      <c r="K42" s="173">
        <f>+月次PL!K41</f>
        <v>26500</v>
      </c>
      <c r="L42" s="173">
        <f>+月次PL!L41</f>
        <v>26500</v>
      </c>
      <c r="M42" s="167">
        <f>+月次PL!M41</f>
        <v>26500</v>
      </c>
      <c r="N42" s="536">
        <f t="shared" si="4"/>
        <v>26500</v>
      </c>
      <c r="O42" s="537">
        <f t="shared" si="0"/>
        <v>318000</v>
      </c>
      <c r="P42" s="173">
        <f t="shared" si="5"/>
        <v>26500</v>
      </c>
    </row>
    <row r="43" spans="1:16">
      <c r="B43" s="2" t="s">
        <v>28</v>
      </c>
      <c r="C43" s="9">
        <f>+月次PL!C42</f>
        <v>640</v>
      </c>
      <c r="D43" s="2">
        <f>+月次PL!D42</f>
        <v>640</v>
      </c>
      <c r="E43" s="2">
        <f>+月次PL!E42</f>
        <v>640</v>
      </c>
      <c r="F43" s="2">
        <f>+月次PL!F42</f>
        <v>19035</v>
      </c>
      <c r="G43" s="2">
        <f>+月次PL!G42</f>
        <v>640</v>
      </c>
      <c r="H43" s="2">
        <f>+月次PL!H42</f>
        <v>640</v>
      </c>
      <c r="I43" s="120">
        <f>+月次PL!I42</f>
        <v>2340</v>
      </c>
      <c r="J43" s="2">
        <f>+月次PL!J42</f>
        <v>640</v>
      </c>
      <c r="K43" s="2">
        <f>+月次PL!K42</f>
        <v>3640</v>
      </c>
      <c r="L43" s="2">
        <f>+月次PL!L42</f>
        <v>640</v>
      </c>
      <c r="M43" s="55">
        <f>+月次PL!M42</f>
        <v>640</v>
      </c>
      <c r="N43" s="527">
        <f t="shared" si="4"/>
        <v>2739.5454545454545</v>
      </c>
      <c r="O43" s="529">
        <f t="shared" si="0"/>
        <v>32874.545454545456</v>
      </c>
      <c r="P43" s="173">
        <f t="shared" si="5"/>
        <v>2739.5454545454545</v>
      </c>
    </row>
    <row r="44" spans="1:16">
      <c r="B44" s="2" t="s">
        <v>29</v>
      </c>
      <c r="C44" s="9">
        <f>+月次PL!C43</f>
        <v>20000</v>
      </c>
      <c r="D44" s="2">
        <f>+月次PL!D43</f>
        <v>20000</v>
      </c>
      <c r="E44" s="2">
        <f>+月次PL!E43</f>
        <v>20000</v>
      </c>
      <c r="F44" s="2">
        <f>+月次PL!F43</f>
        <v>140000</v>
      </c>
      <c r="G44" s="2">
        <f>+月次PL!G43</f>
        <v>20000</v>
      </c>
      <c r="H44" s="2">
        <f>+月次PL!H43</f>
        <v>20000</v>
      </c>
      <c r="I44" s="120">
        <f>+月次PL!I43</f>
        <v>20000</v>
      </c>
      <c r="J44" s="2">
        <f>+月次PL!J43</f>
        <v>20000</v>
      </c>
      <c r="K44" s="2">
        <f>+月次PL!K43</f>
        <v>20000</v>
      </c>
      <c r="L44" s="2">
        <f>+月次PL!L43</f>
        <v>20000</v>
      </c>
      <c r="M44" s="55">
        <f>+月次PL!M43</f>
        <v>20000</v>
      </c>
      <c r="N44" s="527">
        <f t="shared" si="4"/>
        <v>30909.090909090908</v>
      </c>
      <c r="O44" s="529">
        <f t="shared" si="0"/>
        <v>370909.09090909088</v>
      </c>
      <c r="P44" s="173">
        <f t="shared" si="5"/>
        <v>30909.090909090908</v>
      </c>
    </row>
    <row r="45" spans="1:16" s="173" customFormat="1">
      <c r="B45" s="173" t="s">
        <v>370</v>
      </c>
      <c r="C45" s="547">
        <f>+月次PL!C44</f>
        <v>140000</v>
      </c>
      <c r="D45" s="173">
        <f>+月次PL!D44</f>
        <v>14004</v>
      </c>
      <c r="E45" s="173">
        <f>+月次PL!E44</f>
        <v>42383</v>
      </c>
      <c r="F45" s="173">
        <f>+月次PL!F44</f>
        <v>0</v>
      </c>
      <c r="G45" s="173">
        <f>+月次PL!G44</f>
        <v>0</v>
      </c>
      <c r="H45" s="173">
        <f>+月次PL!H44</f>
        <v>0</v>
      </c>
      <c r="I45" s="174">
        <f>+月次PL!I44</f>
        <v>0</v>
      </c>
      <c r="J45" s="173">
        <f>+月次PL!J44</f>
        <v>0</v>
      </c>
      <c r="K45" s="173">
        <f>+月次PL!K44</f>
        <v>0</v>
      </c>
      <c r="L45" s="173">
        <f>+月次PL!L44</f>
        <v>0</v>
      </c>
      <c r="M45" s="167">
        <f>+月次PL!M44</f>
        <v>0</v>
      </c>
      <c r="N45" s="536">
        <f t="shared" si="4"/>
        <v>17853.363636363636</v>
      </c>
      <c r="O45" s="537">
        <f t="shared" si="0"/>
        <v>214240.36363636365</v>
      </c>
      <c r="P45" s="173">
        <f t="shared" si="5"/>
        <v>17853.363636363636</v>
      </c>
    </row>
    <row r="46" spans="1:16" s="111" customFormat="1">
      <c r="A46" s="111" t="s">
        <v>30</v>
      </c>
      <c r="C46" s="544">
        <f>+SUM(C19:C45)</f>
        <v>898203</v>
      </c>
      <c r="D46" s="112">
        <f t="shared" ref="D46:M46" si="6">+SUM(D19:D45)</f>
        <v>567923</v>
      </c>
      <c r="E46" s="112">
        <f t="shared" si="6"/>
        <v>654400</v>
      </c>
      <c r="F46" s="112">
        <f t="shared" si="6"/>
        <v>724991</v>
      </c>
      <c r="G46" s="112">
        <f t="shared" si="6"/>
        <v>525203</v>
      </c>
      <c r="H46" s="112">
        <f t="shared" si="6"/>
        <v>694978</v>
      </c>
      <c r="I46" s="112">
        <f t="shared" si="6"/>
        <v>674115</v>
      </c>
      <c r="J46" s="112">
        <f t="shared" si="6"/>
        <v>624407</v>
      </c>
      <c r="K46" s="112">
        <f t="shared" si="6"/>
        <v>654598</v>
      </c>
      <c r="L46" s="112">
        <f t="shared" si="6"/>
        <v>601291</v>
      </c>
      <c r="M46" s="112">
        <f t="shared" si="6"/>
        <v>676189</v>
      </c>
      <c r="N46" s="530">
        <f t="shared" ref="N46" si="7">+SUM(N19:N45)</f>
        <v>644787.36363636376</v>
      </c>
      <c r="O46" s="531">
        <f t="shared" si="0"/>
        <v>7941085.3636363633</v>
      </c>
    </row>
    <row r="47" spans="1:16" s="113" customFormat="1" ht="16.899999999999999" thickBot="1">
      <c r="A47" s="113" t="s">
        <v>31</v>
      </c>
      <c r="C47" s="545">
        <f>+C17-C46</f>
        <v>-275370</v>
      </c>
      <c r="D47" s="114">
        <f t="shared" ref="D47:N47" si="8">+D17-D46</f>
        <v>-8081</v>
      </c>
      <c r="E47" s="114">
        <f t="shared" si="8"/>
        <v>-82744</v>
      </c>
      <c r="F47" s="114">
        <f t="shared" si="8"/>
        <v>-153311</v>
      </c>
      <c r="G47" s="114">
        <f t="shared" si="8"/>
        <v>-42661</v>
      </c>
      <c r="H47" s="114">
        <f t="shared" si="8"/>
        <v>-126903</v>
      </c>
      <c r="I47" s="114">
        <f t="shared" si="8"/>
        <v>-101070</v>
      </c>
      <c r="J47" s="114">
        <f t="shared" si="8"/>
        <v>-58249</v>
      </c>
      <c r="K47" s="114">
        <f t="shared" si="8"/>
        <v>-11131</v>
      </c>
      <c r="L47" s="114">
        <f t="shared" si="8"/>
        <v>429326</v>
      </c>
      <c r="M47" s="114">
        <f t="shared" si="8"/>
        <v>214215</v>
      </c>
      <c r="N47" s="532">
        <f t="shared" si="8"/>
        <v>388126.63636363624</v>
      </c>
      <c r="O47" s="533">
        <f t="shared" si="0"/>
        <v>172147.63636363624</v>
      </c>
    </row>
    <row r="48" spans="1:16" ht="16.899999999999999" thickTop="1">
      <c r="A48" s="2" t="s">
        <v>32</v>
      </c>
      <c r="M48" s="55"/>
      <c r="N48" s="527"/>
      <c r="O48" s="529">
        <f t="shared" si="0"/>
        <v>0</v>
      </c>
    </row>
    <row r="49" spans="1:16">
      <c r="B49" s="2" t="s">
        <v>33</v>
      </c>
      <c r="C49" s="9">
        <f>+月次PL!C48</f>
        <v>0</v>
      </c>
      <c r="D49" s="2">
        <f>+月次PL!D48</f>
        <v>1782</v>
      </c>
      <c r="E49" s="2">
        <f>+月次PL!E48</f>
        <v>560</v>
      </c>
      <c r="F49" s="2">
        <f>+月次PL!F48</f>
        <v>0</v>
      </c>
      <c r="G49" s="2">
        <f>+月次PL!G48</f>
        <v>0</v>
      </c>
      <c r="H49" s="2">
        <f>+月次PL!H48</f>
        <v>0</v>
      </c>
      <c r="I49" s="2">
        <f>+月次PL!I48</f>
        <v>0</v>
      </c>
      <c r="J49" s="2">
        <f>+月次PL!J48</f>
        <v>866</v>
      </c>
      <c r="K49" s="2">
        <f>+月次PL!K48</f>
        <v>520</v>
      </c>
      <c r="L49" s="2">
        <f>+月次PL!L48</f>
        <v>0</v>
      </c>
      <c r="M49" s="55">
        <f>+月次PL!M48</f>
        <v>0</v>
      </c>
      <c r="N49" s="527"/>
      <c r="O49" s="529">
        <f t="shared" si="0"/>
        <v>3728</v>
      </c>
      <c r="P49" s="2">
        <f t="shared" ref="P49:P51" si="9">SUM(C49:M49)/11</f>
        <v>338.90909090909093</v>
      </c>
    </row>
    <row r="50" spans="1:16">
      <c r="B50" s="2" t="s">
        <v>180</v>
      </c>
      <c r="M50" s="55"/>
      <c r="N50" s="527"/>
      <c r="O50" s="529">
        <f t="shared" si="0"/>
        <v>0</v>
      </c>
      <c r="P50" s="2">
        <f t="shared" si="9"/>
        <v>0</v>
      </c>
    </row>
    <row r="51" spans="1:16">
      <c r="B51" s="2" t="s">
        <v>34</v>
      </c>
      <c r="C51" s="9">
        <f>+月次PL!C50</f>
        <v>0</v>
      </c>
      <c r="D51" s="2">
        <f>+月次PL!D50</f>
        <v>0</v>
      </c>
      <c r="E51" s="2">
        <f>+月次PL!E50</f>
        <v>627</v>
      </c>
      <c r="F51" s="2">
        <f>+月次PL!F50</f>
        <v>0</v>
      </c>
      <c r="G51" s="2">
        <f>+月次PL!G50</f>
        <v>0</v>
      </c>
      <c r="H51" s="2">
        <f>+月次PL!H50</f>
        <v>0</v>
      </c>
      <c r="I51" s="2">
        <f>+月次PL!I50</f>
        <v>0</v>
      </c>
      <c r="J51" s="2">
        <f>+月次PL!J50</f>
        <v>0</v>
      </c>
      <c r="K51" s="2">
        <f>+月次PL!K50</f>
        <v>0</v>
      </c>
      <c r="L51" s="2">
        <f>+月次PL!L50</f>
        <v>0</v>
      </c>
      <c r="M51" s="55">
        <f>+月次PL!M50</f>
        <v>0</v>
      </c>
      <c r="N51" s="527"/>
      <c r="O51" s="529">
        <f t="shared" si="0"/>
        <v>627</v>
      </c>
      <c r="P51" s="2">
        <f t="shared" si="9"/>
        <v>57</v>
      </c>
    </row>
    <row r="52" spans="1:16" s="111" customFormat="1">
      <c r="A52" s="111" t="s">
        <v>35</v>
      </c>
      <c r="C52" s="413">
        <f>+月次PL!C51</f>
        <v>0</v>
      </c>
      <c r="D52" s="111">
        <f>+月次PL!D51</f>
        <v>1782</v>
      </c>
      <c r="E52" s="111">
        <f>+月次PL!E51</f>
        <v>1187</v>
      </c>
      <c r="F52" s="111">
        <f>+月次PL!F51</f>
        <v>0</v>
      </c>
      <c r="G52" s="111">
        <f>+月次PL!G51</f>
        <v>0</v>
      </c>
      <c r="H52" s="111">
        <f>+月次PL!H51</f>
        <v>0</v>
      </c>
      <c r="I52" s="111">
        <f>+月次PL!I51</f>
        <v>0</v>
      </c>
      <c r="J52" s="111">
        <f>+月次PL!J51</f>
        <v>866</v>
      </c>
      <c r="K52" s="111">
        <f>+月次PL!K51</f>
        <v>520</v>
      </c>
      <c r="L52" s="111">
        <f>+月次PL!L51</f>
        <v>0</v>
      </c>
      <c r="M52" s="111">
        <f>+月次PL!M51</f>
        <v>0</v>
      </c>
      <c r="N52" s="540"/>
      <c r="O52" s="531">
        <f t="shared" si="0"/>
        <v>4355</v>
      </c>
    </row>
    <row r="53" spans="1:16">
      <c r="A53" s="2" t="s">
        <v>36</v>
      </c>
      <c r="M53" s="55"/>
      <c r="N53" s="527"/>
      <c r="O53" s="529">
        <f t="shared" si="0"/>
        <v>0</v>
      </c>
    </row>
    <row r="54" spans="1:16">
      <c r="B54" s="2" t="s">
        <v>37</v>
      </c>
      <c r="C54" s="9">
        <f>+月次PL!C53</f>
        <v>8493</v>
      </c>
      <c r="D54" s="2">
        <f>+月次PL!D53</f>
        <v>8493</v>
      </c>
      <c r="E54" s="2">
        <f>+月次PL!E53</f>
        <v>8219</v>
      </c>
      <c r="F54" s="2">
        <f>+月次PL!F53</f>
        <v>8493</v>
      </c>
      <c r="G54" s="2">
        <f>+月次PL!G53</f>
        <v>8219</v>
      </c>
      <c r="H54" s="2">
        <f>+月次PL!H53</f>
        <v>8493</v>
      </c>
      <c r="I54" s="2">
        <f>+月次PL!I53</f>
        <v>8493</v>
      </c>
      <c r="J54" s="2">
        <f>+月次PL!J53</f>
        <v>7671</v>
      </c>
      <c r="K54" s="2">
        <f>+月次PL!K53</f>
        <v>8493</v>
      </c>
      <c r="L54" s="2">
        <f>+月次PL!L53</f>
        <v>8219</v>
      </c>
      <c r="M54" s="55">
        <f>+月次PL!M53</f>
        <v>8493</v>
      </c>
      <c r="N54" s="527">
        <f>+P54</f>
        <v>8343.545454545454</v>
      </c>
      <c r="O54" s="529">
        <f t="shared" si="0"/>
        <v>100122.54545454546</v>
      </c>
      <c r="P54" s="2">
        <f t="shared" ref="P54" si="10">SUM(C54:M54)/11</f>
        <v>8343.545454545454</v>
      </c>
    </row>
    <row r="55" spans="1:16">
      <c r="B55" s="2" t="s">
        <v>38</v>
      </c>
      <c r="M55" s="55"/>
      <c r="N55" s="527"/>
      <c r="O55" s="529">
        <f t="shared" si="0"/>
        <v>0</v>
      </c>
      <c r="P55" s="2">
        <f t="shared" ref="P55:P56" si="11">SUM(C55:L55)</f>
        <v>0</v>
      </c>
    </row>
    <row r="56" spans="1:16">
      <c r="B56" s="2" t="s">
        <v>39</v>
      </c>
      <c r="M56" s="55"/>
      <c r="N56" s="527"/>
      <c r="O56" s="529">
        <f t="shared" si="0"/>
        <v>0</v>
      </c>
      <c r="P56" s="2">
        <f t="shared" si="11"/>
        <v>0</v>
      </c>
    </row>
    <row r="57" spans="1:16" s="111" customFormat="1">
      <c r="A57" s="111" t="s">
        <v>40</v>
      </c>
      <c r="C57" s="413">
        <f>+月次PL!C56</f>
        <v>8493</v>
      </c>
      <c r="D57" s="111">
        <f>+月次PL!D56</f>
        <v>8493</v>
      </c>
      <c r="E57" s="111">
        <f>+月次PL!E56</f>
        <v>8219</v>
      </c>
      <c r="F57" s="111">
        <f>+月次PL!F56</f>
        <v>8493</v>
      </c>
      <c r="G57" s="111">
        <f>+月次PL!G56</f>
        <v>8219</v>
      </c>
      <c r="H57" s="111">
        <f>+月次PL!H56</f>
        <v>8493</v>
      </c>
      <c r="I57" s="111">
        <f>+月次PL!I56</f>
        <v>8493</v>
      </c>
      <c r="J57" s="111">
        <f>+月次PL!J56</f>
        <v>7671</v>
      </c>
      <c r="K57" s="111">
        <f>+月次PL!K56</f>
        <v>8493</v>
      </c>
      <c r="L57" s="111">
        <f>+月次PL!L56</f>
        <v>8219</v>
      </c>
      <c r="M57" s="111">
        <f>+月次PL!M56</f>
        <v>8493</v>
      </c>
      <c r="N57" s="540">
        <f>+N54</f>
        <v>8343.545454545454</v>
      </c>
      <c r="O57" s="531">
        <f t="shared" si="0"/>
        <v>100122.54545454546</v>
      </c>
    </row>
    <row r="58" spans="1:16" s="113" customFormat="1" ht="16.899999999999999" thickBot="1">
      <c r="A58" s="113" t="s">
        <v>41</v>
      </c>
      <c r="C58" s="545">
        <f>+C47+C52-C57</f>
        <v>-283863</v>
      </c>
      <c r="D58" s="114">
        <f t="shared" ref="D58:M58" si="12">+D47+D52-D57</f>
        <v>-14792</v>
      </c>
      <c r="E58" s="114">
        <f t="shared" si="12"/>
        <v>-89776</v>
      </c>
      <c r="F58" s="114">
        <f t="shared" si="12"/>
        <v>-161804</v>
      </c>
      <c r="G58" s="114">
        <f t="shared" si="12"/>
        <v>-50880</v>
      </c>
      <c r="H58" s="114">
        <f t="shared" si="12"/>
        <v>-135396</v>
      </c>
      <c r="I58" s="114">
        <f t="shared" si="12"/>
        <v>-109563</v>
      </c>
      <c r="J58" s="114">
        <f t="shared" si="12"/>
        <v>-65054</v>
      </c>
      <c r="K58" s="114">
        <f t="shared" si="12"/>
        <v>-19104</v>
      </c>
      <c r="L58" s="114">
        <f t="shared" si="12"/>
        <v>421107</v>
      </c>
      <c r="M58" s="114">
        <f t="shared" si="12"/>
        <v>205722</v>
      </c>
      <c r="N58" s="532">
        <f t="shared" ref="N58" si="13">+N47+N52-N57</f>
        <v>379783.09090909077</v>
      </c>
      <c r="O58" s="533">
        <f t="shared" si="0"/>
        <v>76380.090909090766</v>
      </c>
    </row>
    <row r="59" spans="1:16" ht="16.899999999999999" thickTop="1">
      <c r="A59" s="2" t="s">
        <v>42</v>
      </c>
      <c r="M59" s="55"/>
      <c r="N59" s="527"/>
      <c r="O59" s="529">
        <f t="shared" si="0"/>
        <v>0</v>
      </c>
    </row>
    <row r="60" spans="1:16" s="111" customFormat="1">
      <c r="A60" s="111" t="s">
        <v>43</v>
      </c>
      <c r="C60" s="413"/>
      <c r="N60" s="540"/>
      <c r="O60" s="531">
        <f t="shared" si="0"/>
        <v>0</v>
      </c>
    </row>
    <row r="61" spans="1:16">
      <c r="A61" s="2" t="s">
        <v>44</v>
      </c>
      <c r="M61" s="55"/>
      <c r="N61" s="527"/>
      <c r="O61" s="529">
        <f t="shared" si="0"/>
        <v>0</v>
      </c>
    </row>
    <row r="62" spans="1:16" s="111" customFormat="1">
      <c r="A62" s="111" t="s">
        <v>45</v>
      </c>
      <c r="C62" s="413"/>
      <c r="N62" s="540"/>
      <c r="O62" s="531">
        <f t="shared" si="0"/>
        <v>0</v>
      </c>
    </row>
    <row r="63" spans="1:16">
      <c r="A63" s="2" t="s">
        <v>46</v>
      </c>
      <c r="M63" s="55"/>
      <c r="N63" s="527"/>
      <c r="O63" s="529">
        <f t="shared" si="0"/>
        <v>0</v>
      </c>
    </row>
    <row r="64" spans="1:16" s="113" customFormat="1" ht="16.899999999999999" thickBot="1">
      <c r="A64" s="113" t="s">
        <v>47</v>
      </c>
      <c r="C64" s="545">
        <f>+C58+C60-C62</f>
        <v>-283863</v>
      </c>
      <c r="D64" s="114">
        <f t="shared" ref="D64:N64" si="14">+D58+D60-D62</f>
        <v>-14792</v>
      </c>
      <c r="E64" s="114">
        <f t="shared" si="14"/>
        <v>-89776</v>
      </c>
      <c r="F64" s="114">
        <f t="shared" si="14"/>
        <v>-161804</v>
      </c>
      <c r="G64" s="114">
        <f t="shared" si="14"/>
        <v>-50880</v>
      </c>
      <c r="H64" s="114">
        <f t="shared" si="14"/>
        <v>-135396</v>
      </c>
      <c r="I64" s="114">
        <f t="shared" si="14"/>
        <v>-109563</v>
      </c>
      <c r="J64" s="114">
        <f t="shared" si="14"/>
        <v>-65054</v>
      </c>
      <c r="K64" s="114">
        <f t="shared" si="14"/>
        <v>-19104</v>
      </c>
      <c r="L64" s="114">
        <f t="shared" si="14"/>
        <v>421107</v>
      </c>
      <c r="M64" s="114">
        <f t="shared" si="14"/>
        <v>205722</v>
      </c>
      <c r="N64" s="532">
        <f t="shared" si="14"/>
        <v>379783.09090909077</v>
      </c>
      <c r="O64" s="533">
        <f t="shared" si="0"/>
        <v>76380.090909090766</v>
      </c>
    </row>
    <row r="65" spans="1:15" ht="16.899999999999999" thickTop="1">
      <c r="B65" s="2" t="s">
        <v>181</v>
      </c>
      <c r="C65" s="9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M65" s="55"/>
      <c r="N65" s="550"/>
      <c r="O65" s="529">
        <f t="shared" si="0"/>
        <v>0</v>
      </c>
    </row>
    <row r="66" spans="1:15" s="113" customFormat="1" ht="16.899999999999999" thickBot="1">
      <c r="A66" s="113" t="s">
        <v>48</v>
      </c>
      <c r="C66" s="545">
        <f>+C64-C65</f>
        <v>-283863</v>
      </c>
      <c r="D66" s="114">
        <f t="shared" ref="D66:N66" si="15">+D64-D65</f>
        <v>-14792</v>
      </c>
      <c r="E66" s="114">
        <f t="shared" si="15"/>
        <v>-89776</v>
      </c>
      <c r="F66" s="114">
        <f t="shared" si="15"/>
        <v>-161804</v>
      </c>
      <c r="G66" s="114">
        <f t="shared" si="15"/>
        <v>-50880</v>
      </c>
      <c r="H66" s="114">
        <f t="shared" si="15"/>
        <v>-135396</v>
      </c>
      <c r="I66" s="114">
        <f t="shared" si="15"/>
        <v>-109563</v>
      </c>
      <c r="J66" s="114">
        <f t="shared" si="15"/>
        <v>-65054</v>
      </c>
      <c r="K66" s="114">
        <f t="shared" si="15"/>
        <v>-19104</v>
      </c>
      <c r="L66" s="114">
        <f t="shared" si="15"/>
        <v>421107</v>
      </c>
      <c r="M66" s="114">
        <f t="shared" si="15"/>
        <v>205722</v>
      </c>
      <c r="N66" s="541">
        <f t="shared" si="15"/>
        <v>379783.09090909077</v>
      </c>
      <c r="O66" s="542">
        <f t="shared" si="0"/>
        <v>76380.090909090766</v>
      </c>
    </row>
    <row r="67" spans="1:15" ht="16.899999999999999" thickTop="1"/>
  </sheetData>
  <phoneticPr fontId="44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/>
  </sheetPr>
  <dimension ref="A2:AL94"/>
  <sheetViews>
    <sheetView topLeftCell="B2" workbookViewId="0">
      <pane xSplit="2" ySplit="8" topLeftCell="I47" activePane="bottomRight" state="frozen"/>
      <selection activeCell="B2" sqref="B2"/>
      <selection pane="topRight" activeCell="D2" sqref="D2"/>
      <selection pane="bottomLeft" activeCell="B5" sqref="B5"/>
      <selection pane="bottomRight" activeCell="AA56" sqref="AA56"/>
    </sheetView>
  </sheetViews>
  <sheetFormatPr defaultColWidth="9" defaultRowHeight="16.5" outlineLevelRow="1" outlineLevelCol="1"/>
  <cols>
    <col min="1" max="1" width="4.625" style="1" customWidth="1"/>
    <col min="2" max="2" width="5.625" style="1" customWidth="1"/>
    <col min="3" max="3" width="12.625" style="1" customWidth="1"/>
    <col min="4" max="19" width="10.625" style="2" customWidth="1"/>
    <col min="20" max="20" width="10.625" style="68" customWidth="1"/>
    <col min="21" max="21" width="10.625" style="2" customWidth="1"/>
    <col min="22" max="22" width="10.625" style="68" customWidth="1"/>
    <col min="23" max="23" width="10.625" style="2" customWidth="1"/>
    <col min="24" max="24" width="10.625" style="68" customWidth="1"/>
    <col min="25" max="25" width="10.625" style="2" customWidth="1"/>
    <col min="26" max="26" width="10.625" style="68" customWidth="1" outlineLevel="1"/>
    <col min="27" max="27" width="10.625" style="2" customWidth="1" outlineLevel="1"/>
    <col min="28" max="16384" width="9" style="1"/>
  </cols>
  <sheetData>
    <row r="2" spans="1:38" s="183" customFormat="1" ht="12.75">
      <c r="B2" s="183" t="s">
        <v>218</v>
      </c>
      <c r="C2" s="183" t="s">
        <v>128</v>
      </c>
      <c r="D2" s="184" t="str">
        <f>IF(D10&lt;&gt;0,IF(D10=月次PL!C8/1000,"OK",PL推移!D10-月次PL!C8/1000),"nd")</f>
        <v>OK</v>
      </c>
      <c r="E2" s="184"/>
      <c r="F2" s="184" t="str">
        <f>IF(F10&lt;&gt;0,IF(月次PL!D8/1000=PL推移!F10,"OK",PL推移!F10-月次PL!D8/1000),"nd")</f>
        <v>OK</v>
      </c>
      <c r="G2" s="184"/>
      <c r="H2" s="184" t="str">
        <f>IF(H10&lt;&gt;0,IF(月次PL!E8/1000=PL推移!H10,"OK",PL推移!H10-月次PL!E8/1000),"nd")</f>
        <v>OK</v>
      </c>
      <c r="I2" s="184"/>
      <c r="J2" s="184" t="str">
        <f>IF(J10&lt;&gt;0,IF(月次PL!F8/1000=PL推移!J10,"OK",PL推移!J10-月次PL!F8/1000),"nd")</f>
        <v>OK</v>
      </c>
      <c r="K2" s="184"/>
      <c r="L2" s="184" t="str">
        <f>IF(L10&lt;&gt;0,IF(月次PL!G8/1000=PL推移!L10,"OK",PL推移!L10-月次PL!G8/1000),"nd")</f>
        <v>OK</v>
      </c>
      <c r="M2" s="184"/>
      <c r="N2" s="184" t="str">
        <f>IF(N10&lt;&gt;0,IF(月次PL!H8/1000=PL推移!N10,"OK",PL推移!N10-月次PL!H8/1000),"nd")</f>
        <v>OK</v>
      </c>
      <c r="O2" s="184"/>
      <c r="P2" s="184" t="str">
        <f>IF(P10&lt;&gt;0,IF(月次PL!I8/1000=PL推移!P10,"OK",PL推移!P10-月次PL!I8/1000),"nd")</f>
        <v>OK</v>
      </c>
      <c r="Q2" s="184"/>
      <c r="R2" s="184" t="str">
        <f>IF(R10&lt;&gt;0,IF(月次PL!J8/1000=PL推移!R10,"OK",PL推移!R10-月次PL!J8/1000),"nd")</f>
        <v>OK</v>
      </c>
      <c r="S2" s="184"/>
      <c r="T2" s="184" t="str">
        <f>IF(T10&lt;&gt;0,IF(月次PL!K8/1000=PL推移!T10,"OK",PL推移!T10-月次PL!K8/1000),"nd")</f>
        <v>OK</v>
      </c>
      <c r="U2" s="184"/>
      <c r="V2" s="184" t="str">
        <f>IF(V10&lt;&gt;0,IF(月次PL!L8/1000=PL推移!V10,"OK",PL推移!V10-月次PL!L8/1000),"nd")</f>
        <v>OK</v>
      </c>
      <c r="W2" s="184"/>
      <c r="X2" s="184" t="str">
        <f>IF(X10&lt;&gt;0,IF(月次PL!M8/1000=PL推移!X10,"OK",PL推移!X10-月次PL!M8/1000),"nd")</f>
        <v>OK</v>
      </c>
      <c r="Y2" s="184"/>
      <c r="Z2" s="184" t="str">
        <f>IF(Z10&lt;&gt;0,IF(月次PL!N8/1000=PL推移!Z10,"OK",PL推移!Z10-月次PL!N8/1000),"nd")</f>
        <v>OK</v>
      </c>
      <c r="AA2" s="184"/>
    </row>
    <row r="3" spans="1:38" s="183" customFormat="1" ht="12.75">
      <c r="C3" s="183" t="s">
        <v>131</v>
      </c>
      <c r="D3" s="184" t="str">
        <f>IF(D22&lt;&gt;0,IF(D22=月次PL!C16/1000,"OK",PL推移!D22-月次PL!C16/1000),"nd")</f>
        <v>OK</v>
      </c>
      <c r="E3" s="184"/>
      <c r="F3" s="184" t="str">
        <f>IF(F22&lt;&gt;0,IF(F22=月次PL!D16/1000,"OK",PL推移!F22-月次PL!D16/1000),"nd")</f>
        <v>OK</v>
      </c>
      <c r="G3" s="184"/>
      <c r="H3" s="184" t="str">
        <f>IF(H22&lt;&gt;0,IF(H22=月次PL!E16/1000,"OK",PL推移!H22-月次PL!E16/1000),"nd")</f>
        <v>OK</v>
      </c>
      <c r="I3" s="184"/>
      <c r="J3" s="184" t="str">
        <f>IF(J22&lt;&gt;0,IF(J22=月次PL!F16/1000,"OK",PL推移!J22-月次PL!F16/1000),"nd")</f>
        <v>OK</v>
      </c>
      <c r="K3" s="184"/>
      <c r="L3" s="184" t="str">
        <f>IF(L22&lt;&gt;0,IF(L22=月次PL!G16/1000,"OK",PL推移!L22-月次PL!G16/1000),"nd")</f>
        <v>OK</v>
      </c>
      <c r="M3" s="184"/>
      <c r="N3" s="184" t="str">
        <f>IF(N22&lt;&gt;0,IF(N22=月次PL!H16/1000,"OK",PL推移!N22-月次PL!H16/1000),"nd")</f>
        <v>OK</v>
      </c>
      <c r="O3" s="184"/>
      <c r="P3" s="184" t="str">
        <f>IF(P22&lt;&gt;0,IF(P22=月次PL!I16/1000,"OK",PL推移!P22-月次PL!I16/1000),"nd")</f>
        <v>OK</v>
      </c>
      <c r="Q3" s="184"/>
      <c r="R3" s="184" t="str">
        <f>IF(R22&lt;&gt;0,IF(R22=月次PL!J16/1000,"OK",PL推移!R22-月次PL!J16/1000),"nd")</f>
        <v>OK</v>
      </c>
      <c r="S3" s="184"/>
      <c r="T3" s="184" t="str">
        <f>IF(T22&lt;&gt;0,IF(T22=月次PL!K16/1000,"OK",PL推移!T22-月次PL!K16/1000),"nd")</f>
        <v>OK</v>
      </c>
      <c r="U3" s="184"/>
      <c r="V3" s="184" t="str">
        <f>IF(V22&lt;&gt;0,IF(V22=月次PL!L16/1000,"OK",PL推移!V22-月次PL!L16/1000),"nd")</f>
        <v>OK</v>
      </c>
      <c r="W3" s="184"/>
      <c r="X3" s="184" t="str">
        <f>IF(X22&lt;&gt;0,IF(X22=月次PL!M16/1000,"OK",PL推移!X22-月次PL!M16/1000),"nd")</f>
        <v>OK</v>
      </c>
      <c r="Y3" s="184"/>
      <c r="Z3" s="184" t="str">
        <f>IF(Z22&lt;&gt;0,IF(Z22=月次PL!N16/1000,"OK",PL推移!Z22-月次PL!N16/1000),"nd")</f>
        <v>OK</v>
      </c>
      <c r="AA3" s="184"/>
    </row>
    <row r="4" spans="1:38" s="183" customFormat="1" ht="12.75">
      <c r="C4" s="183" t="s">
        <v>219</v>
      </c>
      <c r="D4" s="184" t="str">
        <f>IF(D28&lt;&gt;0,IF(D28=月次PL!C45/1000,"OK",PL推移!D28-月次PL!C45/1000),"nd")</f>
        <v>OK</v>
      </c>
      <c r="E4" s="184"/>
      <c r="F4" s="184" t="str">
        <f>IF(F28&lt;&gt;0,IF(F28=月次PL!D45/1000,"OK",PL推移!F28-月次PL!D45/1000),"nd")</f>
        <v>OK</v>
      </c>
      <c r="G4" s="184"/>
      <c r="H4" s="184" t="str">
        <f>IF(H28&lt;&gt;0,IF(H28=月次PL!E45/1000,"OK",PL推移!H28-月次PL!E45/1000),"nd")</f>
        <v>OK</v>
      </c>
      <c r="I4" s="184"/>
      <c r="J4" s="184" t="str">
        <f>IF(J28&lt;&gt;0,IF(J28=月次PL!F45/1000,"OK",PL推移!J28-月次PL!F45/1000),"nd")</f>
        <v>OK</v>
      </c>
      <c r="K4" s="184"/>
      <c r="L4" s="184" t="str">
        <f>IF(L28&lt;&gt;0,IF(L28=月次PL!G45/1000,"OK",PL推移!L28-月次PL!G45/1000),"nd")</f>
        <v>OK</v>
      </c>
      <c r="M4" s="184"/>
      <c r="N4" s="184" t="str">
        <f>IF(N28&lt;&gt;0,IF(N28=月次PL!H45/1000,"OK",PL推移!N28-月次PL!H45/1000),"nd")</f>
        <v>OK</v>
      </c>
      <c r="O4" s="184"/>
      <c r="P4" s="184" t="str">
        <f>IF(P28&lt;&gt;0,IF(P28=月次PL!I45/1000,"OK",PL推移!P28-月次PL!I45/1000),"nd")</f>
        <v>OK</v>
      </c>
      <c r="Q4" s="184"/>
      <c r="R4" s="184" t="str">
        <f>IF(R28&lt;&gt;0,IF(R28=月次PL!J45/1000,"OK",PL推移!R28-月次PL!J45/1000),"nd")</f>
        <v>OK</v>
      </c>
      <c r="S4" s="184"/>
      <c r="T4" s="184" t="str">
        <f>IF(T28&lt;&gt;0,IF(T28=月次PL!K45/1000,"OK",PL推移!T28-月次PL!K45/1000),"nd")</f>
        <v>OK</v>
      </c>
      <c r="U4" s="184"/>
      <c r="V4" s="184" t="str">
        <f>IF(V28&lt;&gt;0,IF(V28=月次PL!L45/1000,"OK",PL推移!V28-月次PL!L45/1000),"nd")</f>
        <v>OK</v>
      </c>
      <c r="W4" s="184"/>
      <c r="X4" s="184" t="str">
        <f>IF(X28&lt;&gt;0,IF(X28=月次PL!M45/1000,"OK",PL推移!X28-月次PL!M45/1000),"nd")</f>
        <v>OK</v>
      </c>
      <c r="Y4" s="184"/>
      <c r="Z4" s="184" t="str">
        <f>IF(Z28&lt;&gt;0,IF(Z28=月次PL!N45/1000,"OK",PL推移!Z28-月次PL!N45/1000),"nd")</f>
        <v>OK</v>
      </c>
      <c r="AA4" s="184"/>
    </row>
    <row r="5" spans="1:38" s="183" customFormat="1" ht="12.75">
      <c r="C5" s="183" t="s">
        <v>182</v>
      </c>
      <c r="D5" s="184" t="str">
        <f>IF(D50&lt;&gt;0,IF(D50=月次PL!C46/1000,"OK",PL推移!D50-月次PL!C46/1000),"nd")</f>
        <v>OK</v>
      </c>
      <c r="E5" s="184"/>
      <c r="F5" s="184">
        <f>IF(F50&lt;&gt;0,IF(F50=月次PL!D46/1000,"OK",PL推移!F50-月次PL!D46/1000),"nd")</f>
        <v>-1.7763568394002505E-14</v>
      </c>
      <c r="G5" s="184"/>
      <c r="H5" s="184" t="str">
        <f>IF(H50&lt;&gt;0,IF(H50=月次PL!E46/1000,"OK",PL推移!H50-月次PL!E46/1000),"nd")</f>
        <v>OK</v>
      </c>
      <c r="I5" s="184"/>
      <c r="J5" s="184" t="str">
        <f>IF(J50&lt;&gt;0,IF(J50=月次PL!F46/1000,"OK",PL推移!J50-月次PL!F46/1000),"nd")</f>
        <v>OK</v>
      </c>
      <c r="K5" s="184"/>
      <c r="L5" s="184" t="str">
        <f>IF(L50&lt;&gt;0,IF(L50=月次PL!G46/1000,"OK",PL推移!L50-月次PL!G46/1000),"nd")</f>
        <v>OK</v>
      </c>
      <c r="M5" s="184"/>
      <c r="N5" s="184" t="str">
        <f>IF(N50&lt;&gt;0,IF(N50=月次PL!H46/1000,"OK",PL推移!N50-月次PL!H46/1000),"nd")</f>
        <v>OK</v>
      </c>
      <c r="O5" s="184"/>
      <c r="P5" s="184" t="str">
        <f>IF(P50&lt;&gt;0,IF(P50=月次PL!I46/1000,"OK",PL推移!P50-月次PL!I46/1000),"nd")</f>
        <v>OK</v>
      </c>
      <c r="Q5" s="184"/>
      <c r="R5" s="184">
        <f>IF(R50&lt;&gt;0,IF(R50=月次PL!J46/1000,"OK",PL推移!R50-月次PL!J46/1000),"nd")</f>
        <v>9.2370555648813024E-14</v>
      </c>
      <c r="S5" s="184"/>
      <c r="T5" s="184">
        <f>IF(T50&lt;&gt;0,IF(T50=月次PL!K46/1000,"OK",PL推移!T50-月次PL!K46/1000),"nd")</f>
        <v>1.4210854715202004E-13</v>
      </c>
      <c r="U5" s="184"/>
      <c r="V5" s="184" t="str">
        <f>IF(V50&lt;&gt;0,IF(V50=月次PL!L46/1000,"OK",PL推移!V50-月次PL!L46/1000),"nd")</f>
        <v>OK</v>
      </c>
      <c r="W5" s="184"/>
      <c r="X5" s="184" t="str">
        <f>IF(X50&lt;&gt;0,IF(X50=月次PL!M46/1000,"OK",PL推移!X50-月次PL!M46/1000),"nd")</f>
        <v>OK</v>
      </c>
      <c r="Y5" s="184"/>
      <c r="Z5" s="184" t="str">
        <f>IF(Z50&lt;&gt;0,IF(Z50=月次PL!N46/1000,"OK",PL推移!Z50-月次PL!N46/1000),"nd")</f>
        <v>OK</v>
      </c>
      <c r="AA5" s="184"/>
    </row>
    <row r="6" spans="1:38" s="183" customFormat="1" ht="13.15" thickBot="1">
      <c r="C6" s="183" t="s">
        <v>194</v>
      </c>
      <c r="D6" s="184" t="str">
        <f>IF(D54&lt;&gt;0,IF(D54=月次PL!C57/1000,"OK",PL推移!D54-月次PL!C57/1000),"nd")</f>
        <v>OK</v>
      </c>
      <c r="E6" s="184"/>
      <c r="F6" s="184" t="str">
        <f>IF(F54&lt;&gt;0,IF(F54=月次PL!D57/1000,"OK",PL推移!F54-月次PL!D57/1000),"nd")</f>
        <v>OK</v>
      </c>
      <c r="G6" s="184"/>
      <c r="H6" s="184" t="str">
        <f>IF(H54&lt;&gt;0,IF(H54=月次PL!E57/1000,"OK",PL推移!H54-月次PL!E57/1000),"nd")</f>
        <v>OK</v>
      </c>
      <c r="I6" s="184"/>
      <c r="J6" s="184" t="str">
        <f>IF(J54&lt;&gt;0,IF(J54=月次PL!F57/1000,"OK",PL推移!J54-月次PL!F57/1000),"nd")</f>
        <v>OK</v>
      </c>
      <c r="K6" s="184"/>
      <c r="L6" s="184" t="str">
        <f>IF(L54&lt;&gt;0,IF(L54=月次PL!G57/1000,"OK",PL推移!L54-月次PL!G57/1000),"nd")</f>
        <v>OK</v>
      </c>
      <c r="M6" s="184"/>
      <c r="N6" s="184" t="str">
        <f>IF(N54&lt;&gt;0,IF(N54=月次PL!H57/1000,"OK",PL推移!N54-月次PL!H57/1000),"nd")</f>
        <v>OK</v>
      </c>
      <c r="O6" s="184"/>
      <c r="P6" s="184" t="str">
        <f>IF(P54&lt;&gt;0,IF(P54=月次PL!I57/1000,"OK",PL推移!P54-月次PL!I57/1000),"nd")</f>
        <v>OK</v>
      </c>
      <c r="Q6" s="184"/>
      <c r="R6" s="184">
        <f>IF(R54&lt;&gt;0,IF(R54=月次PL!J57/1000,"OK",PL推移!R54-月次PL!J57/1000),"nd")</f>
        <v>8.5265128291212022E-14</v>
      </c>
      <c r="S6" s="184"/>
      <c r="T6" s="184">
        <f>IF(T54&lt;&gt;0,IF(T54=月次PL!K57/1000,"OK",PL推移!T54-月次PL!K57/1000),"nd")</f>
        <v>1.4210854715202004E-13</v>
      </c>
      <c r="U6" s="184"/>
      <c r="V6" s="184" t="str">
        <f>IF(V54&lt;&gt;0,IF(V54=月次PL!L57/1000,"OK",PL推移!V54-月次PL!L57/1000),"nd")</f>
        <v>OK</v>
      </c>
      <c r="W6" s="184"/>
      <c r="X6" s="184" t="str">
        <f>IF(X54&lt;&gt;0,IF(X54=月次PL!M57/1000,"OK",PL推移!X54-月次PL!M57/1000),"nd")</f>
        <v>OK</v>
      </c>
      <c r="Y6" s="184"/>
      <c r="Z6" s="184" t="str">
        <f>IF(Z54&lt;&gt;0,IF(Z54=月次PL!N57/1000,"OK",PL推移!Z54-月次PL!N57/1000),"nd")</f>
        <v>OK</v>
      </c>
      <c r="AA6" s="184"/>
    </row>
    <row r="7" spans="1:38" ht="20.25" thickBot="1">
      <c r="B7" s="54" t="s">
        <v>147</v>
      </c>
      <c r="C7" s="45"/>
      <c r="D7" s="12" t="s">
        <v>367</v>
      </c>
      <c r="T7" s="2"/>
      <c r="V7" s="2"/>
      <c r="X7" s="2"/>
      <c r="Z7" s="2"/>
      <c r="AH7" s="17" t="s">
        <v>145</v>
      </c>
      <c r="AI7" s="14" t="s">
        <v>142</v>
      </c>
      <c r="AJ7" s="15" t="s">
        <v>143</v>
      </c>
      <c r="AK7" s="16" t="s">
        <v>144</v>
      </c>
      <c r="AL7" s="119" t="s">
        <v>193</v>
      </c>
    </row>
    <row r="8" spans="1:38" ht="16.899999999999999" thickBot="1">
      <c r="B8" s="45">
        <v>2025</v>
      </c>
      <c r="C8" s="45" t="s">
        <v>139</v>
      </c>
      <c r="D8" s="2" t="s">
        <v>141</v>
      </c>
      <c r="F8" s="17" t="s">
        <v>145</v>
      </c>
      <c r="G8" s="14" t="s">
        <v>142</v>
      </c>
      <c r="H8" s="15" t="s">
        <v>143</v>
      </c>
      <c r="I8" s="16" t="s">
        <v>352</v>
      </c>
      <c r="J8" s="293" t="s">
        <v>193</v>
      </c>
      <c r="T8" s="2"/>
      <c r="V8" s="2"/>
      <c r="X8" s="2"/>
      <c r="Z8" s="2"/>
    </row>
    <row r="9" spans="1:38" s="186" customFormat="1" ht="19.5" customHeight="1" thickBot="1">
      <c r="A9" s="185"/>
      <c r="B9" s="553" t="s">
        <v>140</v>
      </c>
      <c r="C9" s="553"/>
      <c r="D9" s="554">
        <f>+月次PL!C1</f>
        <v>7</v>
      </c>
      <c r="E9" s="555"/>
      <c r="F9" s="556">
        <f>+月次PL!D1</f>
        <v>8</v>
      </c>
      <c r="G9" s="555"/>
      <c r="H9" s="556">
        <f>+月次PL!E1</f>
        <v>9</v>
      </c>
      <c r="I9" s="555"/>
      <c r="J9" s="556">
        <f>+月次PL!F1</f>
        <v>10</v>
      </c>
      <c r="K9" s="555"/>
      <c r="L9" s="556">
        <f>+月次PL!G1</f>
        <v>11</v>
      </c>
      <c r="M9" s="555"/>
      <c r="N9" s="556">
        <f>+月次PL!H1</f>
        <v>12</v>
      </c>
      <c r="O9" s="555"/>
      <c r="P9" s="556">
        <f>+月次PL!I1</f>
        <v>1</v>
      </c>
      <c r="Q9" s="555"/>
      <c r="R9" s="556">
        <f>+月次PL!J1</f>
        <v>2</v>
      </c>
      <c r="S9" s="555"/>
      <c r="T9" s="556">
        <f>+月次PL!K1</f>
        <v>3</v>
      </c>
      <c r="U9" s="555"/>
      <c r="V9" s="556">
        <f>+月次PL!L1</f>
        <v>4</v>
      </c>
      <c r="W9" s="555"/>
      <c r="X9" s="556">
        <f>+月次PL!M1</f>
        <v>5</v>
      </c>
      <c r="Y9" s="555"/>
      <c r="Z9" s="556">
        <f>+月次PL!N1</f>
        <v>6</v>
      </c>
      <c r="AA9" s="555"/>
    </row>
    <row r="10" spans="1:38" s="45" customFormat="1" ht="16.899999999999999" thickTop="1">
      <c r="B10" s="45" t="s">
        <v>128</v>
      </c>
      <c r="D10" s="146">
        <f>+月次PL!C8/1000</f>
        <v>622.83299999999997</v>
      </c>
      <c r="E10" s="70">
        <f>IF(D$10&lt;&gt;0,D10/D$10,0)</f>
        <v>1</v>
      </c>
      <c r="F10" s="69">
        <f>+月次PL!D8/1000</f>
        <v>559.84199999999998</v>
      </c>
      <c r="G10" s="70">
        <f>IF(F$10&lt;&gt;0,F10/F$10,0)</f>
        <v>1</v>
      </c>
      <c r="H10" s="69">
        <f>+月次PL!E8/1000</f>
        <v>571.65599999999995</v>
      </c>
      <c r="I10" s="70">
        <f>IF(H$10&lt;&gt;0,H10/H$10,0)</f>
        <v>1</v>
      </c>
      <c r="J10" s="69">
        <f>+月次PL!F8/1000</f>
        <v>571.67999999999995</v>
      </c>
      <c r="K10" s="70">
        <f>IF(J$10&lt;&gt;0,J10/J$10,0)</f>
        <v>1</v>
      </c>
      <c r="L10" s="69">
        <f>SUM(L11:L15)</f>
        <v>482.54199999999997</v>
      </c>
      <c r="M10" s="70">
        <f>IF(L$10&lt;&gt;0,L10/L$10,0)</f>
        <v>1</v>
      </c>
      <c r="N10" s="69">
        <f>SUM(N11:N15)</f>
        <v>568.07500000000005</v>
      </c>
      <c r="O10" s="70">
        <f>IF(N$10&lt;&gt;0,N10/N$10,0)</f>
        <v>1</v>
      </c>
      <c r="P10" s="69">
        <f>+月次PL!I8/1000</f>
        <v>573.04499999999996</v>
      </c>
      <c r="Q10" s="70">
        <f>IF(P$10&lt;&gt;0,P10/P$10,0)</f>
        <v>1</v>
      </c>
      <c r="R10" s="69">
        <f>+月次PL!J8/1000</f>
        <v>566.15800000000002</v>
      </c>
      <c r="S10" s="70">
        <f>IF(R$10&lt;&gt;0,R10/R$10,0)</f>
        <v>1</v>
      </c>
      <c r="T10" s="69">
        <f>+月次PL!K8/1000</f>
        <v>643.46699999999998</v>
      </c>
      <c r="U10" s="70">
        <f>IF(T$10&lt;&gt;0,T10/T$10,0)</f>
        <v>1</v>
      </c>
      <c r="V10" s="69">
        <f>+月次PL!L3/1000</f>
        <v>1030.617</v>
      </c>
      <c r="W10" s="70">
        <f>IF(V$10&lt;&gt;0,V10/V$10,0)</f>
        <v>1</v>
      </c>
      <c r="X10" s="69">
        <f>SUM(X11:X15)</f>
        <v>890.404</v>
      </c>
      <c r="Y10" s="70">
        <f>IF(X$10&lt;&gt;0,X10/X$10,0)</f>
        <v>1</v>
      </c>
      <c r="Z10" s="69">
        <f>+月次PL!N8/1000</f>
        <v>988.47500000000002</v>
      </c>
      <c r="AA10" s="70">
        <f>IF(Z$10&lt;&gt;0,Z10/Z$10,0)</f>
        <v>1</v>
      </c>
    </row>
    <row r="11" spans="1:38">
      <c r="C11" s="442" t="str">
        <f>+月次PL!B3</f>
        <v>売上高</v>
      </c>
      <c r="D11" s="444">
        <f>+月次PL!C3/1000</f>
        <v>622.83299999999997</v>
      </c>
      <c r="E11" s="72">
        <f>IF(D$10&lt;&gt;0,D11/D$10,0)</f>
        <v>1</v>
      </c>
      <c r="F11" s="71">
        <f>+月次PL!D3/1000</f>
        <v>559.84199999999998</v>
      </c>
      <c r="G11" s="72">
        <f>IF(F$10&lt;&gt;0,F11/F$10,0)</f>
        <v>1</v>
      </c>
      <c r="H11" s="71">
        <f>+月次PL!E3/1000</f>
        <v>571.65599999999995</v>
      </c>
      <c r="I11" s="72">
        <f>IF(H$10&lt;&gt;0,H11/H$10,0)</f>
        <v>1</v>
      </c>
      <c r="J11" s="71">
        <f>+月次PL!F3/1000</f>
        <v>571.67999999999995</v>
      </c>
      <c r="K11" s="72">
        <f>IF(J$10&lt;&gt;0,J11/J$10,0)</f>
        <v>1</v>
      </c>
      <c r="L11" s="71">
        <f>+月次PL!G3/1000</f>
        <v>482.54199999999997</v>
      </c>
      <c r="M11" s="72">
        <f>IF(L$10&lt;&gt;0,L11/L$10,0)</f>
        <v>1</v>
      </c>
      <c r="N11" s="71">
        <f>+月次PL!H3/1000</f>
        <v>568.07500000000005</v>
      </c>
      <c r="O11" s="72">
        <f>IF(N$10&lt;&gt;0,N11/N$10,0)</f>
        <v>1</v>
      </c>
      <c r="P11" s="71">
        <f>+月次PL!I3/1000</f>
        <v>573.04499999999996</v>
      </c>
      <c r="Q11" s="72">
        <f>IF(P$10&lt;&gt;0,P11/P$10,0)</f>
        <v>1</v>
      </c>
      <c r="R11" s="71">
        <f>+月次PL!J3/1000</f>
        <v>566.15800000000002</v>
      </c>
      <c r="S11" s="72">
        <f>IF(R$10&lt;&gt;0,R11/R$10,0)</f>
        <v>1</v>
      </c>
      <c r="T11" s="71">
        <f>+月次PL!K3/1000</f>
        <v>643.46699999999998</v>
      </c>
      <c r="U11" s="72">
        <f>IF(T$10&lt;&gt;0,T11/T$10,0)</f>
        <v>1</v>
      </c>
      <c r="V11" s="71">
        <f>+月次PL!L8/1000</f>
        <v>1030.617</v>
      </c>
      <c r="W11" s="72">
        <f>IF(V$10&lt;&gt;0,V11/V$10,0)</f>
        <v>1</v>
      </c>
      <c r="X11" s="71">
        <f>+月次PL!M3/1000</f>
        <v>890.404</v>
      </c>
      <c r="Y11" s="72">
        <f>IF(X$10&lt;&gt;0,X11/X$10,0)</f>
        <v>1</v>
      </c>
      <c r="Z11" s="71"/>
      <c r="AA11" s="72">
        <f>IF(Z$10&lt;&gt;0,Z11/Z$10,0)</f>
        <v>0</v>
      </c>
    </row>
    <row r="12" spans="1:38" hidden="1" outlineLevel="1">
      <c r="C12" s="5">
        <f>+月次PL!B4</f>
        <v>0</v>
      </c>
      <c r="D12" s="147">
        <f>+月次PL!C4/1000</f>
        <v>0</v>
      </c>
      <c r="E12" s="73">
        <f>IF(D$10&lt;&gt;0,D12/D$10,0)</f>
        <v>0</v>
      </c>
      <c r="F12" s="37">
        <f>+月次PL!D4/1000</f>
        <v>0</v>
      </c>
      <c r="G12" s="73">
        <f>IF(F$10&lt;&gt;0,F12/F$10,0)</f>
        <v>0</v>
      </c>
      <c r="H12" s="37">
        <f>+月次PL!E4/1000</f>
        <v>0</v>
      </c>
      <c r="I12" s="73">
        <f t="shared" ref="I12:I15" si="0">IF(H$10&lt;&gt;0,H12/H$10,0)</f>
        <v>0</v>
      </c>
      <c r="J12" s="37">
        <f>+月次PL!F4/1000</f>
        <v>0</v>
      </c>
      <c r="K12" s="73">
        <f t="shared" ref="K12:K15" si="1">IF(J$10&lt;&gt;0,J12/J$10,0)</f>
        <v>0</v>
      </c>
      <c r="L12" s="37">
        <f>+月次PL!G4/1000</f>
        <v>0</v>
      </c>
      <c r="M12" s="73">
        <f>IF(L$10&lt;&gt;0,L12/L$10,0)</f>
        <v>0</v>
      </c>
      <c r="N12" s="37"/>
      <c r="O12" s="73">
        <f>IF(N$10&lt;&gt;0,N12/N$10,0)</f>
        <v>0</v>
      </c>
      <c r="P12" s="37"/>
      <c r="Q12" s="73">
        <f>IF(P$10&lt;&gt;0,P12/P$10,0)</f>
        <v>0</v>
      </c>
      <c r="R12" s="37"/>
      <c r="S12" s="73">
        <f>IF(R$10&lt;&gt;0,R12/R$10,0)</f>
        <v>0</v>
      </c>
      <c r="T12" s="37"/>
      <c r="U12" s="73">
        <f>IF(T$10&lt;&gt;0,T12/T$10,0)</f>
        <v>0</v>
      </c>
      <c r="V12" s="37"/>
      <c r="W12" s="73">
        <f>IF(V$10&lt;&gt;0,V12/V$10,0)</f>
        <v>0</v>
      </c>
      <c r="X12" s="37"/>
      <c r="Y12" s="73">
        <f>IF(X$10&lt;&gt;0,X12/X$10,0)</f>
        <v>0</v>
      </c>
      <c r="Z12" s="37"/>
      <c r="AA12" s="73">
        <f>IF(Z$10&lt;&gt;0,Z12/Z$10,0)</f>
        <v>0</v>
      </c>
    </row>
    <row r="13" spans="1:38" hidden="1" outlineLevel="1">
      <c r="C13" s="148">
        <f>+月次PL!B5</f>
        <v>0</v>
      </c>
      <c r="D13" s="445">
        <f>+月次PL!C5/1000</f>
        <v>0</v>
      </c>
      <c r="E13" s="446">
        <f t="shared" ref="E13:E15" si="2">IF(D$10&lt;&gt;0,D13/D$10,0)</f>
        <v>0</v>
      </c>
      <c r="F13" s="447">
        <f>+月次PL!D5/1000</f>
        <v>0</v>
      </c>
      <c r="G13" s="446">
        <f t="shared" ref="G13" si="3">IF(F$10&lt;&gt;0,F13/F$10,0)</f>
        <v>0</v>
      </c>
      <c r="H13" s="447">
        <f>+月次PL!E5/1000</f>
        <v>0</v>
      </c>
      <c r="I13" s="446">
        <f t="shared" si="0"/>
        <v>0</v>
      </c>
      <c r="J13" s="447">
        <f>+月次PL!F5/1000</f>
        <v>0</v>
      </c>
      <c r="K13" s="446">
        <f t="shared" si="1"/>
        <v>0</v>
      </c>
      <c r="L13" s="447">
        <f>+月次PL!G5/1000</f>
        <v>0</v>
      </c>
      <c r="M13" s="446">
        <f t="shared" ref="M13" si="4">IF(L$10&lt;&gt;0,L13/L$10,0)</f>
        <v>0</v>
      </c>
      <c r="N13" s="447"/>
      <c r="O13" s="446">
        <f t="shared" ref="O13" si="5">IF(N$10&lt;&gt;0,N13/N$10,0)</f>
        <v>0</v>
      </c>
      <c r="P13" s="447"/>
      <c r="Q13" s="446">
        <f t="shared" ref="Q13" si="6">IF(P$10&lt;&gt;0,P13/P$10,0)</f>
        <v>0</v>
      </c>
      <c r="R13" s="447"/>
      <c r="S13" s="446">
        <f t="shared" ref="S13" si="7">IF(R$10&lt;&gt;0,R13/R$10,0)</f>
        <v>0</v>
      </c>
      <c r="T13" s="447"/>
      <c r="U13" s="446">
        <f t="shared" ref="U13" si="8">IF(T$10&lt;&gt;0,T13/T$10,0)</f>
        <v>0</v>
      </c>
      <c r="V13" s="447"/>
      <c r="W13" s="446">
        <f t="shared" ref="W13" si="9">IF(V$10&lt;&gt;0,V13/V$10,0)</f>
        <v>0</v>
      </c>
      <c r="X13" s="447"/>
      <c r="Y13" s="446">
        <f t="shared" ref="Y13" si="10">IF(X$10&lt;&gt;0,X13/X$10,0)</f>
        <v>0</v>
      </c>
      <c r="Z13" s="447"/>
      <c r="AA13" s="446">
        <f t="shared" ref="AA13" si="11">IF(Z$10&lt;&gt;0,Z13/Z$10,0)</f>
        <v>0</v>
      </c>
    </row>
    <row r="14" spans="1:38" hidden="1" outlineLevel="1">
      <c r="B14" s="448"/>
      <c r="C14" s="5">
        <f>+月次PL!B6</f>
        <v>0</v>
      </c>
      <c r="D14" s="147">
        <f>+月次PL!C6/1000</f>
        <v>0</v>
      </c>
      <c r="E14" s="73">
        <f>IF(D$10&lt;&gt;0,D14/D$10,0)</f>
        <v>0</v>
      </c>
      <c r="F14" s="37">
        <f>+月次PL!D6/1000</f>
        <v>0</v>
      </c>
      <c r="G14" s="73">
        <f>IF(F$10&lt;&gt;0,F14/F$10,0)</f>
        <v>0</v>
      </c>
      <c r="H14" s="37">
        <f>+月次PL!E6/1000</f>
        <v>0</v>
      </c>
      <c r="I14" s="73">
        <f t="shared" si="0"/>
        <v>0</v>
      </c>
      <c r="J14" s="37">
        <f>+月次PL!F6/1000</f>
        <v>0</v>
      </c>
      <c r="K14" s="73">
        <f t="shared" si="1"/>
        <v>0</v>
      </c>
      <c r="L14" s="37">
        <f>+月次PL!G6/1000</f>
        <v>0</v>
      </c>
      <c r="M14" s="73">
        <f>IF(L$10&lt;&gt;0,L14/L$10,0)</f>
        <v>0</v>
      </c>
      <c r="N14" s="37"/>
      <c r="O14" s="73">
        <f>IF(N$10&lt;&gt;0,N14/N$10,0)</f>
        <v>0</v>
      </c>
      <c r="P14" s="37"/>
      <c r="Q14" s="73">
        <f>IF(P$10&lt;&gt;0,P14/P$10,0)</f>
        <v>0</v>
      </c>
      <c r="R14" s="37"/>
      <c r="S14" s="73">
        <f>IF(R$10&lt;&gt;0,R14/R$10,0)</f>
        <v>0</v>
      </c>
      <c r="T14" s="37"/>
      <c r="U14" s="73">
        <f>IF(T$10&lt;&gt;0,T14/T$10,0)</f>
        <v>0</v>
      </c>
      <c r="V14" s="37"/>
      <c r="W14" s="73">
        <f>IF(V$10&lt;&gt;0,V14/V$10,0)</f>
        <v>0</v>
      </c>
      <c r="X14" s="37"/>
      <c r="Y14" s="73">
        <f>IF(X$10&lt;&gt;0,X14/X$10,0)</f>
        <v>0</v>
      </c>
      <c r="Z14" s="37"/>
      <c r="AA14" s="73">
        <f>IF(Z$10&lt;&gt;0,Z14/Z$10,0)</f>
        <v>0</v>
      </c>
    </row>
    <row r="15" spans="1:38" s="6" customFormat="1" hidden="1" outlineLevel="1">
      <c r="C15" s="30">
        <f>+月次PL!B7</f>
        <v>0</v>
      </c>
      <c r="D15" s="449">
        <f>+月次PL!C7/1000</f>
        <v>0</v>
      </c>
      <c r="E15" s="450">
        <f t="shared" si="2"/>
        <v>0</v>
      </c>
      <c r="F15" s="451">
        <f>+月次PL!D7/1000</f>
        <v>0</v>
      </c>
      <c r="G15" s="450">
        <f t="shared" ref="G15" si="12">IF(F$10&lt;&gt;0,F15/F$10,0)</f>
        <v>0</v>
      </c>
      <c r="H15" s="451">
        <f>+月次PL!E7/1000</f>
        <v>0</v>
      </c>
      <c r="I15" s="450">
        <f t="shared" si="0"/>
        <v>0</v>
      </c>
      <c r="J15" s="451">
        <f>+月次PL!F7/1000</f>
        <v>0</v>
      </c>
      <c r="K15" s="450">
        <f t="shared" si="1"/>
        <v>0</v>
      </c>
      <c r="L15" s="451">
        <f>+月次PL!G7/1000</f>
        <v>0</v>
      </c>
      <c r="M15" s="450">
        <f t="shared" ref="M15" si="13">IF(L$10&lt;&gt;0,L15/L$10,0)</f>
        <v>0</v>
      </c>
      <c r="N15" s="451"/>
      <c r="O15" s="450">
        <f t="shared" ref="O15" si="14">IF(N$10&lt;&gt;0,N15/N$10,0)</f>
        <v>0</v>
      </c>
      <c r="P15" s="451"/>
      <c r="Q15" s="450">
        <f t="shared" ref="Q15" si="15">IF(P$10&lt;&gt;0,P15/P$10,0)</f>
        <v>0</v>
      </c>
      <c r="R15" s="451"/>
      <c r="S15" s="450">
        <f t="shared" ref="S15" si="16">IF(R$10&lt;&gt;0,R15/R$10,0)</f>
        <v>0</v>
      </c>
      <c r="T15" s="451"/>
      <c r="U15" s="450">
        <f t="shared" ref="U15" si="17">IF(T$10&lt;&gt;0,T15/T$10,0)</f>
        <v>0</v>
      </c>
      <c r="V15" s="451"/>
      <c r="W15" s="450">
        <f t="shared" ref="W15" si="18">IF(V$10&lt;&gt;0,V15/V$10,0)</f>
        <v>0</v>
      </c>
      <c r="X15" s="451"/>
      <c r="Y15" s="450">
        <f t="shared" ref="Y15" si="19">IF(X$10&lt;&gt;0,X15/X$10,0)</f>
        <v>0</v>
      </c>
      <c r="Z15" s="451"/>
      <c r="AA15" s="450">
        <f t="shared" ref="AA15" si="20">IF(Z$10&lt;&gt;0,Z15/Z$10,0)</f>
        <v>0</v>
      </c>
    </row>
    <row r="16" spans="1:38" s="490" customFormat="1" collapsed="1">
      <c r="B16" s="490" t="s">
        <v>130</v>
      </c>
      <c r="D16" s="491">
        <f>+月次PL!C15/1000</f>
        <v>0</v>
      </c>
      <c r="E16" s="492">
        <f>IF(D$10&lt;&gt;0,D16/D$10,0)</f>
        <v>0</v>
      </c>
      <c r="F16" s="493">
        <f>+月次PL!D15/1000</f>
        <v>0</v>
      </c>
      <c r="G16" s="492">
        <f>IF(F$10&lt;&gt;0,F16/F$10,0)</f>
        <v>0</v>
      </c>
      <c r="H16" s="493">
        <f>+月次PL!E15/1000</f>
        <v>0</v>
      </c>
      <c r="I16" s="492">
        <f>IF(H$10&lt;&gt;0,H16/H$10,0)</f>
        <v>0</v>
      </c>
      <c r="J16" s="493">
        <f>+月次PL!F15/1000</f>
        <v>0</v>
      </c>
      <c r="K16" s="492">
        <f>IF(J$10&lt;&gt;0,J16/J$10,0)</f>
        <v>0</v>
      </c>
      <c r="L16" s="493">
        <f>+月次PL!G15/1000</f>
        <v>0</v>
      </c>
      <c r="M16" s="492">
        <f>IF(L$10&lt;&gt;0,L16/L$10,0)</f>
        <v>0</v>
      </c>
      <c r="N16" s="493">
        <f>+月次PL!H15/1000</f>
        <v>0</v>
      </c>
      <c r="O16" s="492">
        <f>IF(N$10&lt;&gt;0,N16/N$10,0)</f>
        <v>0</v>
      </c>
      <c r="P16" s="493">
        <f>+月次PL!I15/1000</f>
        <v>0</v>
      </c>
      <c r="Q16" s="492">
        <f>IF(P$10&lt;&gt;0,P16/P$10,0)</f>
        <v>0</v>
      </c>
      <c r="R16" s="493">
        <f>+月次PL!J15/1000</f>
        <v>0</v>
      </c>
      <c r="S16" s="492">
        <f>IF(R$10&lt;&gt;0,R16/R$10,0)</f>
        <v>0</v>
      </c>
      <c r="T16" s="493">
        <f>+月次PL!K15/1000</f>
        <v>0</v>
      </c>
      <c r="U16" s="492">
        <f>IF(T$10&lt;&gt;0,T16/T$10,0)</f>
        <v>0</v>
      </c>
      <c r="V16" s="493">
        <f>+月次PL!L15/1000</f>
        <v>0</v>
      </c>
      <c r="W16" s="492">
        <f>IF(V$10&lt;&gt;0,V16/V$10,0)</f>
        <v>0</v>
      </c>
      <c r="X16" s="493">
        <f>+月次PL!M15/1000</f>
        <v>0</v>
      </c>
      <c r="Y16" s="492">
        <f>IF(X$10&lt;&gt;0,X16/X$10,0)</f>
        <v>0</v>
      </c>
      <c r="Z16" s="493">
        <f>+月次PL!N15/1000</f>
        <v>0</v>
      </c>
      <c r="AA16" s="492">
        <f>IF(Z$10&lt;&gt;0,Z16/Z$10,0)</f>
        <v>0</v>
      </c>
    </row>
    <row r="17" spans="2:28">
      <c r="C17" s="443">
        <f>+月次PL!B10</f>
        <v>0</v>
      </c>
      <c r="D17" s="150">
        <f>+月次PL!C10/1000</f>
        <v>0</v>
      </c>
      <c r="E17" s="78">
        <f>IF(D11&lt;&gt;0,D17/D11,0)</f>
        <v>0</v>
      </c>
      <c r="F17" s="76">
        <f>+月次PL!D10/1000</f>
        <v>0</v>
      </c>
      <c r="G17" s="78">
        <f>IF(F11&lt;&gt;0,F17/F11,0)</f>
        <v>0</v>
      </c>
      <c r="H17" s="76">
        <f>+月次PL!E10/1000</f>
        <v>0</v>
      </c>
      <c r="I17" s="78">
        <f>IF(H11&lt;&gt;0,H17/H11,0)</f>
        <v>0</v>
      </c>
      <c r="J17" s="76">
        <f>+月次PL!F10/1000</f>
        <v>0</v>
      </c>
      <c r="K17" s="78">
        <f>IF(J11&lt;&gt;0,J17/J11,0)</f>
        <v>0</v>
      </c>
      <c r="L17" s="76">
        <f>+月次PL!G10/1000</f>
        <v>0</v>
      </c>
      <c r="M17" s="78">
        <f>IF(L11&lt;&gt;0,L17/L11,0)</f>
        <v>0</v>
      </c>
      <c r="N17" s="76"/>
      <c r="O17" s="78">
        <f>IF(N11&lt;&gt;0,N17/N11,0)</f>
        <v>0</v>
      </c>
      <c r="P17" s="76"/>
      <c r="Q17" s="78">
        <f>IF(P11&lt;&gt;0,P17/P11,0)</f>
        <v>0</v>
      </c>
      <c r="R17" s="76"/>
      <c r="S17" s="78">
        <f>IF(R11&lt;&gt;0,R17/R11,0)</f>
        <v>0</v>
      </c>
      <c r="T17" s="76"/>
      <c r="U17" s="78">
        <f>IF(T11&lt;&gt;0,T17/T11,0)</f>
        <v>0</v>
      </c>
      <c r="V17" s="76"/>
      <c r="W17" s="78">
        <f>IF(V11&lt;&gt;0,V17/V11,0)</f>
        <v>0</v>
      </c>
      <c r="X17" s="76"/>
      <c r="Y17" s="78">
        <f>IF(X11&lt;&gt;0,X17/X11,0)</f>
        <v>0</v>
      </c>
      <c r="Z17" s="76"/>
      <c r="AA17" s="78">
        <f>IF(Z11&lt;&gt;0,Z17/Z11,0)</f>
        <v>0</v>
      </c>
    </row>
    <row r="18" spans="2:28" hidden="1" outlineLevel="1">
      <c r="C18" s="5"/>
      <c r="D18" s="147"/>
      <c r="E18" s="73">
        <f>IF(D12&lt;&gt;0,D18/D12,0)</f>
        <v>0</v>
      </c>
      <c r="F18" s="37"/>
      <c r="G18" s="73">
        <f>IF(F12&lt;&gt;0,F18/F12,0)</f>
        <v>0</v>
      </c>
      <c r="H18" s="37"/>
      <c r="I18" s="73">
        <f>IF(H12&lt;&gt;0,H18/H12,0)</f>
        <v>0</v>
      </c>
      <c r="J18" s="37"/>
      <c r="K18" s="73">
        <f>IF(J12&lt;&gt;0,J18/J12,0)</f>
        <v>0</v>
      </c>
      <c r="L18" s="37"/>
      <c r="M18" s="73">
        <f>IF(L12&lt;&gt;0,L18/L12,0)</f>
        <v>0</v>
      </c>
      <c r="N18" s="37"/>
      <c r="O18" s="73">
        <f>IF(N12&lt;&gt;0,N18/N12,0)</f>
        <v>0</v>
      </c>
      <c r="P18" s="37"/>
      <c r="Q18" s="73">
        <f>IF(P12&lt;&gt;0,P18/P12,0)</f>
        <v>0</v>
      </c>
      <c r="R18" s="37"/>
      <c r="S18" s="73">
        <f>IF(R12&lt;&gt;0,R18/R12,0)</f>
        <v>0</v>
      </c>
      <c r="T18" s="37"/>
      <c r="U18" s="73">
        <f>IF(T12&lt;&gt;0,T18/T12,0)</f>
        <v>0</v>
      </c>
      <c r="V18" s="37"/>
      <c r="W18" s="73">
        <f>IF(V12&lt;&gt;0,V18/V12,0)</f>
        <v>0</v>
      </c>
      <c r="X18" s="37"/>
      <c r="Y18" s="73">
        <f>IF(X12&lt;&gt;0,X18/X12,0)</f>
        <v>0</v>
      </c>
      <c r="Z18" s="37"/>
      <c r="AA18" s="73">
        <f>IF(Z12&lt;&gt;0,Z18/Z12,0)</f>
        <v>0</v>
      </c>
    </row>
    <row r="19" spans="2:28" hidden="1" outlineLevel="1">
      <c r="C19" s="148"/>
      <c r="D19" s="445"/>
      <c r="E19" s="73">
        <f>IF(D13&lt;&gt;0,D19/D13,0)</f>
        <v>0</v>
      </c>
      <c r="F19" s="447"/>
      <c r="G19" s="73">
        <f>IF(F13&lt;&gt;0,F19/F13,0)</f>
        <v>0</v>
      </c>
      <c r="H19" s="447"/>
      <c r="I19" s="73">
        <f>IF(H13&lt;&gt;0,H19/H13,0)</f>
        <v>0</v>
      </c>
      <c r="J19" s="447"/>
      <c r="K19" s="73">
        <f>IF(J13&lt;&gt;0,J19/J13,0)</f>
        <v>0</v>
      </c>
      <c r="L19" s="447"/>
      <c r="M19" s="73">
        <f>IF(L13&lt;&gt;0,L19/L13,0)</f>
        <v>0</v>
      </c>
      <c r="N19" s="447"/>
      <c r="O19" s="73">
        <f>IF(N13&lt;&gt;0,N19/N13,0)</f>
        <v>0</v>
      </c>
      <c r="P19" s="447"/>
      <c r="Q19" s="73">
        <f>IF(P13&lt;&gt;0,P19/P13,0)</f>
        <v>0</v>
      </c>
      <c r="R19" s="447"/>
      <c r="S19" s="73">
        <f>IF(R13&lt;&gt;0,R19/R13,0)</f>
        <v>0</v>
      </c>
      <c r="T19" s="447"/>
      <c r="U19" s="73">
        <f>IF(T13&lt;&gt;0,T19/T13,0)</f>
        <v>0</v>
      </c>
      <c r="V19" s="447"/>
      <c r="W19" s="73">
        <f>IF(V13&lt;&gt;0,V19/V13,0)</f>
        <v>0</v>
      </c>
      <c r="X19" s="447"/>
      <c r="Y19" s="73">
        <f>IF(X13&lt;&gt;0,X19/X13,0)</f>
        <v>0</v>
      </c>
      <c r="Z19" s="447"/>
      <c r="AA19" s="73">
        <f>IF(Z13&lt;&gt;0,Z19/Z13,0)</f>
        <v>0</v>
      </c>
    </row>
    <row r="20" spans="2:28" hidden="1" outlineLevel="1">
      <c r="B20" s="448"/>
      <c r="C20" s="5"/>
      <c r="D20" s="147"/>
      <c r="E20" s="73">
        <f>IF(D14&lt;&gt;0,D20/D14,0)</f>
        <v>0</v>
      </c>
      <c r="F20" s="37"/>
      <c r="G20" s="73">
        <f>IF(F14&lt;&gt;0,F20/F14,0)</f>
        <v>0</v>
      </c>
      <c r="H20" s="37"/>
      <c r="I20" s="73">
        <f>IF(H14&lt;&gt;0,H20/H14,0)</f>
        <v>0</v>
      </c>
      <c r="J20" s="37"/>
      <c r="K20" s="73">
        <f>IF(J14&lt;&gt;0,J20/J14,0)</f>
        <v>0</v>
      </c>
      <c r="L20" s="37"/>
      <c r="M20" s="73">
        <f>IF(L14&lt;&gt;0,L20/L14,0)</f>
        <v>0</v>
      </c>
      <c r="N20" s="37"/>
      <c r="O20" s="73">
        <f>IF(N14&lt;&gt;0,N20/N14,0)</f>
        <v>0</v>
      </c>
      <c r="P20" s="37"/>
      <c r="Q20" s="73">
        <f>IF(P14&lt;&gt;0,P20/P14,0)</f>
        <v>0</v>
      </c>
      <c r="R20" s="37"/>
      <c r="S20" s="73">
        <f>IF(R14&lt;&gt;0,R20/R14,0)</f>
        <v>0</v>
      </c>
      <c r="T20" s="37"/>
      <c r="U20" s="73">
        <f>IF(T14&lt;&gt;0,T20/T14,0)</f>
        <v>0</v>
      </c>
      <c r="V20" s="37"/>
      <c r="W20" s="73">
        <f>IF(V14&lt;&gt;0,V20/V14,0)</f>
        <v>0</v>
      </c>
      <c r="X20" s="37"/>
      <c r="Y20" s="73">
        <f>IF(X14&lt;&gt;0,X20/X14,0)</f>
        <v>0</v>
      </c>
      <c r="Z20" s="37"/>
      <c r="AA20" s="73">
        <f>IF(Z14&lt;&gt;0,Z20/Z14,0)</f>
        <v>0</v>
      </c>
    </row>
    <row r="21" spans="2:28" s="6" customFormat="1" hidden="1" outlineLevel="1">
      <c r="C21" s="30"/>
      <c r="D21" s="449"/>
      <c r="E21" s="450">
        <f>IF(D15&lt;&gt;0,D21/D15,0)</f>
        <v>0</v>
      </c>
      <c r="F21" s="451"/>
      <c r="G21" s="450">
        <f>IF(F15&lt;&gt;0,F21/F15,0)</f>
        <v>0</v>
      </c>
      <c r="H21" s="451"/>
      <c r="I21" s="450">
        <f>IF(H15&lt;&gt;0,H21/H15,0)</f>
        <v>0</v>
      </c>
      <c r="J21" s="451"/>
      <c r="K21" s="450">
        <f>IF(J15&lt;&gt;0,J21/J15,0)</f>
        <v>0</v>
      </c>
      <c r="L21" s="451"/>
      <c r="M21" s="450">
        <f>IF(L15&lt;&gt;0,L21/L15,0)</f>
        <v>0</v>
      </c>
      <c r="N21" s="451"/>
      <c r="O21" s="450">
        <f>IF(N15&lt;&gt;0,N21/N15,0)</f>
        <v>0</v>
      </c>
      <c r="P21" s="451"/>
      <c r="Q21" s="450">
        <f>IF(P15&lt;&gt;0,P21/P15,0)</f>
        <v>0</v>
      </c>
      <c r="R21" s="451"/>
      <c r="S21" s="450">
        <f>IF(R15&lt;&gt;0,R21/R15,0)</f>
        <v>0</v>
      </c>
      <c r="T21" s="451"/>
      <c r="U21" s="450">
        <f>IF(T15&lt;&gt;0,T21/T15,0)</f>
        <v>0</v>
      </c>
      <c r="V21" s="451"/>
      <c r="W21" s="450">
        <f>IF(V15&lt;&gt;0,V21/V15,0)</f>
        <v>0</v>
      </c>
      <c r="X21" s="451"/>
      <c r="Y21" s="450">
        <f>IF(X15&lt;&gt;0,X21/X15,0)</f>
        <v>0</v>
      </c>
      <c r="Z21" s="451"/>
      <c r="AA21" s="450">
        <f>IF(Z15&lt;&gt;0,Z21/Z15,0)</f>
        <v>0</v>
      </c>
    </row>
    <row r="22" spans="2:28" s="490" customFormat="1" collapsed="1">
      <c r="B22" s="490" t="s">
        <v>131</v>
      </c>
      <c r="D22" s="491">
        <f t="shared" ref="D22" si="21">+D10-D16</f>
        <v>622.83299999999997</v>
      </c>
      <c r="E22" s="492">
        <f>IF(D$10&lt;&gt;0,D22/D$10,0)</f>
        <v>1</v>
      </c>
      <c r="F22" s="493">
        <f t="shared" ref="F22:F27" si="22">+F10-F16</f>
        <v>559.84199999999998</v>
      </c>
      <c r="G22" s="492">
        <f>IF(F$10&lt;&gt;0,F22/F$10,0)</f>
        <v>1</v>
      </c>
      <c r="H22" s="493">
        <f t="shared" ref="H22:H27" si="23">+H10-H16</f>
        <v>571.65599999999995</v>
      </c>
      <c r="I22" s="492">
        <f>IF(H$10&lt;&gt;0,H22/H$10,0)</f>
        <v>1</v>
      </c>
      <c r="J22" s="493">
        <f t="shared" ref="J22:J27" si="24">+J10-J16</f>
        <v>571.67999999999995</v>
      </c>
      <c r="K22" s="492">
        <f>IF(J$10&lt;&gt;0,J22/J$10,0)</f>
        <v>1</v>
      </c>
      <c r="L22" s="493">
        <f t="shared" ref="L22:L27" si="25">+L10-L16</f>
        <v>482.54199999999997</v>
      </c>
      <c r="M22" s="492">
        <f>IF(L$10&lt;&gt;0,L22/L$10,0)</f>
        <v>1</v>
      </c>
      <c r="N22" s="493">
        <f t="shared" ref="N22:N27" si="26">+N10-N16</f>
        <v>568.07500000000005</v>
      </c>
      <c r="O22" s="492">
        <f>IF(N$10&lt;&gt;0,N22/N$10,0)</f>
        <v>1</v>
      </c>
      <c r="P22" s="493">
        <f t="shared" ref="P22:P27" si="27">+P10-P16</f>
        <v>573.04499999999996</v>
      </c>
      <c r="Q22" s="492">
        <f>IF(P$10&lt;&gt;0,P22/P$10,0)</f>
        <v>1</v>
      </c>
      <c r="R22" s="493">
        <f t="shared" ref="R22:R27" si="28">+R10-R16</f>
        <v>566.15800000000002</v>
      </c>
      <c r="S22" s="492">
        <f>IF(R$10&lt;&gt;0,R22/R$10,0)</f>
        <v>1</v>
      </c>
      <c r="T22" s="493">
        <f t="shared" ref="T22:T27" si="29">+T10-T16</f>
        <v>643.46699999999998</v>
      </c>
      <c r="U22" s="492">
        <f>IF(T$10&lt;&gt;0,T22/T$10,0)</f>
        <v>1</v>
      </c>
      <c r="V22" s="493">
        <f t="shared" ref="V22:V27" si="30">+V10-V16</f>
        <v>1030.617</v>
      </c>
      <c r="W22" s="492">
        <f>IF(V$10&lt;&gt;0,V22/V$10,0)</f>
        <v>1</v>
      </c>
      <c r="X22" s="493">
        <f t="shared" ref="X22:X27" si="31">+X10-X16</f>
        <v>890.404</v>
      </c>
      <c r="Y22" s="492">
        <f>IF(X$10&lt;&gt;0,X22/X$10,0)</f>
        <v>1</v>
      </c>
      <c r="Z22" s="493">
        <f t="shared" ref="Z22:Z27" si="32">+Z10-Z16</f>
        <v>988.47500000000002</v>
      </c>
      <c r="AA22" s="492">
        <f>IF(Z$10&lt;&gt;0,Z22/Z$10,0)</f>
        <v>1</v>
      </c>
    </row>
    <row r="23" spans="2:28" s="175" customFormat="1" hidden="1" outlineLevel="1">
      <c r="C23" s="180"/>
      <c r="D23" s="181"/>
      <c r="E23" s="77">
        <f>IF(D11&lt;&gt;0,D23/D11,0)</f>
        <v>0</v>
      </c>
      <c r="F23" s="182">
        <f t="shared" si="22"/>
        <v>559.84199999999998</v>
      </c>
      <c r="G23" s="77">
        <f>IF(F11&lt;&gt;0,F23/F11,0)</f>
        <v>1</v>
      </c>
      <c r="H23" s="182">
        <f>+H11-H17</f>
        <v>571.65599999999995</v>
      </c>
      <c r="I23" s="77">
        <f>IF(H11&lt;&gt;0,H23/H11,0)</f>
        <v>1</v>
      </c>
      <c r="J23" s="182">
        <f t="shared" si="24"/>
        <v>571.67999999999995</v>
      </c>
      <c r="K23" s="77">
        <f>IF(J11&lt;&gt;0,J23/J11,0)</f>
        <v>1</v>
      </c>
      <c r="L23" s="182">
        <f t="shared" si="25"/>
        <v>482.54199999999997</v>
      </c>
      <c r="M23" s="77">
        <f>IF(L11&lt;&gt;0,L23/L11,0)</f>
        <v>1</v>
      </c>
      <c r="N23" s="182">
        <f t="shared" si="26"/>
        <v>568.07500000000005</v>
      </c>
      <c r="O23" s="77">
        <f>IF(N11&lt;&gt;0,N23/N11,0)</f>
        <v>1</v>
      </c>
      <c r="P23" s="182">
        <f t="shared" si="27"/>
        <v>573.04499999999996</v>
      </c>
      <c r="Q23" s="77">
        <f>IF(P11&lt;&gt;0,P23/P11,0)</f>
        <v>1</v>
      </c>
      <c r="R23" s="182">
        <f t="shared" si="28"/>
        <v>566.15800000000002</v>
      </c>
      <c r="S23" s="77">
        <f>IF(R11&lt;&gt;0,R23/R11,0)</f>
        <v>1</v>
      </c>
      <c r="T23" s="182">
        <f t="shared" si="29"/>
        <v>643.46699999999998</v>
      </c>
      <c r="U23" s="77">
        <f>IF(T11&lt;&gt;0,T23/T11,0)</f>
        <v>1</v>
      </c>
      <c r="V23" s="182">
        <f t="shared" si="30"/>
        <v>1030.617</v>
      </c>
      <c r="W23" s="77">
        <f>IF(V11&lt;&gt;0,V23/V11,0)</f>
        <v>1</v>
      </c>
      <c r="X23" s="182">
        <f t="shared" si="31"/>
        <v>890.404</v>
      </c>
      <c r="Y23" s="77">
        <f>IF(X11&lt;&gt;0,X23/X11,0)</f>
        <v>1</v>
      </c>
      <c r="Z23" s="182">
        <f t="shared" si="32"/>
        <v>0</v>
      </c>
      <c r="AA23" s="77">
        <f>IF(Z11&lt;&gt;0,Z23/Z11,0)</f>
        <v>0</v>
      </c>
    </row>
    <row r="24" spans="2:28" s="175" customFormat="1" hidden="1" outlineLevel="1">
      <c r="C24" s="176"/>
      <c r="D24" s="177"/>
      <c r="E24" s="38">
        <f>IF(D12&lt;&gt;0,D24/D12,0)</f>
        <v>0</v>
      </c>
      <c r="F24" s="178">
        <f t="shared" si="22"/>
        <v>0</v>
      </c>
      <c r="G24" s="38">
        <f>IF(F12&lt;&gt;0,F24/F12,0)</f>
        <v>0</v>
      </c>
      <c r="H24" s="178">
        <f t="shared" si="23"/>
        <v>0</v>
      </c>
      <c r="I24" s="38">
        <f>IF(H12&lt;&gt;0,H24/H12,0)</f>
        <v>0</v>
      </c>
      <c r="J24" s="178">
        <f t="shared" si="24"/>
        <v>0</v>
      </c>
      <c r="K24" s="38">
        <f>IF(J12&lt;&gt;0,J24/J12,0)</f>
        <v>0</v>
      </c>
      <c r="L24" s="178">
        <f t="shared" si="25"/>
        <v>0</v>
      </c>
      <c r="M24" s="38">
        <f>IF(L12&lt;&gt;0,L24/L12,0)</f>
        <v>0</v>
      </c>
      <c r="N24" s="178">
        <f t="shared" si="26"/>
        <v>0</v>
      </c>
      <c r="O24" s="38">
        <f>IF(N12&lt;&gt;0,N24/N12,0)</f>
        <v>0</v>
      </c>
      <c r="P24" s="178">
        <f t="shared" si="27"/>
        <v>0</v>
      </c>
      <c r="Q24" s="38">
        <f>IF(P12&lt;&gt;0,P24/P12,0)</f>
        <v>0</v>
      </c>
      <c r="R24" s="178">
        <f t="shared" si="28"/>
        <v>0</v>
      </c>
      <c r="S24" s="38">
        <f>IF(R12&lt;&gt;0,R24/R12,0)</f>
        <v>0</v>
      </c>
      <c r="T24" s="178">
        <f t="shared" si="29"/>
        <v>0</v>
      </c>
      <c r="U24" s="38">
        <f>IF(T12&lt;&gt;0,T24/T12,0)</f>
        <v>0</v>
      </c>
      <c r="V24" s="178">
        <f t="shared" si="30"/>
        <v>0</v>
      </c>
      <c r="W24" s="38">
        <f>IF(V12&lt;&gt;0,V24/V12,0)</f>
        <v>0</v>
      </c>
      <c r="X24" s="178">
        <f t="shared" si="31"/>
        <v>0</v>
      </c>
      <c r="Y24" s="38">
        <f>IF(X12&lt;&gt;0,X24/X12,0)</f>
        <v>0</v>
      </c>
      <c r="Z24" s="178">
        <f t="shared" si="32"/>
        <v>0</v>
      </c>
      <c r="AA24" s="38">
        <f>IF(Z12&lt;&gt;0,Z24/Z12,0)</f>
        <v>0</v>
      </c>
    </row>
    <row r="25" spans="2:28" s="175" customFormat="1" hidden="1" outlineLevel="1">
      <c r="C25" s="176"/>
      <c r="D25" s="177"/>
      <c r="E25" s="38">
        <f>IF(D13&lt;&gt;0,D25/D13,0)</f>
        <v>0</v>
      </c>
      <c r="F25" s="178">
        <f t="shared" si="22"/>
        <v>0</v>
      </c>
      <c r="G25" s="38">
        <f>IF(F13&lt;&gt;0,F25/F13,0)</f>
        <v>0</v>
      </c>
      <c r="H25" s="178">
        <f t="shared" si="23"/>
        <v>0</v>
      </c>
      <c r="I25" s="38">
        <f>IF(H13&lt;&gt;0,H25/H13,0)</f>
        <v>0</v>
      </c>
      <c r="J25" s="178">
        <f t="shared" si="24"/>
        <v>0</v>
      </c>
      <c r="K25" s="38">
        <f>IF(J13&lt;&gt;0,J25/J13,0)</f>
        <v>0</v>
      </c>
      <c r="L25" s="178">
        <f t="shared" si="25"/>
        <v>0</v>
      </c>
      <c r="M25" s="38">
        <f>IF(L13&lt;&gt;0,L25/L13,0)</f>
        <v>0</v>
      </c>
      <c r="N25" s="178">
        <f t="shared" si="26"/>
        <v>0</v>
      </c>
      <c r="O25" s="38">
        <f>IF(N13&lt;&gt;0,N25/N13,0)</f>
        <v>0</v>
      </c>
      <c r="P25" s="178">
        <f t="shared" si="27"/>
        <v>0</v>
      </c>
      <c r="Q25" s="38">
        <f>IF(P13&lt;&gt;0,P25/P13,0)</f>
        <v>0</v>
      </c>
      <c r="R25" s="178">
        <f t="shared" si="28"/>
        <v>0</v>
      </c>
      <c r="S25" s="38">
        <f>IF(R13&lt;&gt;0,R25/R13,0)</f>
        <v>0</v>
      </c>
      <c r="T25" s="178">
        <f t="shared" si="29"/>
        <v>0</v>
      </c>
      <c r="U25" s="38">
        <f>IF(T13&lt;&gt;0,T25/T13,0)</f>
        <v>0</v>
      </c>
      <c r="V25" s="178">
        <f t="shared" si="30"/>
        <v>0</v>
      </c>
      <c r="W25" s="38">
        <f>IF(V13&lt;&gt;0,V25/V13,0)</f>
        <v>0</v>
      </c>
      <c r="X25" s="178">
        <f t="shared" si="31"/>
        <v>0</v>
      </c>
      <c r="Y25" s="38">
        <f>IF(X13&lt;&gt;0,X25/X13,0)</f>
        <v>0</v>
      </c>
      <c r="Z25" s="178">
        <f t="shared" si="32"/>
        <v>0</v>
      </c>
      <c r="AA25" s="38">
        <f>IF(Z13&lt;&gt;0,Z25/Z13,0)</f>
        <v>0</v>
      </c>
    </row>
    <row r="26" spans="2:28" s="175" customFormat="1" hidden="1" outlineLevel="1">
      <c r="B26" s="286"/>
      <c r="C26" s="176"/>
      <c r="D26" s="177"/>
      <c r="E26" s="38">
        <f>IF(D14&lt;&gt;0,D26/D14,0)</f>
        <v>0</v>
      </c>
      <c r="F26" s="178">
        <f t="shared" si="22"/>
        <v>0</v>
      </c>
      <c r="G26" s="38">
        <f>IF(F14&lt;&gt;0,F26/F14,0)</f>
        <v>0</v>
      </c>
      <c r="H26" s="178">
        <f t="shared" si="23"/>
        <v>0</v>
      </c>
      <c r="I26" s="38">
        <f>IF(H14&lt;&gt;0,H26/H14,0)</f>
        <v>0</v>
      </c>
      <c r="J26" s="178">
        <f t="shared" si="24"/>
        <v>0</v>
      </c>
      <c r="K26" s="38">
        <f>IF(J14&lt;&gt;0,J26/J14,0)</f>
        <v>0</v>
      </c>
      <c r="L26" s="178">
        <f t="shared" si="25"/>
        <v>0</v>
      </c>
      <c r="M26" s="38">
        <f>IF(L14&lt;&gt;0,L26/L14,0)</f>
        <v>0</v>
      </c>
      <c r="N26" s="178">
        <f t="shared" si="26"/>
        <v>0</v>
      </c>
      <c r="O26" s="38">
        <f>IF(N14&lt;&gt;0,N26/N14,0)</f>
        <v>0</v>
      </c>
      <c r="P26" s="178">
        <f t="shared" si="27"/>
        <v>0</v>
      </c>
      <c r="Q26" s="38">
        <f>IF(P14&lt;&gt;0,P26/P14,0)</f>
        <v>0</v>
      </c>
      <c r="R26" s="178">
        <f t="shared" si="28"/>
        <v>0</v>
      </c>
      <c r="S26" s="38">
        <f>IF(R14&lt;&gt;0,R26/R14,0)</f>
        <v>0</v>
      </c>
      <c r="T26" s="178">
        <f t="shared" si="29"/>
        <v>0</v>
      </c>
      <c r="U26" s="38">
        <f>IF(T14&lt;&gt;0,T26/T14,0)</f>
        <v>0</v>
      </c>
      <c r="V26" s="178">
        <f t="shared" si="30"/>
        <v>0</v>
      </c>
      <c r="W26" s="38">
        <f>IF(V14&lt;&gt;0,V26/V14,0)</f>
        <v>0</v>
      </c>
      <c r="X26" s="178">
        <f t="shared" si="31"/>
        <v>0</v>
      </c>
      <c r="Y26" s="38">
        <f>IF(X14&lt;&gt;0,X26/X14,0)</f>
        <v>0</v>
      </c>
      <c r="Z26" s="178">
        <f t="shared" si="32"/>
        <v>0</v>
      </c>
      <c r="AA26" s="38">
        <f>IF(Z14&lt;&gt;0,Z26/Z14,0)</f>
        <v>0</v>
      </c>
      <c r="AB26" s="291"/>
    </row>
    <row r="27" spans="2:28" s="179" customFormat="1" hidden="1" outlineLevel="1">
      <c r="C27" s="287"/>
      <c r="D27" s="288"/>
      <c r="E27" s="289">
        <f>IF(D15&lt;&gt;0,D27/D15,0)</f>
        <v>0</v>
      </c>
      <c r="F27" s="290">
        <f t="shared" si="22"/>
        <v>0</v>
      </c>
      <c r="G27" s="289">
        <f>IF(F15&lt;&gt;0,F27/F15,0)</f>
        <v>0</v>
      </c>
      <c r="H27" s="290">
        <f t="shared" si="23"/>
        <v>0</v>
      </c>
      <c r="I27" s="289">
        <f>IF(H15&lt;&gt;0,H27/H15,0)</f>
        <v>0</v>
      </c>
      <c r="J27" s="290">
        <f t="shared" si="24"/>
        <v>0</v>
      </c>
      <c r="K27" s="289">
        <f>IF(J15&lt;&gt;0,J27/J15,0)</f>
        <v>0</v>
      </c>
      <c r="L27" s="290">
        <f t="shared" si="25"/>
        <v>0</v>
      </c>
      <c r="M27" s="289">
        <f>IF(L15&lt;&gt;0,L27/L15,0)</f>
        <v>0</v>
      </c>
      <c r="N27" s="290">
        <f t="shared" si="26"/>
        <v>0</v>
      </c>
      <c r="O27" s="289">
        <f>IF(N15&lt;&gt;0,N27/N15,0)</f>
        <v>0</v>
      </c>
      <c r="P27" s="290">
        <f t="shared" si="27"/>
        <v>0</v>
      </c>
      <c r="Q27" s="289">
        <f>IF(P15&lt;&gt;0,P27/P15,0)</f>
        <v>0</v>
      </c>
      <c r="R27" s="290">
        <f t="shared" si="28"/>
        <v>0</v>
      </c>
      <c r="S27" s="289">
        <f>IF(R15&lt;&gt;0,R27/R15,0)</f>
        <v>0</v>
      </c>
      <c r="T27" s="290">
        <f t="shared" si="29"/>
        <v>0</v>
      </c>
      <c r="U27" s="289">
        <f>IF(T15&lt;&gt;0,T27/T15,0)</f>
        <v>0</v>
      </c>
      <c r="V27" s="290">
        <f t="shared" si="30"/>
        <v>0</v>
      </c>
      <c r="W27" s="289">
        <f>IF(V15&lt;&gt;0,V27/V15,0)</f>
        <v>0</v>
      </c>
      <c r="X27" s="290">
        <f t="shared" si="31"/>
        <v>0</v>
      </c>
      <c r="Y27" s="289">
        <f>IF(X15&lt;&gt;0,X27/X15,0)</f>
        <v>0</v>
      </c>
      <c r="Z27" s="290">
        <f t="shared" si="32"/>
        <v>0</v>
      </c>
      <c r="AA27" s="289">
        <f>IF(Z15&lt;&gt;0,Z27/Z15,0)</f>
        <v>0</v>
      </c>
    </row>
    <row r="28" spans="2:28" s="490" customFormat="1" collapsed="1">
      <c r="B28" s="490" t="s">
        <v>132</v>
      </c>
      <c r="D28" s="491">
        <f>SUM(D29:D49)</f>
        <v>898.20300000000009</v>
      </c>
      <c r="E28" s="492">
        <f t="shared" ref="E28:E50" si="33">IF(D$10&lt;&gt;0,D28/D$10,0)</f>
        <v>1.4421249355766315</v>
      </c>
      <c r="F28" s="493">
        <f>SUM(F29:F49)</f>
        <v>567.923</v>
      </c>
      <c r="G28" s="492">
        <f t="shared" ref="G28:G50" si="34">IF(F$10&lt;&gt;0,F28/F$10,0)</f>
        <v>1.0144344297140979</v>
      </c>
      <c r="H28" s="493">
        <f t="shared" ref="H28:Z28" si="35">SUM(H29:H49)</f>
        <v>654.4</v>
      </c>
      <c r="I28" s="492">
        <f t="shared" ref="I28:I50" si="36">IF(H$10&lt;&gt;0,H28/H$10,0)</f>
        <v>1.1447443917320907</v>
      </c>
      <c r="J28" s="493">
        <f t="shared" si="35"/>
        <v>724.99099999999987</v>
      </c>
      <c r="K28" s="492">
        <f t="shared" ref="K28:K50" si="37">IF(J$10&lt;&gt;0,J28/J$10,0)</f>
        <v>1.2681762524489224</v>
      </c>
      <c r="L28" s="493">
        <f t="shared" si="35"/>
        <v>525.20299999999997</v>
      </c>
      <c r="M28" s="492">
        <f t="shared" ref="M28:M50" si="38">IF(L$10&lt;&gt;0,L28/L$10,0)</f>
        <v>1.0884088846152251</v>
      </c>
      <c r="N28" s="493">
        <f t="shared" si="35"/>
        <v>694.97799999999984</v>
      </c>
      <c r="O28" s="492">
        <f t="shared" ref="O28:O50" si="39">IF(N$10&lt;&gt;0,N28/N$10,0)</f>
        <v>1.223391277560181</v>
      </c>
      <c r="P28" s="493">
        <f t="shared" si="35"/>
        <v>674.11500000000001</v>
      </c>
      <c r="Q28" s="492">
        <f t="shared" ref="Q28:Q50" si="40">IF(P$10&lt;&gt;0,P28/P$10,0)</f>
        <v>1.1763735832264484</v>
      </c>
      <c r="R28" s="493">
        <f t="shared" si="35"/>
        <v>624.40699999999993</v>
      </c>
      <c r="S28" s="492">
        <f t="shared" ref="S28:S50" si="41">IF(R$10&lt;&gt;0,R28/R$10,0)</f>
        <v>1.1028847070958989</v>
      </c>
      <c r="T28" s="493">
        <f t="shared" si="35"/>
        <v>654.59799999999984</v>
      </c>
      <c r="U28" s="492">
        <f t="shared" ref="U28:U50" si="42">IF(T$10&lt;&gt;0,T28/T$10,0)</f>
        <v>1.0172984783990475</v>
      </c>
      <c r="V28" s="493">
        <f t="shared" si="35"/>
        <v>601.29099999999994</v>
      </c>
      <c r="W28" s="492">
        <f t="shared" ref="W28:W50" si="43">IF(V$10&lt;&gt;0,V28/V$10,0)</f>
        <v>0.58342817943038006</v>
      </c>
      <c r="X28" s="493">
        <f t="shared" si="35"/>
        <v>676.18900000000008</v>
      </c>
      <c r="Y28" s="492">
        <f t="shared" ref="Y28:Y50" si="44">IF(X$10&lt;&gt;0,X28/X$10,0)</f>
        <v>0.75941819668375266</v>
      </c>
      <c r="Z28" s="493">
        <f t="shared" si="35"/>
        <v>661.64100000000019</v>
      </c>
      <c r="AA28" s="492">
        <f t="shared" ref="AA28:AA50" si="45">IF(Z$10&lt;&gt;0,Z28/Z$10,0)</f>
        <v>0.66935532006373477</v>
      </c>
    </row>
    <row r="29" spans="2:28">
      <c r="C29" s="8" t="s">
        <v>133</v>
      </c>
      <c r="D29" s="150">
        <f>SUM(月次PL!C18:C25)/1000</f>
        <v>535.45600000000002</v>
      </c>
      <c r="E29" s="78">
        <f t="shared" si="33"/>
        <v>0.85971038785677711</v>
      </c>
      <c r="F29" s="76">
        <f>SUM(月次PL!D18:D25)/1000</f>
        <v>331.81900000000002</v>
      </c>
      <c r="G29" s="78">
        <f t="shared" si="34"/>
        <v>0.59270115496872333</v>
      </c>
      <c r="H29" s="76">
        <f>SUM(月次PL!E18:E25)/1000</f>
        <v>331.81900000000002</v>
      </c>
      <c r="I29" s="78">
        <f t="shared" si="36"/>
        <v>0.58045223001245516</v>
      </c>
      <c r="J29" s="76">
        <f>SUM(月次PL!F18:F25)/1000</f>
        <v>331.81900000000002</v>
      </c>
      <c r="K29" s="78">
        <f t="shared" si="37"/>
        <v>0.58042786174083416</v>
      </c>
      <c r="L29" s="76">
        <f>SUM(月次PL!G18:G25)/1000</f>
        <v>331.81900000000002</v>
      </c>
      <c r="M29" s="78">
        <f t="shared" si="38"/>
        <v>0.68764791458567343</v>
      </c>
      <c r="N29" s="76">
        <f>SUM(月次PL!H18:H25)/1000</f>
        <v>331.81900000000002</v>
      </c>
      <c r="O29" s="78">
        <f t="shared" si="39"/>
        <v>0.58411125291554811</v>
      </c>
      <c r="P29" s="76">
        <f>SUM(月次PL!I18:I25)/1000</f>
        <v>331.81900000000002</v>
      </c>
      <c r="Q29" s="78">
        <f t="shared" si="40"/>
        <v>0.57904527567643038</v>
      </c>
      <c r="R29" s="76">
        <f>SUM(月次PL!J18:J25)/1000</f>
        <v>331.81900000000002</v>
      </c>
      <c r="S29" s="78">
        <f t="shared" si="41"/>
        <v>0.58608904228148329</v>
      </c>
      <c r="T29" s="76">
        <f>SUM(月次PL!K18:K25)/1000</f>
        <v>331.81900000000002</v>
      </c>
      <c r="U29" s="78">
        <f t="shared" si="42"/>
        <v>0.51567368645167511</v>
      </c>
      <c r="V29" s="76">
        <f>SUM(月次PL!L18:L25)/1000</f>
        <v>331.81900000000002</v>
      </c>
      <c r="W29" s="78">
        <f t="shared" si="43"/>
        <v>0.32196150461325596</v>
      </c>
      <c r="X29" s="76">
        <f>SUM(月次PL!M18:M25)/1000</f>
        <v>331.81900000000002</v>
      </c>
      <c r="Y29" s="78">
        <f t="shared" si="44"/>
        <v>0.37266117402886784</v>
      </c>
      <c r="Z29" s="76">
        <f>SUM(月次PL!N18:N25)/1000</f>
        <v>331.81900000000002</v>
      </c>
      <c r="AA29" s="78">
        <f t="shared" si="45"/>
        <v>0.33568780191709452</v>
      </c>
    </row>
    <row r="30" spans="2:28">
      <c r="C30" s="5" t="s">
        <v>199</v>
      </c>
      <c r="D30" s="147">
        <f>+月次PL!C28/1000</f>
        <v>9.7200000000000006</v>
      </c>
      <c r="E30" s="73">
        <f t="shared" si="33"/>
        <v>1.5606109502868348E-2</v>
      </c>
      <c r="F30" s="37">
        <f>+月次PL!D28/1000</f>
        <v>5.3710000000000004</v>
      </c>
      <c r="G30" s="73">
        <f t="shared" si="34"/>
        <v>9.59377824457615E-3</v>
      </c>
      <c r="H30" s="37">
        <f>+月次PL!E28/1000</f>
        <v>8.9659999999999993</v>
      </c>
      <c r="I30" s="73">
        <f t="shared" si="36"/>
        <v>1.5684257665449151E-2</v>
      </c>
      <c r="J30" s="37">
        <f>+月次PL!F28/1000</f>
        <v>74.103999999999999</v>
      </c>
      <c r="K30" s="73">
        <f t="shared" si="37"/>
        <v>0.12962496501539322</v>
      </c>
      <c r="L30" s="37">
        <f>+月次PL!G28/1000</f>
        <v>6.6929999999999996</v>
      </c>
      <c r="M30" s="73">
        <f t="shared" si="38"/>
        <v>1.387029522818739E-2</v>
      </c>
      <c r="N30" s="37">
        <f>+月次PL!H28/1000</f>
        <v>1.9279999999999999</v>
      </c>
      <c r="O30" s="73">
        <f t="shared" si="39"/>
        <v>3.3939180565946392E-3</v>
      </c>
      <c r="P30" s="37">
        <f>+月次PL!I28/1000</f>
        <v>101.04300000000001</v>
      </c>
      <c r="Q30" s="73">
        <f t="shared" si="40"/>
        <v>0.1763264665078659</v>
      </c>
      <c r="R30" s="37">
        <f>+月次PL!J28/1000</f>
        <v>5.5469999999999997</v>
      </c>
      <c r="S30" s="73">
        <f t="shared" si="41"/>
        <v>9.7976183326915801E-3</v>
      </c>
      <c r="T30" s="37">
        <f>+月次PL!K28/1000</f>
        <v>1.091</v>
      </c>
      <c r="U30" s="73">
        <f t="shared" si="42"/>
        <v>1.6955026442692478E-3</v>
      </c>
      <c r="V30" s="37">
        <f>+月次PL!L28/1000</f>
        <v>0</v>
      </c>
      <c r="W30" s="73">
        <f t="shared" si="43"/>
        <v>0</v>
      </c>
      <c r="X30" s="37">
        <f>+月次PL!M28/1000</f>
        <v>57.463999999999999</v>
      </c>
      <c r="Y30" s="73">
        <f t="shared" si="44"/>
        <v>6.4536996689143353E-2</v>
      </c>
      <c r="Z30" s="37">
        <f>+月次PL!N28/1000</f>
        <v>24.861999999999998</v>
      </c>
      <c r="AA30" s="73">
        <f t="shared" si="45"/>
        <v>2.5151875363565085E-2</v>
      </c>
    </row>
    <row r="31" spans="2:28">
      <c r="C31" s="5" t="s">
        <v>200</v>
      </c>
      <c r="D31" s="147">
        <f>+月次PL!C29/1000</f>
        <v>1.2</v>
      </c>
      <c r="E31" s="73">
        <f t="shared" si="33"/>
        <v>1.9266801855393019E-3</v>
      </c>
      <c r="F31" s="37">
        <f>+月次PL!D29/1000</f>
        <v>55.56</v>
      </c>
      <c r="G31" s="73">
        <f t="shared" si="34"/>
        <v>9.9242286216468231E-2</v>
      </c>
      <c r="H31" s="37">
        <f>+月次PL!E29/1000</f>
        <v>54.96</v>
      </c>
      <c r="I31" s="73">
        <f t="shared" si="36"/>
        <v>9.61417355892355E-2</v>
      </c>
      <c r="J31" s="37">
        <f>+月次PL!F29/1000</f>
        <v>1.2</v>
      </c>
      <c r="K31" s="73">
        <f t="shared" si="37"/>
        <v>2.0990764063811922E-3</v>
      </c>
      <c r="L31" s="37">
        <f>+月次PL!G29/1000</f>
        <v>1.2</v>
      </c>
      <c r="M31" s="73">
        <f t="shared" si="38"/>
        <v>2.4868301619340909E-3</v>
      </c>
      <c r="N31" s="37">
        <f>+月次PL!H29/1000</f>
        <v>78.959999999999994</v>
      </c>
      <c r="O31" s="73">
        <f t="shared" si="39"/>
        <v>0.13899573119746511</v>
      </c>
      <c r="P31" s="37">
        <f>+月次PL!I29/1000</f>
        <v>3.8370000000000002</v>
      </c>
      <c r="Q31" s="73">
        <f t="shared" si="40"/>
        <v>6.6958092296416517E-3</v>
      </c>
      <c r="R31" s="37">
        <f>+月次PL!J29/1000</f>
        <v>57.597000000000001</v>
      </c>
      <c r="S31" s="73">
        <f t="shared" si="41"/>
        <v>0.10173308511051685</v>
      </c>
      <c r="T31" s="37">
        <f>+月次PL!K29/1000</f>
        <v>18.513000000000002</v>
      </c>
      <c r="U31" s="73">
        <f t="shared" si="42"/>
        <v>2.8770706190061033E-2</v>
      </c>
      <c r="V31" s="37">
        <f>+月次PL!L29/1000</f>
        <v>27.326000000000001</v>
      </c>
      <c r="W31" s="73">
        <f t="shared" si="43"/>
        <v>2.6514214300753822E-2</v>
      </c>
      <c r="X31" s="37">
        <f>+月次PL!M29/1000</f>
        <v>71.599000000000004</v>
      </c>
      <c r="Y31" s="73">
        <f t="shared" si="44"/>
        <v>8.0411813064631341E-2</v>
      </c>
      <c r="Z31" s="37">
        <f>+月次PL!N29/1000</f>
        <v>62.331000000000003</v>
      </c>
      <c r="AA31" s="73">
        <f t="shared" si="45"/>
        <v>6.3057740458787523E-2</v>
      </c>
    </row>
    <row r="32" spans="2:28" outlineLevel="1">
      <c r="C32" s="5" t="s">
        <v>369</v>
      </c>
      <c r="D32" s="147">
        <f>+月次PL!C44/1000</f>
        <v>140</v>
      </c>
      <c r="E32" s="73">
        <f t="shared" si="33"/>
        <v>0.22477935497958523</v>
      </c>
      <c r="F32" s="37">
        <f>+月次PL!D44/1000</f>
        <v>14.004</v>
      </c>
      <c r="G32" s="73">
        <f t="shared" si="34"/>
        <v>2.5014200435122768E-2</v>
      </c>
      <c r="H32" s="37">
        <f>+月次PL!E44/1000</f>
        <v>42.383000000000003</v>
      </c>
      <c r="I32" s="73">
        <f t="shared" si="36"/>
        <v>7.4140741984690103E-2</v>
      </c>
      <c r="J32" s="37">
        <f>+月次PL!F44/1000</f>
        <v>0</v>
      </c>
      <c r="K32" s="73">
        <f t="shared" si="37"/>
        <v>0</v>
      </c>
      <c r="L32" s="37">
        <f>+月次PL!G44/1000</f>
        <v>0</v>
      </c>
      <c r="M32" s="73">
        <f t="shared" si="38"/>
        <v>0</v>
      </c>
      <c r="N32" s="37">
        <f>+月次PL!H44/1000</f>
        <v>0</v>
      </c>
      <c r="O32" s="73">
        <f t="shared" si="39"/>
        <v>0</v>
      </c>
      <c r="P32" s="37">
        <f>+月次PL!I44/1000</f>
        <v>0</v>
      </c>
      <c r="Q32" s="73">
        <f t="shared" si="40"/>
        <v>0</v>
      </c>
      <c r="R32" s="37">
        <f>+月次PL!J44/1000</f>
        <v>0</v>
      </c>
      <c r="S32" s="73">
        <f t="shared" si="41"/>
        <v>0</v>
      </c>
      <c r="T32" s="37">
        <f>+月次PL!K44/1000</f>
        <v>0</v>
      </c>
      <c r="U32" s="73">
        <f t="shared" si="42"/>
        <v>0</v>
      </c>
      <c r="V32" s="37">
        <f>+月次PL!L44/1000</f>
        <v>0</v>
      </c>
      <c r="W32" s="73">
        <f t="shared" si="43"/>
        <v>0</v>
      </c>
      <c r="X32" s="37">
        <f>+月次PL!M44/1000</f>
        <v>0</v>
      </c>
      <c r="Y32" s="73">
        <f t="shared" si="44"/>
        <v>0</v>
      </c>
      <c r="Z32" s="37">
        <f>+月次PL!N44/1000</f>
        <v>0</v>
      </c>
      <c r="AA32" s="73">
        <f t="shared" si="45"/>
        <v>0</v>
      </c>
    </row>
    <row r="33" spans="3:27" outlineLevel="1">
      <c r="C33" s="5" t="s">
        <v>202</v>
      </c>
      <c r="D33" s="147">
        <f>+月次PL!C27/1000</f>
        <v>13.438000000000001</v>
      </c>
      <c r="E33" s="73">
        <f t="shared" si="33"/>
        <v>2.1575606944397616E-2</v>
      </c>
      <c r="F33" s="37">
        <f>+月次PL!D27/1000</f>
        <v>50.137</v>
      </c>
      <c r="G33" s="73">
        <f t="shared" si="34"/>
        <v>8.9555624622661395E-2</v>
      </c>
      <c r="H33" s="37">
        <f>+月次PL!E27/1000</f>
        <v>103.9</v>
      </c>
      <c r="I33" s="73">
        <f t="shared" si="36"/>
        <v>0.18175266244034877</v>
      </c>
      <c r="J33" s="37">
        <f>+月次PL!F27/1000</f>
        <v>12.119</v>
      </c>
      <c r="K33" s="73">
        <f t="shared" si="37"/>
        <v>2.1198922474111391E-2</v>
      </c>
      <c r="L33" s="37">
        <f>+月次PL!G27/1000</f>
        <v>30</v>
      </c>
      <c r="M33" s="73">
        <f t="shared" si="38"/>
        <v>6.2170754048352268E-2</v>
      </c>
      <c r="N33" s="37">
        <f>+月次PL!H27/1000</f>
        <v>158.37100000000001</v>
      </c>
      <c r="O33" s="73">
        <f t="shared" si="39"/>
        <v>0.27878537164987016</v>
      </c>
      <c r="P33" s="37">
        <f>+月次PL!I27/1000</f>
        <v>87.515000000000001</v>
      </c>
      <c r="Q33" s="73">
        <f t="shared" si="40"/>
        <v>0.15271924543447724</v>
      </c>
      <c r="R33" s="37">
        <f>+月次PL!J27/1000</f>
        <v>113.663</v>
      </c>
      <c r="S33" s="73">
        <f t="shared" si="41"/>
        <v>0.20076197810505195</v>
      </c>
      <c r="T33" s="37">
        <f>+月次PL!K27/1000</f>
        <v>172.61799999999999</v>
      </c>
      <c r="U33" s="73">
        <f t="shared" si="42"/>
        <v>0.26826239729465534</v>
      </c>
      <c r="V33" s="37">
        <f>+月次PL!L27/1000</f>
        <v>89.768000000000001</v>
      </c>
      <c r="W33" s="73">
        <f t="shared" si="43"/>
        <v>8.7101221889411884E-2</v>
      </c>
      <c r="X33" s="37">
        <f>+月次PL!M27/1000</f>
        <v>95.001999999999995</v>
      </c>
      <c r="Y33" s="73">
        <f t="shared" si="44"/>
        <v>0.1066953877116455</v>
      </c>
      <c r="Z33" s="37">
        <f>+月次PL!N27/1000</f>
        <v>111.724</v>
      </c>
      <c r="AA33" s="73">
        <f t="shared" si="45"/>
        <v>0.11302663193302816</v>
      </c>
    </row>
    <row r="34" spans="3:27" outlineLevel="1">
      <c r="C34" s="5" t="s">
        <v>203</v>
      </c>
      <c r="D34" s="147">
        <f>+月次PL!C39/1000</f>
        <v>84.497</v>
      </c>
      <c r="E34" s="73">
        <f t="shared" si="33"/>
        <v>0.13566557969792867</v>
      </c>
      <c r="F34" s="37">
        <f>+月次PL!D39/1000</f>
        <v>10.446999999999999</v>
      </c>
      <c r="G34" s="73">
        <f t="shared" si="34"/>
        <v>1.8660622104093656E-2</v>
      </c>
      <c r="H34" s="37">
        <f>+月次PL!E39/1000</f>
        <v>11.637</v>
      </c>
      <c r="I34" s="73">
        <f t="shared" si="36"/>
        <v>2.0356648054074482E-2</v>
      </c>
      <c r="J34" s="37">
        <f>+月次PL!F39/1000</f>
        <v>67.567999999999998</v>
      </c>
      <c r="K34" s="73">
        <f t="shared" si="37"/>
        <v>0.11819199552197034</v>
      </c>
      <c r="L34" s="37">
        <f>+月次PL!G39/1000</f>
        <v>49.290999999999997</v>
      </c>
      <c r="M34" s="73">
        <f t="shared" si="38"/>
        <v>0.10214862125991106</v>
      </c>
      <c r="N34" s="37">
        <f>+月次PL!H39/1000</f>
        <v>22.015999999999998</v>
      </c>
      <c r="O34" s="73">
        <f t="shared" si="39"/>
        <v>3.8755446023852481E-2</v>
      </c>
      <c r="P34" s="37">
        <f>+月次PL!I39/1000</f>
        <v>45.375999999999998</v>
      </c>
      <c r="Q34" s="73">
        <f t="shared" si="40"/>
        <v>7.9184008236700437E-2</v>
      </c>
      <c r="R34" s="37">
        <f>+月次PL!J39/1000</f>
        <v>13.067</v>
      </c>
      <c r="S34" s="73">
        <f t="shared" si="41"/>
        <v>2.308012957513627E-2</v>
      </c>
      <c r="T34" s="37">
        <f>+月次PL!K39/1000</f>
        <v>27.771000000000001</v>
      </c>
      <c r="U34" s="73">
        <f t="shared" si="42"/>
        <v>4.3158390406967256E-2</v>
      </c>
      <c r="V34" s="37">
        <f>+月次PL!L39/1000</f>
        <v>13.157999999999999</v>
      </c>
      <c r="W34" s="73">
        <f t="shared" si="43"/>
        <v>1.2767109411158559E-2</v>
      </c>
      <c r="X34" s="37">
        <f>+月次PL!M39/1000</f>
        <v>10.468999999999999</v>
      </c>
      <c r="Y34" s="73">
        <f t="shared" si="44"/>
        <v>1.175758419773496E-2</v>
      </c>
      <c r="Z34" s="37">
        <f>+月次PL!N39/1000</f>
        <v>27.614000000000001</v>
      </c>
      <c r="AA34" s="73">
        <f t="shared" si="45"/>
        <v>2.7935961961607528E-2</v>
      </c>
    </row>
    <row r="35" spans="3:27" outlineLevel="1">
      <c r="C35" s="5" t="s">
        <v>204</v>
      </c>
      <c r="D35" s="147">
        <f>+月次PL!C41/1000</f>
        <v>26.5</v>
      </c>
      <c r="E35" s="73">
        <f t="shared" si="33"/>
        <v>4.2547520763992916E-2</v>
      </c>
      <c r="F35" s="37">
        <f>+月次PL!D41/1000</f>
        <v>26.5</v>
      </c>
      <c r="G35" s="73">
        <f t="shared" si="34"/>
        <v>4.7334783742555939E-2</v>
      </c>
      <c r="H35" s="37">
        <f>+月次PL!E41/1000</f>
        <v>26.5</v>
      </c>
      <c r="I35" s="73">
        <f t="shared" si="36"/>
        <v>4.6356550093062963E-2</v>
      </c>
      <c r="J35" s="37">
        <f>+月次PL!F41/1000</f>
        <v>26.5</v>
      </c>
      <c r="K35" s="73">
        <f t="shared" si="37"/>
        <v>4.6354603974251334E-2</v>
      </c>
      <c r="L35" s="37">
        <f>+月次PL!G41/1000</f>
        <v>26.5</v>
      </c>
      <c r="M35" s="73">
        <f t="shared" si="38"/>
        <v>5.4917499409377839E-2</v>
      </c>
      <c r="N35" s="37">
        <f>+月次PL!H41/1000</f>
        <v>26.5</v>
      </c>
      <c r="O35" s="73">
        <f t="shared" si="39"/>
        <v>4.6648769968754125E-2</v>
      </c>
      <c r="P35" s="37">
        <f>+月次PL!I41/1000</f>
        <v>26.5</v>
      </c>
      <c r="Q35" s="73">
        <f t="shared" si="40"/>
        <v>4.6244186756711957E-2</v>
      </c>
      <c r="R35" s="37">
        <f>+月次PL!J41/1000</f>
        <v>26.5</v>
      </c>
      <c r="S35" s="73">
        <f t="shared" si="41"/>
        <v>4.680672179850854E-2</v>
      </c>
      <c r="T35" s="37">
        <f>+月次PL!K41/1000</f>
        <v>26.5</v>
      </c>
      <c r="U35" s="73">
        <f t="shared" si="42"/>
        <v>4.1183153137612338E-2</v>
      </c>
      <c r="V35" s="37">
        <f>+月次PL!L41/1000</f>
        <v>26.5</v>
      </c>
      <c r="W35" s="73">
        <f t="shared" si="43"/>
        <v>2.5712752652052123E-2</v>
      </c>
      <c r="X35" s="37">
        <f>+月次PL!M41/1000</f>
        <v>26.5</v>
      </c>
      <c r="Y35" s="73">
        <f t="shared" si="44"/>
        <v>2.9761771061226142E-2</v>
      </c>
      <c r="Z35" s="37">
        <f>+月次PL!N41/1000</f>
        <v>26.5</v>
      </c>
      <c r="AA35" s="73">
        <f t="shared" si="45"/>
        <v>2.6808973418649941E-2</v>
      </c>
    </row>
    <row r="36" spans="3:27" outlineLevel="1">
      <c r="C36" s="5" t="s">
        <v>205</v>
      </c>
      <c r="D36" s="147">
        <f>+月次PL!C35/1000</f>
        <v>0</v>
      </c>
      <c r="E36" s="73">
        <f t="shared" si="33"/>
        <v>0</v>
      </c>
      <c r="F36" s="37">
        <f>+月次PL!D35/1000</f>
        <v>0</v>
      </c>
      <c r="G36" s="73">
        <f t="shared" si="34"/>
        <v>0</v>
      </c>
      <c r="H36" s="37">
        <f>+月次PL!E35/1000</f>
        <v>0</v>
      </c>
      <c r="I36" s="73">
        <f t="shared" si="36"/>
        <v>0</v>
      </c>
      <c r="J36" s="37">
        <f>+月次PL!F35/1000</f>
        <v>0</v>
      </c>
      <c r="K36" s="73">
        <f t="shared" si="37"/>
        <v>0</v>
      </c>
      <c r="L36" s="37">
        <f>+月次PL!G35/1000</f>
        <v>0</v>
      </c>
      <c r="M36" s="73">
        <f t="shared" si="38"/>
        <v>0</v>
      </c>
      <c r="N36" s="37">
        <f>+月次PL!H35/1000</f>
        <v>0</v>
      </c>
      <c r="O36" s="73">
        <f t="shared" si="39"/>
        <v>0</v>
      </c>
      <c r="P36" s="37">
        <f>+月次PL!I35/1000</f>
        <v>0</v>
      </c>
      <c r="Q36" s="73">
        <f t="shared" si="40"/>
        <v>0</v>
      </c>
      <c r="R36" s="37">
        <f>+月次PL!J35/1000</f>
        <v>0</v>
      </c>
      <c r="S36" s="73">
        <f t="shared" si="41"/>
        <v>0</v>
      </c>
      <c r="T36" s="37">
        <f>+月次PL!K35/1000</f>
        <v>0</v>
      </c>
      <c r="U36" s="73">
        <f t="shared" si="42"/>
        <v>0</v>
      </c>
      <c r="V36" s="37">
        <f>+月次PL!L35/1000</f>
        <v>0</v>
      </c>
      <c r="W36" s="73">
        <f t="shared" si="43"/>
        <v>0</v>
      </c>
      <c r="X36" s="37">
        <f>+月次PL!M35/1000</f>
        <v>0</v>
      </c>
      <c r="Y36" s="73">
        <f t="shared" si="44"/>
        <v>0</v>
      </c>
      <c r="Z36" s="37">
        <f>+月次PL!N35/1000</f>
        <v>0</v>
      </c>
      <c r="AA36" s="73">
        <f t="shared" si="45"/>
        <v>0</v>
      </c>
    </row>
    <row r="37" spans="3:27">
      <c r="C37" s="5" t="s">
        <v>206</v>
      </c>
      <c r="D37" s="147">
        <f>+月次PL!C34/1000</f>
        <v>44.5</v>
      </c>
      <c r="E37" s="73">
        <f t="shared" si="33"/>
        <v>7.1447723547082453E-2</v>
      </c>
      <c r="F37" s="37">
        <f>+月次PL!D34/1000</f>
        <v>44.5</v>
      </c>
      <c r="G37" s="73">
        <f t="shared" si="34"/>
        <v>7.9486712322405256E-2</v>
      </c>
      <c r="H37" s="37">
        <f>+月次PL!E34/1000</f>
        <v>44.5</v>
      </c>
      <c r="I37" s="73">
        <f t="shared" si="36"/>
        <v>7.7844018080803851E-2</v>
      </c>
      <c r="J37" s="37">
        <f>+月次PL!F34/1000</f>
        <v>44.5</v>
      </c>
      <c r="K37" s="73">
        <f t="shared" si="37"/>
        <v>7.7840750069969225E-2</v>
      </c>
      <c r="L37" s="37">
        <f>+月次PL!G34/1000</f>
        <v>44.5</v>
      </c>
      <c r="M37" s="73">
        <f t="shared" si="38"/>
        <v>9.22199518383892E-2</v>
      </c>
      <c r="N37" s="37">
        <f>+月次PL!H34/1000</f>
        <v>44.5</v>
      </c>
      <c r="O37" s="73">
        <f t="shared" si="39"/>
        <v>7.8334726928662585E-2</v>
      </c>
      <c r="P37" s="37">
        <f>+月次PL!I34/1000</f>
        <v>44.5</v>
      </c>
      <c r="Q37" s="73">
        <f t="shared" si="40"/>
        <v>7.7655332478252154E-2</v>
      </c>
      <c r="R37" s="37">
        <f>+月次PL!J34/1000</f>
        <v>44.5</v>
      </c>
      <c r="S37" s="73">
        <f t="shared" si="41"/>
        <v>7.8599966793721887E-2</v>
      </c>
      <c r="T37" s="37">
        <f>+月次PL!K34/1000</f>
        <v>44.5</v>
      </c>
      <c r="U37" s="73">
        <f t="shared" si="42"/>
        <v>6.9156615646179212E-2</v>
      </c>
      <c r="V37" s="37">
        <f>+月次PL!L34/1000</f>
        <v>44.5</v>
      </c>
      <c r="W37" s="73">
        <f t="shared" si="43"/>
        <v>4.3178018604389412E-2</v>
      </c>
      <c r="X37" s="37">
        <f>+月次PL!M34/1000</f>
        <v>44.5</v>
      </c>
      <c r="Y37" s="73">
        <f t="shared" si="44"/>
        <v>4.9977313668851442E-2</v>
      </c>
      <c r="Z37" s="37">
        <f>+月次PL!N34/1000</f>
        <v>44.5</v>
      </c>
      <c r="AA37" s="73">
        <f t="shared" si="45"/>
        <v>4.5018842155846124E-2</v>
      </c>
    </row>
    <row r="38" spans="3:27">
      <c r="C38" s="5" t="s">
        <v>207</v>
      </c>
      <c r="D38" s="147">
        <f>+月次PL!C33/1000</f>
        <v>0</v>
      </c>
      <c r="E38" s="73">
        <f t="shared" si="33"/>
        <v>0</v>
      </c>
      <c r="F38" s="37">
        <f>+月次PL!D33/1000</f>
        <v>0</v>
      </c>
      <c r="G38" s="73">
        <f t="shared" si="34"/>
        <v>0</v>
      </c>
      <c r="H38" s="37">
        <f>+月次PL!E33/1000</f>
        <v>0</v>
      </c>
      <c r="I38" s="73">
        <f t="shared" si="36"/>
        <v>0</v>
      </c>
      <c r="J38" s="37">
        <f>+月次PL!F33/1000</f>
        <v>0</v>
      </c>
      <c r="K38" s="73">
        <f t="shared" si="37"/>
        <v>0</v>
      </c>
      <c r="L38" s="37">
        <f>+月次PL!G33/1000</f>
        <v>0</v>
      </c>
      <c r="M38" s="73">
        <f t="shared" si="38"/>
        <v>0</v>
      </c>
      <c r="N38" s="37">
        <f>+月次PL!H33/1000</f>
        <v>0</v>
      </c>
      <c r="O38" s="73">
        <f t="shared" si="39"/>
        <v>0</v>
      </c>
      <c r="P38" s="37">
        <f>+月次PL!I33/1000</f>
        <v>0</v>
      </c>
      <c r="Q38" s="73">
        <f t="shared" si="40"/>
        <v>0</v>
      </c>
      <c r="R38" s="37">
        <f>+月次PL!J33/1000</f>
        <v>0</v>
      </c>
      <c r="S38" s="73">
        <f t="shared" si="41"/>
        <v>0</v>
      </c>
      <c r="T38" s="37">
        <f>+月次PL!K33/1000</f>
        <v>0</v>
      </c>
      <c r="U38" s="73">
        <f t="shared" si="42"/>
        <v>0</v>
      </c>
      <c r="V38" s="37">
        <f>+月次PL!L33/1000</f>
        <v>0</v>
      </c>
      <c r="W38" s="73">
        <f t="shared" si="43"/>
        <v>0</v>
      </c>
      <c r="X38" s="37">
        <f>+月次PL!M33/1000</f>
        <v>0</v>
      </c>
      <c r="Y38" s="73">
        <f t="shared" si="44"/>
        <v>0</v>
      </c>
      <c r="Z38" s="37">
        <f>+月次PL!N33/1000</f>
        <v>0</v>
      </c>
      <c r="AA38" s="73">
        <f t="shared" si="45"/>
        <v>0</v>
      </c>
    </row>
    <row r="39" spans="3:27">
      <c r="C39" s="5" t="s">
        <v>208</v>
      </c>
      <c r="D39" s="147">
        <f>+月次PL!C31/1000</f>
        <v>0</v>
      </c>
      <c r="E39" s="73">
        <f t="shared" si="33"/>
        <v>0</v>
      </c>
      <c r="F39" s="37">
        <f>+月次PL!D31/1000</f>
        <v>0</v>
      </c>
      <c r="G39" s="73">
        <f t="shared" si="34"/>
        <v>0</v>
      </c>
      <c r="H39" s="37">
        <f>+月次PL!E31/1000</f>
        <v>0</v>
      </c>
      <c r="I39" s="73">
        <f t="shared" si="36"/>
        <v>0</v>
      </c>
      <c r="J39" s="37">
        <f>+月次PL!F31/1000</f>
        <v>0</v>
      </c>
      <c r="K39" s="73">
        <f t="shared" si="37"/>
        <v>0</v>
      </c>
      <c r="L39" s="37">
        <f>+月次PL!G31/1000</f>
        <v>0</v>
      </c>
      <c r="M39" s="73">
        <f t="shared" si="38"/>
        <v>0</v>
      </c>
      <c r="N39" s="37">
        <f>+月次PL!H31/1000</f>
        <v>0</v>
      </c>
      <c r="O39" s="73">
        <f t="shared" si="39"/>
        <v>0</v>
      </c>
      <c r="P39" s="37">
        <f>+月次PL!I31/1000</f>
        <v>0</v>
      </c>
      <c r="Q39" s="73">
        <f t="shared" si="40"/>
        <v>0</v>
      </c>
      <c r="R39" s="37">
        <f>+月次PL!J31/1000</f>
        <v>0</v>
      </c>
      <c r="S39" s="73">
        <f t="shared" si="41"/>
        <v>0</v>
      </c>
      <c r="T39" s="37">
        <f>+月次PL!K31/1000</f>
        <v>0</v>
      </c>
      <c r="U39" s="73">
        <f t="shared" si="42"/>
        <v>0</v>
      </c>
      <c r="V39" s="37">
        <f>+月次PL!L31/1000</f>
        <v>0</v>
      </c>
      <c r="W39" s="73">
        <f t="shared" si="43"/>
        <v>0</v>
      </c>
      <c r="X39" s="37">
        <f>+月次PL!M31/1000</f>
        <v>0</v>
      </c>
      <c r="Y39" s="73">
        <f t="shared" si="44"/>
        <v>0</v>
      </c>
      <c r="Z39" s="37">
        <f>+月次PL!N31/1000</f>
        <v>0</v>
      </c>
      <c r="AA39" s="73">
        <f t="shared" si="45"/>
        <v>0</v>
      </c>
    </row>
    <row r="40" spans="3:27">
      <c r="C40" s="5" t="s">
        <v>209</v>
      </c>
      <c r="D40" s="147">
        <f>+月次PL!C36/1000</f>
        <v>5</v>
      </c>
      <c r="E40" s="73">
        <f t="shared" si="33"/>
        <v>8.0278341064137573E-3</v>
      </c>
      <c r="F40" s="37">
        <f>+月次PL!D36/1000</f>
        <v>5</v>
      </c>
      <c r="G40" s="73">
        <f t="shared" si="34"/>
        <v>8.9310912721803654E-3</v>
      </c>
      <c r="H40" s="37">
        <f>+月次PL!E36/1000</f>
        <v>5</v>
      </c>
      <c r="I40" s="73">
        <f t="shared" si="36"/>
        <v>8.7465188854835788E-3</v>
      </c>
      <c r="J40" s="37">
        <f>+月次PL!F36/1000</f>
        <v>5</v>
      </c>
      <c r="K40" s="73">
        <f t="shared" si="37"/>
        <v>8.7461516932549679E-3</v>
      </c>
      <c r="L40" s="37">
        <f>+月次PL!G36/1000</f>
        <v>5</v>
      </c>
      <c r="M40" s="73">
        <f t="shared" si="38"/>
        <v>1.0361792341392045E-2</v>
      </c>
      <c r="N40" s="37">
        <f>+月次PL!H36/1000</f>
        <v>5</v>
      </c>
      <c r="O40" s="73">
        <f t="shared" si="39"/>
        <v>8.8016547110856842E-3</v>
      </c>
      <c r="P40" s="37">
        <f>+月次PL!I36/1000</f>
        <v>5</v>
      </c>
      <c r="Q40" s="73">
        <f t="shared" si="40"/>
        <v>8.7253182559833883E-3</v>
      </c>
      <c r="R40" s="37">
        <f>+月次PL!J36/1000</f>
        <v>5</v>
      </c>
      <c r="S40" s="73">
        <f t="shared" si="41"/>
        <v>8.8314569431148186E-3</v>
      </c>
      <c r="T40" s="37">
        <f>+月次PL!K36/1000</f>
        <v>5</v>
      </c>
      <c r="U40" s="73">
        <f t="shared" si="42"/>
        <v>7.7704062523796871E-3</v>
      </c>
      <c r="V40" s="37">
        <f>+月次PL!L36/1000</f>
        <v>5</v>
      </c>
      <c r="W40" s="73">
        <f t="shared" si="43"/>
        <v>4.8514627645381359E-3</v>
      </c>
      <c r="X40" s="37">
        <f>+月次PL!M36/1000</f>
        <v>5</v>
      </c>
      <c r="Y40" s="73">
        <f t="shared" si="44"/>
        <v>5.61542850211814E-3</v>
      </c>
      <c r="Z40" s="37">
        <f>+月次PL!N36/1000</f>
        <v>5</v>
      </c>
      <c r="AA40" s="73">
        <f t="shared" si="45"/>
        <v>5.0582968714433848E-3</v>
      </c>
    </row>
    <row r="41" spans="3:27">
      <c r="C41" s="5" t="s">
        <v>210</v>
      </c>
      <c r="D41" s="147">
        <f>+月次PL!C30/1000</f>
        <v>0</v>
      </c>
      <c r="E41" s="73">
        <f t="shared" si="33"/>
        <v>0</v>
      </c>
      <c r="F41" s="37">
        <f>+月次PL!D30/1000</f>
        <v>0</v>
      </c>
      <c r="G41" s="73">
        <f t="shared" si="34"/>
        <v>0</v>
      </c>
      <c r="H41" s="37">
        <f>+月次PL!E30/1000</f>
        <v>0</v>
      </c>
      <c r="I41" s="73">
        <f t="shared" si="36"/>
        <v>0</v>
      </c>
      <c r="J41" s="37">
        <f>+月次PL!F30/1000</f>
        <v>0</v>
      </c>
      <c r="K41" s="73">
        <f t="shared" si="37"/>
        <v>0</v>
      </c>
      <c r="L41" s="37">
        <f>+月次PL!G30/1000</f>
        <v>0</v>
      </c>
      <c r="M41" s="73">
        <f t="shared" si="38"/>
        <v>0</v>
      </c>
      <c r="N41" s="37">
        <f>+月次PL!H30/1000</f>
        <v>0</v>
      </c>
      <c r="O41" s="73">
        <f t="shared" si="39"/>
        <v>0</v>
      </c>
      <c r="P41" s="37">
        <f>+月次PL!I30/1000</f>
        <v>0</v>
      </c>
      <c r="Q41" s="73">
        <f t="shared" si="40"/>
        <v>0</v>
      </c>
      <c r="R41" s="37">
        <f>+月次PL!J30/1000</f>
        <v>0</v>
      </c>
      <c r="S41" s="73">
        <f t="shared" si="41"/>
        <v>0</v>
      </c>
      <c r="T41" s="37">
        <f>+月次PL!K30/1000</f>
        <v>0</v>
      </c>
      <c r="U41" s="73">
        <f t="shared" si="42"/>
        <v>0</v>
      </c>
      <c r="V41" s="37">
        <f>+月次PL!L30/1000</f>
        <v>0</v>
      </c>
      <c r="W41" s="73">
        <f t="shared" si="43"/>
        <v>0</v>
      </c>
      <c r="X41" s="37">
        <f>+月次PL!M30/1000</f>
        <v>0</v>
      </c>
      <c r="Y41" s="73">
        <f t="shared" si="44"/>
        <v>0</v>
      </c>
      <c r="Z41" s="37">
        <f>+月次PL!N30/1000</f>
        <v>0</v>
      </c>
      <c r="AA41" s="73">
        <f t="shared" si="45"/>
        <v>0</v>
      </c>
    </row>
    <row r="42" spans="3:27">
      <c r="C42" s="5" t="s">
        <v>211</v>
      </c>
      <c r="D42" s="147">
        <f>+月次PL!C32/1000</f>
        <v>4.7969999999999997</v>
      </c>
      <c r="E42" s="73">
        <f t="shared" si="33"/>
        <v>7.7019040416933587E-3</v>
      </c>
      <c r="F42" s="37">
        <f>+月次PL!D32/1000</f>
        <v>0</v>
      </c>
      <c r="G42" s="73">
        <f t="shared" si="34"/>
        <v>0</v>
      </c>
      <c r="H42" s="37">
        <f>+月次PL!E32/1000</f>
        <v>0</v>
      </c>
      <c r="I42" s="73">
        <f t="shared" si="36"/>
        <v>0</v>
      </c>
      <c r="J42" s="37">
        <f>+月次PL!F32/1000</f>
        <v>0</v>
      </c>
      <c r="K42" s="73">
        <f t="shared" si="37"/>
        <v>0</v>
      </c>
      <c r="L42" s="37">
        <f>+月次PL!G32/1000</f>
        <v>0</v>
      </c>
      <c r="M42" s="73">
        <f t="shared" si="38"/>
        <v>0</v>
      </c>
      <c r="N42" s="37">
        <f>+月次PL!H32/1000</f>
        <v>0</v>
      </c>
      <c r="O42" s="73">
        <f t="shared" si="39"/>
        <v>0</v>
      </c>
      <c r="P42" s="37">
        <f>+月次PL!I32/1000</f>
        <v>0</v>
      </c>
      <c r="Q42" s="73">
        <f t="shared" si="40"/>
        <v>0</v>
      </c>
      <c r="R42" s="37">
        <f>+月次PL!J32/1000</f>
        <v>0</v>
      </c>
      <c r="S42" s="73">
        <f t="shared" si="41"/>
        <v>0</v>
      </c>
      <c r="T42" s="37">
        <f>+月次PL!K32/1000</f>
        <v>0</v>
      </c>
      <c r="U42" s="73">
        <f t="shared" si="42"/>
        <v>0</v>
      </c>
      <c r="V42" s="37">
        <f>+月次PL!L32/1000</f>
        <v>39.584000000000003</v>
      </c>
      <c r="W42" s="73">
        <f t="shared" si="43"/>
        <v>3.8408060414295515E-2</v>
      </c>
      <c r="X42" s="37">
        <f>+月次PL!M32/1000</f>
        <v>10.199999999999999</v>
      </c>
      <c r="Y42" s="73">
        <f t="shared" si="44"/>
        <v>1.1455474144321003E-2</v>
      </c>
      <c r="Z42" s="37">
        <f>+月次PL!N32/1000</f>
        <v>0</v>
      </c>
      <c r="AA42" s="73">
        <f t="shared" si="45"/>
        <v>0</v>
      </c>
    </row>
    <row r="43" spans="3:27">
      <c r="C43" s="5" t="s">
        <v>212</v>
      </c>
      <c r="D43" s="147">
        <f>+月次PL!C37/1000</f>
        <v>0</v>
      </c>
      <c r="E43" s="73">
        <f t="shared" si="33"/>
        <v>0</v>
      </c>
      <c r="F43" s="37">
        <f>+月次PL!D37/1000</f>
        <v>0</v>
      </c>
      <c r="G43" s="73">
        <f t="shared" si="34"/>
        <v>0</v>
      </c>
      <c r="H43" s="37">
        <f>+月次PL!E37/1000</f>
        <v>0</v>
      </c>
      <c r="I43" s="73">
        <f t="shared" si="36"/>
        <v>0</v>
      </c>
      <c r="J43" s="37">
        <f>+月次PL!F37/1000</f>
        <v>0</v>
      </c>
      <c r="K43" s="73">
        <f t="shared" si="37"/>
        <v>0</v>
      </c>
      <c r="L43" s="37">
        <f>+月次PL!G37/1000</f>
        <v>1.2</v>
      </c>
      <c r="M43" s="73">
        <f t="shared" si="38"/>
        <v>2.4868301619340909E-3</v>
      </c>
      <c r="N43" s="37">
        <f>+月次PL!H37/1000</f>
        <v>0</v>
      </c>
      <c r="O43" s="73">
        <f t="shared" si="39"/>
        <v>0</v>
      </c>
      <c r="P43" s="37">
        <f>+月次PL!I37/1000</f>
        <v>0.6</v>
      </c>
      <c r="Q43" s="73">
        <f t="shared" si="40"/>
        <v>1.0470381907180064E-3</v>
      </c>
      <c r="R43" s="37">
        <f>+月次PL!J37/1000</f>
        <v>0</v>
      </c>
      <c r="S43" s="73">
        <f t="shared" si="41"/>
        <v>0</v>
      </c>
      <c r="T43" s="37">
        <f>+月次PL!K37/1000</f>
        <v>0</v>
      </c>
      <c r="U43" s="73">
        <f t="shared" si="42"/>
        <v>0</v>
      </c>
      <c r="V43" s="37">
        <f>+月次PL!L37/1000</f>
        <v>0</v>
      </c>
      <c r="W43" s="73">
        <f t="shared" si="43"/>
        <v>0</v>
      </c>
      <c r="X43" s="37">
        <f>+月次PL!M37/1000</f>
        <v>0</v>
      </c>
      <c r="Y43" s="73">
        <f t="shared" si="44"/>
        <v>0</v>
      </c>
      <c r="Z43" s="37">
        <f>+月次PL!N37/1000</f>
        <v>0</v>
      </c>
      <c r="AA43" s="73">
        <f t="shared" si="45"/>
        <v>0</v>
      </c>
    </row>
    <row r="44" spans="3:27">
      <c r="C44" s="5" t="s">
        <v>213</v>
      </c>
      <c r="D44" s="147">
        <f>+月次PL!C26/1000</f>
        <v>0</v>
      </c>
      <c r="E44" s="73">
        <f t="shared" si="33"/>
        <v>0</v>
      </c>
      <c r="F44" s="37">
        <f>+月次PL!D26/1000</f>
        <v>0</v>
      </c>
      <c r="G44" s="73">
        <f t="shared" si="34"/>
        <v>0</v>
      </c>
      <c r="H44" s="37">
        <f>+月次PL!E26/1000</f>
        <v>0</v>
      </c>
      <c r="I44" s="73">
        <f t="shared" si="36"/>
        <v>0</v>
      </c>
      <c r="J44" s="37">
        <f>+月次PL!F26/1000</f>
        <v>0</v>
      </c>
      <c r="K44" s="73">
        <f t="shared" si="37"/>
        <v>0</v>
      </c>
      <c r="L44" s="37">
        <f>+月次PL!G26/1000</f>
        <v>0</v>
      </c>
      <c r="M44" s="73">
        <f t="shared" si="38"/>
        <v>0</v>
      </c>
      <c r="N44" s="37">
        <f>+月次PL!H26/1000</f>
        <v>0</v>
      </c>
      <c r="O44" s="73">
        <f t="shared" si="39"/>
        <v>0</v>
      </c>
      <c r="P44" s="37">
        <f>+月次PL!I26/1000</f>
        <v>0</v>
      </c>
      <c r="Q44" s="73">
        <f t="shared" si="40"/>
        <v>0</v>
      </c>
      <c r="R44" s="37">
        <f>+月次PL!J26/1000</f>
        <v>0</v>
      </c>
      <c r="S44" s="73">
        <f t="shared" si="41"/>
        <v>0</v>
      </c>
      <c r="T44" s="37">
        <f>+月次PL!K26/1000</f>
        <v>0</v>
      </c>
      <c r="U44" s="73">
        <f t="shared" si="42"/>
        <v>0</v>
      </c>
      <c r="V44" s="37">
        <f>+月次PL!L26/1000</f>
        <v>0</v>
      </c>
      <c r="W44" s="73">
        <f t="shared" si="43"/>
        <v>0</v>
      </c>
      <c r="X44" s="37">
        <f>+月次PL!M26/1000</f>
        <v>0</v>
      </c>
      <c r="Y44" s="73">
        <f t="shared" si="44"/>
        <v>0</v>
      </c>
      <c r="Z44" s="37">
        <f>+月次PL!N26/1000</f>
        <v>0</v>
      </c>
      <c r="AA44" s="73">
        <f t="shared" si="45"/>
        <v>0</v>
      </c>
    </row>
    <row r="45" spans="3:27">
      <c r="C45" s="5" t="s">
        <v>214</v>
      </c>
      <c r="D45" s="147">
        <f>+月次PL!C38/1000</f>
        <v>12.455</v>
      </c>
      <c r="E45" s="73">
        <f t="shared" si="33"/>
        <v>1.9997334759076672E-2</v>
      </c>
      <c r="F45" s="37">
        <f>+月次PL!D38/1000</f>
        <v>1.9550000000000001</v>
      </c>
      <c r="G45" s="73">
        <f t="shared" si="34"/>
        <v>3.4920566874225229E-3</v>
      </c>
      <c r="H45" s="37">
        <f>+月次PL!E38/1000</f>
        <v>2.105</v>
      </c>
      <c r="I45" s="73">
        <f t="shared" si="36"/>
        <v>3.6822844507885862E-3</v>
      </c>
      <c r="J45" s="37">
        <f>+月次PL!F38/1000</f>
        <v>2.2549999999999999</v>
      </c>
      <c r="K45" s="73">
        <f t="shared" si="37"/>
        <v>3.9445144136579903E-3</v>
      </c>
      <c r="L45" s="37">
        <f>+月次PL!G38/1000</f>
        <v>7.4690000000000003</v>
      </c>
      <c r="M45" s="73">
        <f t="shared" si="38"/>
        <v>1.5478445399571437E-2</v>
      </c>
      <c r="N45" s="37">
        <f>+月次PL!H38/1000</f>
        <v>4.3529999999999998</v>
      </c>
      <c r="O45" s="73">
        <f t="shared" si="39"/>
        <v>7.6627205914711954E-3</v>
      </c>
      <c r="P45" s="37">
        <f>+月次PL!I38/1000</f>
        <v>4.694</v>
      </c>
      <c r="Q45" s="73">
        <f t="shared" si="40"/>
        <v>8.1913287787172048E-3</v>
      </c>
      <c r="R45" s="37">
        <f>+月次PL!J38/1000</f>
        <v>2.1549999999999998</v>
      </c>
      <c r="S45" s="73">
        <f t="shared" si="41"/>
        <v>3.8063579424824868E-3</v>
      </c>
      <c r="T45" s="37">
        <f>+月次PL!K38/1000</f>
        <v>2.2549999999999999</v>
      </c>
      <c r="U45" s="73">
        <f t="shared" si="42"/>
        <v>3.5044532198232389E-3</v>
      </c>
      <c r="V45" s="37">
        <f>+月次PL!L38/1000</f>
        <v>2.105</v>
      </c>
      <c r="W45" s="73">
        <f t="shared" si="43"/>
        <v>2.0424658238705554E-3</v>
      </c>
      <c r="X45" s="37">
        <f>+月次PL!M38/1000</f>
        <v>2.105</v>
      </c>
      <c r="Y45" s="73">
        <f t="shared" si="44"/>
        <v>2.3640953993917368E-3</v>
      </c>
      <c r="Z45" s="37">
        <f>+月次PL!N38/1000</f>
        <v>2.105</v>
      </c>
      <c r="AA45" s="73">
        <f t="shared" si="45"/>
        <v>2.129542982877665E-3</v>
      </c>
    </row>
    <row r="46" spans="3:27">
      <c r="C46" s="5" t="s">
        <v>215</v>
      </c>
      <c r="D46" s="147">
        <f>+月次PL!C40/1000</f>
        <v>0</v>
      </c>
      <c r="E46" s="73">
        <f t="shared" si="33"/>
        <v>0</v>
      </c>
      <c r="F46" s="37">
        <f>+月次PL!D40/1000</f>
        <v>1.99</v>
      </c>
      <c r="G46" s="73">
        <f t="shared" si="34"/>
        <v>3.5545743263277856E-3</v>
      </c>
      <c r="H46" s="37">
        <f>+月次PL!E40/1000</f>
        <v>1.99</v>
      </c>
      <c r="I46" s="73">
        <f t="shared" si="36"/>
        <v>3.4811145164224643E-3</v>
      </c>
      <c r="J46" s="37">
        <f>+月次PL!F40/1000</f>
        <v>0.89100000000000001</v>
      </c>
      <c r="K46" s="73">
        <f t="shared" si="37"/>
        <v>1.5585642317380354E-3</v>
      </c>
      <c r="L46" s="37">
        <f>+月次PL!G40/1000</f>
        <v>0.89100000000000001</v>
      </c>
      <c r="M46" s="73">
        <f t="shared" si="38"/>
        <v>1.8464713952360625E-3</v>
      </c>
      <c r="N46" s="37">
        <f>+月次PL!H40/1000</f>
        <v>0.89100000000000001</v>
      </c>
      <c r="O46" s="73">
        <f t="shared" si="39"/>
        <v>1.5684548695154689E-3</v>
      </c>
      <c r="P46" s="37">
        <f>+月次PL!I40/1000</f>
        <v>0.89100000000000001</v>
      </c>
      <c r="Q46" s="73">
        <f t="shared" si="40"/>
        <v>1.5548517132162396E-3</v>
      </c>
      <c r="R46" s="37">
        <f>+月次PL!J40/1000</f>
        <v>3.919</v>
      </c>
      <c r="S46" s="73">
        <f t="shared" si="41"/>
        <v>6.9220959520133957E-3</v>
      </c>
      <c r="T46" s="37">
        <f>+月次PL!K40/1000</f>
        <v>0.89100000000000001</v>
      </c>
      <c r="U46" s="73">
        <f t="shared" si="42"/>
        <v>1.3846863941740604E-3</v>
      </c>
      <c r="V46" s="37">
        <f>+月次PL!L40/1000</f>
        <v>0.89100000000000001</v>
      </c>
      <c r="W46" s="73">
        <f t="shared" si="43"/>
        <v>8.6453066464069585E-4</v>
      </c>
      <c r="X46" s="37">
        <f>+月次PL!M40/1000</f>
        <v>0.89100000000000001</v>
      </c>
      <c r="Y46" s="73">
        <f t="shared" si="44"/>
        <v>1.0006693590774525E-3</v>
      </c>
      <c r="Z46" s="37">
        <f>+月次PL!N40/1000</f>
        <v>0</v>
      </c>
      <c r="AA46" s="73">
        <f t="shared" si="45"/>
        <v>0</v>
      </c>
    </row>
    <row r="47" spans="3:27">
      <c r="C47" s="5" t="s">
        <v>216</v>
      </c>
      <c r="D47" s="147">
        <f>+月次PL!C43/1000</f>
        <v>20</v>
      </c>
      <c r="E47" s="73">
        <f t="shared" si="33"/>
        <v>3.2111336425655029E-2</v>
      </c>
      <c r="F47" s="37">
        <f>+月次PL!D43/1000</f>
        <v>20</v>
      </c>
      <c r="G47" s="73">
        <f t="shared" si="34"/>
        <v>3.5724365088721462E-2</v>
      </c>
      <c r="H47" s="37">
        <f>+月次PL!E43/1000</f>
        <v>20</v>
      </c>
      <c r="I47" s="73">
        <f t="shared" si="36"/>
        <v>3.4986075541934315E-2</v>
      </c>
      <c r="J47" s="37">
        <f>+月次PL!F43/1000</f>
        <v>140</v>
      </c>
      <c r="K47" s="73">
        <f t="shared" si="37"/>
        <v>0.24489224741113913</v>
      </c>
      <c r="L47" s="37">
        <f>+月次PL!G43/1000</f>
        <v>20</v>
      </c>
      <c r="M47" s="73">
        <f t="shared" si="38"/>
        <v>4.1447169365568179E-2</v>
      </c>
      <c r="N47" s="37">
        <f>+月次PL!H43/1000</f>
        <v>20</v>
      </c>
      <c r="O47" s="73">
        <f t="shared" si="39"/>
        <v>3.5206618844342737E-2</v>
      </c>
      <c r="P47" s="37">
        <f>+月次PL!I43/1000</f>
        <v>20</v>
      </c>
      <c r="Q47" s="73">
        <f t="shared" si="40"/>
        <v>3.4901273023933553E-2</v>
      </c>
      <c r="R47" s="37">
        <f>+月次PL!J43/1000</f>
        <v>20</v>
      </c>
      <c r="S47" s="73">
        <f t="shared" si="41"/>
        <v>3.5325827772459274E-2</v>
      </c>
      <c r="T47" s="37">
        <f>+月次PL!K43/1000</f>
        <v>20</v>
      </c>
      <c r="U47" s="73">
        <f t="shared" si="42"/>
        <v>3.1081625009518749E-2</v>
      </c>
      <c r="V47" s="37">
        <f>+月次PL!L43/1000</f>
        <v>20</v>
      </c>
      <c r="W47" s="73">
        <f t="shared" si="43"/>
        <v>1.9405851058152544E-2</v>
      </c>
      <c r="X47" s="37">
        <f>+月次PL!M43/1000</f>
        <v>20</v>
      </c>
      <c r="Y47" s="73">
        <f t="shared" si="44"/>
        <v>2.246171400847256E-2</v>
      </c>
      <c r="Z47" s="37">
        <f>+月次PL!N43/1000</f>
        <v>20</v>
      </c>
      <c r="AA47" s="73">
        <f t="shared" si="45"/>
        <v>2.0233187485773539E-2</v>
      </c>
    </row>
    <row r="48" spans="3:27">
      <c r="C48" s="5" t="s">
        <v>217</v>
      </c>
      <c r="D48" s="147">
        <f>+月次PL!C42/1000</f>
        <v>0.64</v>
      </c>
      <c r="E48" s="73">
        <f t="shared" si="33"/>
        <v>1.027562765620961E-3</v>
      </c>
      <c r="F48" s="37">
        <f>+月次PL!D42/1000</f>
        <v>0.64</v>
      </c>
      <c r="G48" s="73">
        <f t="shared" si="34"/>
        <v>1.1431796828390867E-3</v>
      </c>
      <c r="H48" s="37">
        <f>+月次PL!E42/1000</f>
        <v>0.64</v>
      </c>
      <c r="I48" s="73">
        <f t="shared" si="36"/>
        <v>1.1195544173418981E-3</v>
      </c>
      <c r="J48" s="37">
        <f>+月次PL!F42/1000</f>
        <v>19.035</v>
      </c>
      <c r="K48" s="73">
        <f t="shared" si="37"/>
        <v>3.3296599496221664E-2</v>
      </c>
      <c r="L48" s="37">
        <f>+月次PL!G42/1000</f>
        <v>0.64</v>
      </c>
      <c r="M48" s="73">
        <f t="shared" si="38"/>
        <v>1.3263094196981817E-3</v>
      </c>
      <c r="N48" s="37">
        <f>+月次PL!H42/1000</f>
        <v>0.64</v>
      </c>
      <c r="O48" s="73">
        <f t="shared" si="39"/>
        <v>1.1266118030189675E-3</v>
      </c>
      <c r="P48" s="37">
        <f>+月次PL!I42/1000</f>
        <v>2.34</v>
      </c>
      <c r="Q48" s="73">
        <f t="shared" si="40"/>
        <v>4.0834489438002254E-3</v>
      </c>
      <c r="R48" s="37">
        <f>+月次PL!J42/1000</f>
        <v>0.64</v>
      </c>
      <c r="S48" s="73">
        <f t="shared" si="41"/>
        <v>1.1304264887186969E-3</v>
      </c>
      <c r="T48" s="37">
        <f>+月次PL!K42/1000</f>
        <v>3.64</v>
      </c>
      <c r="U48" s="73">
        <f t="shared" si="42"/>
        <v>5.6568557517324121E-3</v>
      </c>
      <c r="V48" s="37">
        <f>+月次PL!L42/1000</f>
        <v>0.64</v>
      </c>
      <c r="W48" s="73">
        <f t="shared" si="43"/>
        <v>6.2098723386088143E-4</v>
      </c>
      <c r="X48" s="37">
        <f>+月次PL!M42/1000</f>
        <v>0.64</v>
      </c>
      <c r="Y48" s="73">
        <f t="shared" si="44"/>
        <v>7.187748482711219E-4</v>
      </c>
      <c r="Z48" s="37">
        <f>+月次PL!N42/1000</f>
        <v>5.1859999999999999</v>
      </c>
      <c r="AA48" s="73">
        <f t="shared" si="45"/>
        <v>5.2464655150610785E-3</v>
      </c>
    </row>
    <row r="49" spans="2:27">
      <c r="C49" s="517"/>
      <c r="D49" s="149"/>
      <c r="E49" s="75">
        <f t="shared" si="33"/>
        <v>0</v>
      </c>
      <c r="F49" s="74"/>
      <c r="G49" s="75">
        <f t="shared" si="34"/>
        <v>0</v>
      </c>
      <c r="H49" s="74"/>
      <c r="I49" s="75">
        <f t="shared" si="36"/>
        <v>0</v>
      </c>
      <c r="J49" s="74"/>
      <c r="K49" s="75">
        <f t="shared" si="37"/>
        <v>0</v>
      </c>
      <c r="L49" s="74"/>
      <c r="M49" s="75">
        <f t="shared" si="38"/>
        <v>0</v>
      </c>
      <c r="N49" s="74"/>
      <c r="O49" s="75">
        <f t="shared" si="39"/>
        <v>0</v>
      </c>
      <c r="P49" s="74"/>
      <c r="Q49" s="75">
        <f t="shared" si="40"/>
        <v>0</v>
      </c>
      <c r="R49" s="74"/>
      <c r="S49" s="75">
        <f t="shared" si="41"/>
        <v>0</v>
      </c>
      <c r="T49" s="74"/>
      <c r="U49" s="75">
        <f t="shared" si="42"/>
        <v>0</v>
      </c>
      <c r="V49" s="74"/>
      <c r="W49" s="75">
        <f t="shared" si="43"/>
        <v>0</v>
      </c>
      <c r="X49" s="74"/>
      <c r="Y49" s="75">
        <f t="shared" si="44"/>
        <v>0</v>
      </c>
      <c r="Z49" s="74"/>
      <c r="AA49" s="75">
        <f t="shared" si="45"/>
        <v>0</v>
      </c>
    </row>
    <row r="50" spans="2:27" s="45" customFormat="1" ht="16.899999999999999" thickBot="1">
      <c r="B50" s="50" t="s">
        <v>138</v>
      </c>
      <c r="C50" s="50"/>
      <c r="D50" s="151">
        <f>+D22-D28</f>
        <v>-275.37000000000012</v>
      </c>
      <c r="E50" s="80">
        <f t="shared" si="33"/>
        <v>-0.44212493557663152</v>
      </c>
      <c r="F50" s="79">
        <f>+F22-F28</f>
        <v>-8.0810000000000173</v>
      </c>
      <c r="G50" s="80">
        <f t="shared" si="34"/>
        <v>-1.4434429714097937E-2</v>
      </c>
      <c r="H50" s="79">
        <f>+H22-H28</f>
        <v>-82.744000000000028</v>
      </c>
      <c r="I50" s="80">
        <f t="shared" si="36"/>
        <v>-0.14474439173209069</v>
      </c>
      <c r="J50" s="79">
        <f>+J22-J28</f>
        <v>-153.31099999999992</v>
      </c>
      <c r="K50" s="80">
        <f t="shared" si="37"/>
        <v>-0.26817625244892235</v>
      </c>
      <c r="L50" s="79">
        <f>+L22-L28</f>
        <v>-42.661000000000001</v>
      </c>
      <c r="M50" s="80">
        <f t="shared" si="38"/>
        <v>-8.8408884615225211E-2</v>
      </c>
      <c r="N50" s="79">
        <f>+N22-N28</f>
        <v>-126.90299999999979</v>
      </c>
      <c r="O50" s="80">
        <f t="shared" si="39"/>
        <v>-0.22339127756018093</v>
      </c>
      <c r="P50" s="79">
        <f>+P22-P28</f>
        <v>-101.07000000000005</v>
      </c>
      <c r="Q50" s="80">
        <f t="shared" si="40"/>
        <v>-0.17637358322644828</v>
      </c>
      <c r="R50" s="79">
        <f>+R22-R28</f>
        <v>-58.24899999999991</v>
      </c>
      <c r="S50" s="80">
        <f t="shared" si="41"/>
        <v>-0.10288470709589886</v>
      </c>
      <c r="T50" s="79">
        <f>+T22-T28</f>
        <v>-11.130999999999858</v>
      </c>
      <c r="U50" s="80">
        <f t="shared" si="42"/>
        <v>-1.729847839904744E-2</v>
      </c>
      <c r="V50" s="79">
        <f>+V22-V28</f>
        <v>429.32600000000002</v>
      </c>
      <c r="W50" s="80">
        <f t="shared" si="43"/>
        <v>0.41657182056962</v>
      </c>
      <c r="X50" s="79">
        <f>+X22-X28</f>
        <v>214.21499999999992</v>
      </c>
      <c r="Y50" s="80">
        <f t="shared" si="44"/>
        <v>0.24058180331624737</v>
      </c>
      <c r="Z50" s="79">
        <f>+Z22-Z28</f>
        <v>326.83399999999983</v>
      </c>
      <c r="AA50" s="80">
        <f t="shared" si="45"/>
        <v>0.33064467993626528</v>
      </c>
    </row>
    <row r="51" spans="2:27" s="6" customFormat="1" ht="16.899999999999999" thickTop="1">
      <c r="B51" s="152"/>
      <c r="C51" s="152" t="s">
        <v>179</v>
      </c>
      <c r="D51" s="153">
        <f>+D50</f>
        <v>-275.37000000000012</v>
      </c>
      <c r="E51" s="154"/>
      <c r="F51" s="106">
        <f>+D51+F50</f>
        <v>-283.45100000000014</v>
      </c>
      <c r="G51" s="154"/>
      <c r="H51" s="106">
        <f>+F51+H50</f>
        <v>-366.19500000000016</v>
      </c>
      <c r="I51" s="154"/>
      <c r="J51" s="106">
        <f>+H51+J50</f>
        <v>-519.50600000000009</v>
      </c>
      <c r="K51" s="381"/>
      <c r="L51" s="106">
        <f>+J51+L50</f>
        <v>-562.16700000000014</v>
      </c>
      <c r="M51" s="154"/>
      <c r="N51" s="106">
        <f>+L51+N50</f>
        <v>-689.06999999999994</v>
      </c>
      <c r="O51" s="154"/>
      <c r="P51" s="106">
        <f>+N51+P50</f>
        <v>-790.14</v>
      </c>
      <c r="Q51" s="381"/>
      <c r="R51" s="106">
        <f>+P51+R50</f>
        <v>-848.3889999999999</v>
      </c>
      <c r="S51" s="381"/>
      <c r="T51" s="106">
        <f>+R51+T50</f>
        <v>-859.51999999999975</v>
      </c>
      <c r="U51" s="154"/>
      <c r="V51" s="106">
        <f>+T51+V50</f>
        <v>-430.19399999999973</v>
      </c>
      <c r="W51" s="381"/>
      <c r="X51" s="106">
        <f>+V51+X50</f>
        <v>-215.97899999999981</v>
      </c>
      <c r="Y51" s="154"/>
      <c r="Z51" s="106">
        <f>+X51+Z50</f>
        <v>110.85500000000002</v>
      </c>
      <c r="AA51" s="381"/>
    </row>
    <row r="52" spans="2:27">
      <c r="B52" s="1" t="s">
        <v>135</v>
      </c>
      <c r="D52" s="149">
        <f>+月次PL!C51/1000</f>
        <v>0</v>
      </c>
      <c r="E52" s="75">
        <f>IF(D$10&lt;&gt;0,D52/D$10,0)</f>
        <v>0</v>
      </c>
      <c r="F52" s="74">
        <f>+月次PL!D51/1000</f>
        <v>1.782</v>
      </c>
      <c r="G52" s="75">
        <f>IF(F$10&lt;&gt;0,F52/F$10,0)</f>
        <v>3.1830409294050822E-3</v>
      </c>
      <c r="H52" s="74">
        <f>+月次PL!E51/1000</f>
        <v>1.1870000000000001</v>
      </c>
      <c r="I52" s="75">
        <f>IF(H$10&lt;&gt;0,H52/H$10,0)</f>
        <v>2.0764235834138016E-3</v>
      </c>
      <c r="J52" s="74">
        <f>+月次PL!F51/1000</f>
        <v>0</v>
      </c>
      <c r="K52" s="75">
        <f>IF(J$10&lt;&gt;0,J52/J$10,0)</f>
        <v>0</v>
      </c>
      <c r="L52" s="74">
        <f>+月次PL!G51/1000</f>
        <v>0</v>
      </c>
      <c r="M52" s="75">
        <f>IF(L$10&lt;&gt;0,L52/L$10,0)</f>
        <v>0</v>
      </c>
      <c r="N52" s="74">
        <f>+月次PL!H51/1000</f>
        <v>0</v>
      </c>
      <c r="O52" s="75">
        <f>IF(N$10&lt;&gt;0,N52/N$10,0)</f>
        <v>0</v>
      </c>
      <c r="P52" s="74">
        <f>+月次PL!I51/1000</f>
        <v>0</v>
      </c>
      <c r="Q52" s="75">
        <f>IF(P$10&lt;&gt;0,P52/P$10,0)</f>
        <v>0</v>
      </c>
      <c r="R52" s="74">
        <f>+月次PL!J51/1000</f>
        <v>0.86599999999999999</v>
      </c>
      <c r="S52" s="75">
        <f>IF(R$10&lt;&gt;0,R52/R$10,0)</f>
        <v>1.5296083425474867E-3</v>
      </c>
      <c r="T52" s="74">
        <f>+月次PL!K51/1000</f>
        <v>0.52</v>
      </c>
      <c r="U52" s="75">
        <f>IF(T$10&lt;&gt;0,T52/T$10,0)</f>
        <v>8.0812225024748754E-4</v>
      </c>
      <c r="V52" s="74">
        <f>+月次PL!L51/1000</f>
        <v>0</v>
      </c>
      <c r="W52" s="75">
        <f>IF(V$10&lt;&gt;0,V52/V$10,0)</f>
        <v>0</v>
      </c>
      <c r="X52" s="74">
        <f>+月次PL!M51/1000</f>
        <v>0</v>
      </c>
      <c r="Y52" s="75">
        <f>IF(X$10&lt;&gt;0,X52/X$10,0)</f>
        <v>0</v>
      </c>
      <c r="Z52" s="74">
        <f>+月次PL!N51/1000</f>
        <v>0.23899999999999999</v>
      </c>
      <c r="AA52" s="75">
        <f>IF(Z$10&lt;&gt;0,Z52/Z$10,0)</f>
        <v>2.4178659045499378E-4</v>
      </c>
    </row>
    <row r="53" spans="2:27">
      <c r="B53" s="155" t="s">
        <v>136</v>
      </c>
      <c r="C53" s="155"/>
      <c r="D53" s="156">
        <f>+月次PL!C56/1000</f>
        <v>8.4930000000000003</v>
      </c>
      <c r="E53" s="82">
        <f>IF(D$10&lt;&gt;0,D53/D$10,0)</f>
        <v>1.363607901315441E-2</v>
      </c>
      <c r="F53" s="81">
        <f>+月次PL!D56/1000</f>
        <v>8.4930000000000003</v>
      </c>
      <c r="G53" s="82">
        <f>IF(F$10&lt;&gt;0,F53/F$10,0)</f>
        <v>1.5170351634925569E-2</v>
      </c>
      <c r="H53" s="81">
        <f>+月次PL!E56/1000</f>
        <v>8.2189999999999994</v>
      </c>
      <c r="I53" s="82">
        <f>IF(H$10&lt;&gt;0,H53/H$10,0)</f>
        <v>1.4377527743957905E-2</v>
      </c>
      <c r="J53" s="81">
        <f>+月次PL!F56/1000</f>
        <v>8.4930000000000003</v>
      </c>
      <c r="K53" s="82">
        <f>IF(J$10&lt;&gt;0,J53/J$10,0)</f>
        <v>1.485621326616289E-2</v>
      </c>
      <c r="L53" s="81">
        <f>+月次PL!G56/1000</f>
        <v>8.2189999999999994</v>
      </c>
      <c r="M53" s="82">
        <f>IF(L$10&lt;&gt;0,L53/L$10,0)</f>
        <v>1.7032714250780241E-2</v>
      </c>
      <c r="N53" s="81">
        <f>+月次PL!H56/1000</f>
        <v>8.4930000000000003</v>
      </c>
      <c r="O53" s="82">
        <f>IF(N$10&lt;&gt;0,N53/N$10,0)</f>
        <v>1.4950490692250143E-2</v>
      </c>
      <c r="P53" s="81">
        <f>+月次PL!I56/1000</f>
        <v>8.4930000000000003</v>
      </c>
      <c r="Q53" s="82">
        <f>IF(P$10&lt;&gt;0,P53/P$10,0)</f>
        <v>1.4820825589613383E-2</v>
      </c>
      <c r="R53" s="81">
        <f>+月次PL!J56/1000</f>
        <v>7.6710000000000003</v>
      </c>
      <c r="S53" s="82">
        <f>IF(R$10&lt;&gt;0,R53/R$10,0)</f>
        <v>1.3549221242126756E-2</v>
      </c>
      <c r="T53" s="81">
        <f>+月次PL!K56/1000</f>
        <v>8.4930000000000003</v>
      </c>
      <c r="U53" s="82">
        <f>IF(T$10&lt;&gt;0,T53/T$10,0)</f>
        <v>1.3198812060292137E-2</v>
      </c>
      <c r="V53" s="81">
        <f>+月次PL!L56/1000</f>
        <v>8.2189999999999994</v>
      </c>
      <c r="W53" s="82">
        <f>IF(V$10&lt;&gt;0,V53/V$10,0)</f>
        <v>7.9748344923477876E-3</v>
      </c>
      <c r="X53" s="81">
        <f>+月次PL!M56/1000</f>
        <v>8.4930000000000003</v>
      </c>
      <c r="Y53" s="82">
        <f>IF(X$10&lt;&gt;0,X53/X$10,0)</f>
        <v>9.5383668536978723E-3</v>
      </c>
      <c r="Z53" s="81">
        <f>+月次PL!N56/1000</f>
        <v>8.2189999999999994</v>
      </c>
      <c r="AA53" s="82">
        <f>IF(Z$10&lt;&gt;0,Z53/Z$10,0)</f>
        <v>8.3148283972786351E-3</v>
      </c>
    </row>
    <row r="54" spans="2:27" s="45" customFormat="1" ht="16.899999999999999" thickBot="1">
      <c r="B54" s="50" t="s">
        <v>137</v>
      </c>
      <c r="C54" s="50"/>
      <c r="D54" s="151">
        <f>+D50+D52-D53</f>
        <v>-283.86300000000011</v>
      </c>
      <c r="E54" s="80">
        <f>IF(D$10&lt;&gt;0,D54/D$10,0)</f>
        <v>-0.45576101458978591</v>
      </c>
      <c r="F54" s="79">
        <f>+F50+F52-F53</f>
        <v>-14.792000000000018</v>
      </c>
      <c r="G54" s="80">
        <f>IF(F$10&lt;&gt;0,F54/F$10,0)</f>
        <v>-2.6421740419618426E-2</v>
      </c>
      <c r="H54" s="79">
        <f t="shared" ref="H54:Z54" si="46">+H50+H52-H53</f>
        <v>-89.776000000000025</v>
      </c>
      <c r="I54" s="80">
        <f>IF(H$10&lt;&gt;0,H54/H$10,0)</f>
        <v>-0.15704549589263478</v>
      </c>
      <c r="J54" s="79">
        <f t="shared" si="46"/>
        <v>-161.80399999999992</v>
      </c>
      <c r="K54" s="80">
        <f>IF(J$10&lt;&gt;0,J54/J$10,0)</f>
        <v>-0.28303246571508522</v>
      </c>
      <c r="L54" s="79">
        <f t="shared" si="46"/>
        <v>-50.88</v>
      </c>
      <c r="M54" s="80">
        <f>IF(L$10&lt;&gt;0,L54/L$10,0)</f>
        <v>-0.10544159886600546</v>
      </c>
      <c r="N54" s="79">
        <f t="shared" si="46"/>
        <v>-135.39599999999979</v>
      </c>
      <c r="O54" s="80">
        <f>IF(N$10&lt;&gt;0,N54/N$10,0)</f>
        <v>-0.23834176825243106</v>
      </c>
      <c r="P54" s="79">
        <f t="shared" si="46"/>
        <v>-109.56300000000005</v>
      </c>
      <c r="Q54" s="80">
        <f>IF(P$10&lt;&gt;0,P54/P$10,0)</f>
        <v>-0.19119440881606165</v>
      </c>
      <c r="R54" s="79">
        <f t="shared" si="46"/>
        <v>-65.053999999999917</v>
      </c>
      <c r="S54" s="80">
        <f>IF(R$10&lt;&gt;0,R54/R$10,0)</f>
        <v>-0.11490431999547815</v>
      </c>
      <c r="T54" s="79">
        <f t="shared" si="46"/>
        <v>-19.103999999999857</v>
      </c>
      <c r="U54" s="80">
        <f>IF(T$10&lt;&gt;0,T54/T$10,0)</f>
        <v>-2.9689168209092086E-2</v>
      </c>
      <c r="V54" s="79">
        <f t="shared" si="46"/>
        <v>421.10700000000003</v>
      </c>
      <c r="W54" s="80">
        <f>IF(V$10&lt;&gt;0,V54/V$10,0)</f>
        <v>0.40859698607727218</v>
      </c>
      <c r="X54" s="79">
        <f t="shared" si="46"/>
        <v>205.72199999999992</v>
      </c>
      <c r="Y54" s="80">
        <f>IF(X$10&lt;&gt;0,X54/X$10,0)</f>
        <v>0.23104343646254949</v>
      </c>
      <c r="Z54" s="79">
        <f t="shared" si="46"/>
        <v>318.85399999999981</v>
      </c>
      <c r="AA54" s="80">
        <f>IF(Z$10&lt;&gt;0,Z54/Z$10,0)</f>
        <v>0.32257163812944162</v>
      </c>
    </row>
    <row r="55" spans="2:27" ht="16.899999999999999" thickTop="1">
      <c r="B55" s="157"/>
      <c r="C55" s="157" t="s">
        <v>179</v>
      </c>
      <c r="D55" s="158">
        <f>+D54</f>
        <v>-283.86300000000011</v>
      </c>
      <c r="E55" s="159"/>
      <c r="F55" s="83">
        <f>+D55+F54</f>
        <v>-298.65500000000014</v>
      </c>
      <c r="G55" s="159"/>
      <c r="H55" s="83">
        <f>+F55+H54</f>
        <v>-388.43100000000015</v>
      </c>
      <c r="I55" s="159"/>
      <c r="J55" s="83">
        <f>+H55+J54</f>
        <v>-550.23500000000013</v>
      </c>
      <c r="K55" s="382"/>
      <c r="L55" s="83">
        <f>+J55+L54</f>
        <v>-601.11500000000012</v>
      </c>
      <c r="M55" s="159"/>
      <c r="N55" s="83">
        <f>+L55+N54</f>
        <v>-736.51099999999997</v>
      </c>
      <c r="O55" s="159"/>
      <c r="P55" s="83">
        <f>+N55+P54</f>
        <v>-846.07400000000007</v>
      </c>
      <c r="Q55" s="382"/>
      <c r="R55" s="83">
        <f>+P55+R54</f>
        <v>-911.12799999999993</v>
      </c>
      <c r="S55" s="382"/>
      <c r="T55" s="83">
        <f>+R55+T54</f>
        <v>-930.23199999999974</v>
      </c>
      <c r="U55" s="159"/>
      <c r="V55" s="83">
        <f>+T55+V54</f>
        <v>-509.12499999999972</v>
      </c>
      <c r="W55" s="159"/>
      <c r="X55" s="83">
        <f>+V55+X54</f>
        <v>-303.40299999999979</v>
      </c>
      <c r="Y55" s="159"/>
      <c r="Z55" s="83">
        <f>+X55+Z54</f>
        <v>15.451000000000022</v>
      </c>
      <c r="AA55" s="382"/>
    </row>
    <row r="56" spans="2:27" s="56" customFormat="1">
      <c r="B56" s="552" t="s">
        <v>189</v>
      </c>
      <c r="C56" s="552"/>
      <c r="D56" s="58">
        <f>+BS千円!D80</f>
        <v>6121.5429999999997</v>
      </c>
      <c r="E56" s="57">
        <f>+D56/BS千円!D93</f>
        <v>0.30737570477116144</v>
      </c>
      <c r="F56" s="61">
        <f>+BS千円!E80</f>
        <v>6106.7510000000002</v>
      </c>
      <c r="G56" s="57">
        <f>+F56/BS千円!E93</f>
        <v>0.30995724577825279</v>
      </c>
      <c r="H56" s="61">
        <f>+BS千円!F80</f>
        <v>6016.9750000000004</v>
      </c>
      <c r="I56" s="57">
        <f>+H56/BS千円!F93</f>
        <v>0.30444546876802547</v>
      </c>
      <c r="J56" s="61">
        <f>+BS千円!G80</f>
        <v>5855.1710000000003</v>
      </c>
      <c r="K56" s="383">
        <f>+J56/BS千円!G93</f>
        <v>0.29760196241795983</v>
      </c>
      <c r="L56" s="61">
        <f>+BS千円!H80</f>
        <v>5804.2910000000002</v>
      </c>
      <c r="M56" s="57">
        <f>+L56/BS千円!H93</f>
        <v>0.29529456139865329</v>
      </c>
      <c r="N56" s="61">
        <f>+BS千円!I80</f>
        <v>5668.8950000000004</v>
      </c>
      <c r="O56" s="57">
        <f>+N56/BS千円!I93</f>
        <v>0.2865976392895887</v>
      </c>
      <c r="P56" s="61">
        <f>+BS千円!J80</f>
        <v>5559.3320000000003</v>
      </c>
      <c r="Q56" s="383">
        <f>+P56/BS千円!J93</f>
        <v>0.2851698185137666</v>
      </c>
      <c r="R56" s="61">
        <f>+BS千円!K80</f>
        <v>5494.2780000000002</v>
      </c>
      <c r="S56" s="383">
        <f>+R56/BS千円!K93</f>
        <v>0.28165798034481521</v>
      </c>
      <c r="T56" s="61">
        <f>+BS千円!L80</f>
        <v>5475.174</v>
      </c>
      <c r="U56" s="57">
        <f>+T56/BS千円!L93</f>
        <v>0.28048519784489712</v>
      </c>
      <c r="V56" s="61">
        <f>+BS千円!M80</f>
        <v>5896.2809999999999</v>
      </c>
      <c r="W56" s="57">
        <f>+V56/BS千円!M93</f>
        <v>0.29421681927854643</v>
      </c>
      <c r="X56" s="61">
        <f>+BS千円!N80</f>
        <v>6102.0029999999997</v>
      </c>
      <c r="Y56" s="57">
        <f>+X56/BS千円!N93</f>
        <v>0.29879493447349997</v>
      </c>
      <c r="Z56" s="61">
        <f>+BS千円!O80</f>
        <v>6420.857</v>
      </c>
      <c r="AA56" s="383">
        <f>+Z56/BS千円!O47</f>
        <v>0.30823129334974136</v>
      </c>
    </row>
    <row r="57" spans="2:27">
      <c r="C57" s="28"/>
      <c r="D57" s="149"/>
      <c r="E57" s="160"/>
      <c r="F57" s="74"/>
      <c r="G57" s="160"/>
      <c r="H57" s="71"/>
      <c r="I57" s="72"/>
      <c r="J57" s="74"/>
      <c r="K57" s="160"/>
      <c r="L57" s="74"/>
      <c r="M57" s="160"/>
      <c r="N57" s="74"/>
      <c r="O57" s="160"/>
      <c r="P57" s="71"/>
      <c r="Q57" s="72"/>
      <c r="R57" s="74"/>
      <c r="S57" s="160"/>
      <c r="T57" s="74"/>
      <c r="U57" s="160"/>
      <c r="V57" s="74"/>
      <c r="W57" s="160"/>
      <c r="X57" s="74"/>
      <c r="Y57" s="160"/>
      <c r="Z57" s="74"/>
      <c r="AA57" s="75"/>
    </row>
    <row r="58" spans="2:27">
      <c r="C58" s="494"/>
      <c r="D58" s="149"/>
      <c r="E58" s="160"/>
      <c r="F58" s="74"/>
      <c r="G58" s="160"/>
      <c r="H58" s="74"/>
      <c r="I58" s="160"/>
      <c r="J58" s="74"/>
      <c r="K58" s="160"/>
      <c r="L58" s="74"/>
      <c r="M58" s="160"/>
      <c r="N58" s="74"/>
      <c r="O58" s="160"/>
      <c r="P58" s="74"/>
      <c r="Q58" s="160"/>
      <c r="R58" s="74"/>
      <c r="S58" s="160"/>
      <c r="T58" s="74"/>
      <c r="U58" s="160"/>
      <c r="V58" s="74"/>
      <c r="W58" s="160"/>
      <c r="X58" s="74"/>
      <c r="Y58" s="160"/>
      <c r="Z58" s="74"/>
      <c r="AA58" s="160"/>
    </row>
    <row r="59" spans="2:27">
      <c r="C59" s="494"/>
      <c r="D59" s="149"/>
      <c r="E59" s="161"/>
      <c r="F59" s="74"/>
      <c r="G59" s="161"/>
      <c r="H59" s="74"/>
      <c r="I59" s="161"/>
      <c r="J59" s="74"/>
      <c r="K59" s="161"/>
      <c r="L59" s="74"/>
      <c r="M59" s="161"/>
      <c r="N59" s="74"/>
      <c r="O59" s="161"/>
      <c r="P59" s="74"/>
      <c r="Q59" s="161"/>
      <c r="R59" s="74"/>
      <c r="S59" s="161"/>
      <c r="T59" s="74"/>
      <c r="U59" s="161"/>
      <c r="V59" s="74"/>
      <c r="W59" s="161"/>
      <c r="X59" s="74"/>
      <c r="Y59" s="161"/>
      <c r="Z59" s="74"/>
      <c r="AA59" s="161"/>
    </row>
    <row r="60" spans="2:27">
      <c r="D60" s="9"/>
      <c r="E60" s="55"/>
      <c r="F60" s="10"/>
      <c r="G60" s="55"/>
      <c r="H60" s="74"/>
      <c r="I60" s="84"/>
      <c r="J60" s="74"/>
      <c r="K60" s="161"/>
      <c r="L60" s="74"/>
      <c r="M60" s="161"/>
      <c r="N60" s="74"/>
      <c r="O60" s="161"/>
      <c r="P60" s="97"/>
      <c r="Q60" s="161"/>
      <c r="R60" s="97"/>
      <c r="S60" s="161"/>
      <c r="T60" s="97"/>
      <c r="U60" s="161"/>
      <c r="V60" s="97"/>
      <c r="W60" s="161"/>
      <c r="X60" s="98"/>
      <c r="Y60" s="161"/>
      <c r="Z60" s="127"/>
      <c r="AA60" s="84"/>
    </row>
    <row r="61" spans="2:27">
      <c r="D61" s="9"/>
      <c r="E61" s="55"/>
      <c r="F61" s="10"/>
      <c r="G61" s="55"/>
      <c r="H61" s="74"/>
      <c r="I61" s="84"/>
      <c r="J61" s="74"/>
      <c r="K61" s="161"/>
      <c r="L61" s="74"/>
      <c r="M61" s="161"/>
      <c r="N61" s="74"/>
      <c r="O61" s="161"/>
      <c r="P61" s="97"/>
      <c r="Q61" s="161"/>
      <c r="R61" s="121"/>
      <c r="S61" s="161"/>
      <c r="T61" s="121"/>
      <c r="U61" s="161"/>
      <c r="V61" s="121"/>
      <c r="W61" s="161"/>
      <c r="X61" s="97"/>
      <c r="Y61" s="161"/>
      <c r="Z61" s="97"/>
      <c r="AA61" s="84"/>
    </row>
    <row r="62" spans="2:27">
      <c r="D62" s="9"/>
      <c r="E62" s="55"/>
      <c r="F62" s="10"/>
      <c r="G62" s="55"/>
      <c r="H62" s="74"/>
      <c r="I62" s="84"/>
      <c r="J62" s="74"/>
      <c r="K62" s="161"/>
      <c r="L62" s="74"/>
      <c r="M62" s="161"/>
      <c r="N62" s="74"/>
      <c r="O62" s="161"/>
      <c r="P62" s="97"/>
      <c r="Q62" s="161"/>
      <c r="R62" s="121"/>
      <c r="S62" s="161"/>
      <c r="T62" s="121"/>
      <c r="U62" s="161"/>
      <c r="V62" s="121"/>
      <c r="W62" s="161"/>
      <c r="X62" s="121"/>
      <c r="Y62" s="161"/>
      <c r="Z62" s="121"/>
      <c r="AA62" s="84"/>
    </row>
    <row r="63" spans="2:27">
      <c r="D63" s="9"/>
      <c r="E63" s="55"/>
      <c r="F63" s="10"/>
      <c r="G63" s="55"/>
      <c r="H63" s="551"/>
      <c r="I63" s="84"/>
      <c r="J63" s="74"/>
      <c r="K63" s="161"/>
      <c r="L63" s="74"/>
      <c r="M63" s="161"/>
      <c r="N63" s="74"/>
      <c r="O63" s="161"/>
      <c r="P63" s="97"/>
      <c r="Q63" s="161"/>
      <c r="R63" s="97"/>
      <c r="S63" s="161"/>
      <c r="T63" s="97"/>
      <c r="U63" s="161"/>
      <c r="V63" s="97"/>
      <c r="W63" s="161"/>
      <c r="X63" s="121"/>
      <c r="Y63" s="161"/>
      <c r="Z63" s="121"/>
      <c r="AA63" s="84"/>
    </row>
    <row r="64" spans="2:27">
      <c r="D64" s="9"/>
      <c r="E64" s="55"/>
      <c r="F64" s="10"/>
      <c r="G64" s="55"/>
      <c r="H64" s="551"/>
      <c r="I64" s="84"/>
      <c r="J64" s="74"/>
      <c r="K64" s="161"/>
      <c r="L64" s="74"/>
      <c r="M64" s="161"/>
      <c r="N64" s="74"/>
      <c r="O64" s="161"/>
      <c r="P64" s="97"/>
      <c r="Q64" s="161"/>
      <c r="R64" s="121"/>
      <c r="S64" s="161"/>
      <c r="T64" s="121"/>
      <c r="U64" s="161"/>
      <c r="V64" s="121"/>
      <c r="W64" s="161"/>
      <c r="X64" s="121"/>
      <c r="Y64" s="161"/>
      <c r="Z64" s="121"/>
      <c r="AA64" s="84"/>
    </row>
    <row r="65" spans="4:27">
      <c r="D65" s="9"/>
      <c r="E65" s="55"/>
      <c r="F65" s="10"/>
      <c r="G65" s="55"/>
      <c r="H65" s="551"/>
      <c r="I65" s="84"/>
      <c r="J65" s="74"/>
      <c r="K65" s="161"/>
      <c r="L65" s="74"/>
      <c r="M65" s="161"/>
      <c r="N65" s="74"/>
      <c r="O65" s="161"/>
      <c r="P65" s="97"/>
      <c r="Q65" s="161"/>
      <c r="R65" s="121"/>
      <c r="S65" s="161"/>
      <c r="T65" s="121"/>
      <c r="U65" s="161"/>
      <c r="V65" s="121"/>
      <c r="W65" s="161"/>
      <c r="X65" s="97"/>
      <c r="Y65" s="161"/>
      <c r="Z65" s="97"/>
      <c r="AA65" s="84"/>
    </row>
    <row r="66" spans="4:27">
      <c r="D66" s="9"/>
      <c r="E66" s="55"/>
      <c r="F66" s="10"/>
      <c r="G66" s="55"/>
      <c r="H66" s="68"/>
      <c r="I66" s="161"/>
      <c r="J66" s="74"/>
      <c r="K66" s="161"/>
      <c r="L66" s="74"/>
      <c r="M66" s="161"/>
      <c r="N66" s="74"/>
      <c r="O66" s="161"/>
      <c r="P66" s="74"/>
      <c r="Q66" s="161"/>
      <c r="R66" s="121"/>
      <c r="S66" s="161"/>
      <c r="T66" s="121"/>
      <c r="U66" s="161"/>
      <c r="V66" s="121"/>
      <c r="W66" s="161"/>
      <c r="X66" s="121"/>
      <c r="Y66" s="161"/>
      <c r="Z66" s="121"/>
      <c r="AA66" s="84"/>
    </row>
    <row r="67" spans="4:27">
      <c r="D67" s="9"/>
      <c r="E67" s="55"/>
      <c r="F67" s="10"/>
      <c r="G67" s="55"/>
      <c r="H67" s="68"/>
      <c r="I67" s="161"/>
      <c r="J67" s="74"/>
      <c r="K67" s="161"/>
      <c r="L67" s="74"/>
      <c r="M67" s="161"/>
      <c r="N67" s="74"/>
      <c r="O67" s="161"/>
      <c r="P67" s="74"/>
      <c r="Q67" s="161"/>
      <c r="R67" s="121"/>
      <c r="S67" s="161"/>
      <c r="T67" s="121"/>
      <c r="U67" s="161"/>
      <c r="V67" s="85"/>
      <c r="W67" s="161"/>
      <c r="X67" s="121"/>
      <c r="Y67" s="161"/>
      <c r="Z67" s="121"/>
      <c r="AA67" s="84"/>
    </row>
    <row r="68" spans="4:27">
      <c r="D68" s="9"/>
      <c r="E68" s="55"/>
      <c r="F68" s="10"/>
      <c r="G68" s="55"/>
      <c r="H68" s="68"/>
      <c r="I68" s="161"/>
      <c r="J68" s="74"/>
      <c r="K68" s="161"/>
      <c r="L68" s="68"/>
      <c r="M68" s="161"/>
      <c r="N68" s="74"/>
      <c r="O68" s="161"/>
      <c r="P68" s="74"/>
      <c r="Q68" s="161"/>
      <c r="R68" s="74"/>
      <c r="S68" s="161"/>
      <c r="T68" s="123"/>
      <c r="U68" s="161"/>
      <c r="V68" s="121"/>
      <c r="W68" s="161"/>
      <c r="X68" s="121"/>
      <c r="Y68" s="161"/>
      <c r="Z68" s="121"/>
      <c r="AA68" s="84"/>
    </row>
    <row r="69" spans="4:27">
      <c r="D69" s="9"/>
      <c r="E69" s="55"/>
      <c r="F69" s="10"/>
      <c r="G69" s="55"/>
      <c r="H69" s="68"/>
      <c r="I69" s="161"/>
      <c r="J69" s="74"/>
      <c r="K69" s="161"/>
      <c r="L69" s="68"/>
      <c r="M69" s="161"/>
      <c r="N69" s="74"/>
      <c r="O69" s="161"/>
      <c r="P69" s="74"/>
      <c r="Q69" s="161"/>
      <c r="R69" s="74"/>
      <c r="S69" s="161"/>
      <c r="T69" s="74"/>
      <c r="U69" s="161"/>
      <c r="V69" s="123"/>
      <c r="W69" s="161"/>
      <c r="X69" s="121"/>
      <c r="Y69" s="161"/>
      <c r="Z69" s="121"/>
      <c r="AA69" s="84"/>
    </row>
    <row r="70" spans="4:27">
      <c r="D70" s="9"/>
      <c r="E70" s="55"/>
      <c r="F70" s="10"/>
      <c r="G70" s="55"/>
      <c r="H70" s="68"/>
      <c r="I70" s="161"/>
      <c r="J70" s="74"/>
      <c r="K70" s="161"/>
      <c r="L70" s="68"/>
      <c r="M70" s="161"/>
      <c r="N70" s="74"/>
      <c r="O70" s="161"/>
      <c r="P70" s="74"/>
      <c r="Q70" s="161"/>
      <c r="R70" s="74"/>
      <c r="S70" s="161"/>
      <c r="T70" s="74"/>
      <c r="U70" s="161"/>
      <c r="V70" s="123"/>
      <c r="W70" s="161"/>
      <c r="X70" s="85"/>
      <c r="Y70" s="161"/>
      <c r="Z70" s="74"/>
      <c r="AA70" s="84"/>
    </row>
    <row r="71" spans="4:27">
      <c r="D71" s="9"/>
      <c r="E71" s="55"/>
      <c r="F71" s="10"/>
      <c r="G71" s="55"/>
      <c r="H71" s="68"/>
      <c r="I71" s="161"/>
      <c r="J71" s="74"/>
      <c r="K71" s="161"/>
      <c r="L71" s="68"/>
      <c r="M71" s="161"/>
      <c r="N71" s="74"/>
      <c r="O71" s="161"/>
      <c r="P71" s="74"/>
      <c r="Q71" s="161"/>
      <c r="R71" s="74"/>
      <c r="S71" s="161"/>
      <c r="T71" s="74"/>
      <c r="U71" s="161"/>
      <c r="V71" s="74"/>
      <c r="W71" s="161"/>
      <c r="X71" s="121"/>
      <c r="Y71" s="161"/>
      <c r="Z71" s="74"/>
      <c r="AA71" s="84"/>
    </row>
    <row r="72" spans="4:27">
      <c r="D72" s="9"/>
      <c r="E72" s="55"/>
      <c r="F72" s="10"/>
      <c r="G72" s="55"/>
      <c r="H72" s="68"/>
      <c r="I72" s="161"/>
      <c r="J72" s="74"/>
      <c r="K72" s="161"/>
      <c r="L72" s="68"/>
      <c r="M72" s="161"/>
      <c r="N72" s="74"/>
      <c r="O72" s="161"/>
      <c r="P72" s="74"/>
      <c r="Q72" s="161"/>
      <c r="R72" s="74"/>
      <c r="S72" s="161"/>
      <c r="T72" s="74"/>
      <c r="U72" s="161"/>
      <c r="V72" s="74"/>
      <c r="W72" s="161"/>
      <c r="X72" s="123"/>
      <c r="Y72" s="161"/>
      <c r="Z72" s="74"/>
      <c r="AA72" s="84"/>
    </row>
    <row r="73" spans="4:27">
      <c r="D73" s="9"/>
      <c r="E73" s="55"/>
      <c r="F73" s="10"/>
      <c r="G73" s="55"/>
      <c r="H73" s="68"/>
      <c r="I73" s="161"/>
      <c r="J73" s="74"/>
      <c r="K73" s="161"/>
      <c r="L73" s="68"/>
      <c r="M73" s="161"/>
      <c r="N73" s="74"/>
      <c r="O73" s="161"/>
      <c r="P73" s="74"/>
      <c r="Q73" s="161"/>
      <c r="R73" s="74"/>
      <c r="S73" s="161"/>
      <c r="T73" s="74"/>
      <c r="U73" s="161"/>
      <c r="V73" s="74"/>
      <c r="W73" s="161"/>
      <c r="X73" s="123"/>
      <c r="Y73" s="161"/>
      <c r="Z73" s="74"/>
      <c r="AA73" s="84"/>
    </row>
    <row r="74" spans="4:27">
      <c r="D74" s="9"/>
      <c r="E74" s="55"/>
      <c r="F74" s="10"/>
      <c r="G74" s="55"/>
      <c r="H74" s="68"/>
      <c r="I74" s="161"/>
      <c r="J74" s="74"/>
      <c r="K74" s="161"/>
      <c r="L74" s="68"/>
      <c r="M74" s="161"/>
      <c r="N74" s="74"/>
      <c r="O74" s="161"/>
      <c r="P74" s="74"/>
      <c r="Q74" s="161"/>
      <c r="R74" s="74"/>
      <c r="S74" s="161"/>
      <c r="T74" s="74"/>
      <c r="U74" s="161"/>
      <c r="V74" s="74"/>
      <c r="W74" s="161"/>
      <c r="X74" s="74"/>
      <c r="Y74" s="161"/>
      <c r="Z74" s="74"/>
      <c r="AA74" s="84"/>
    </row>
    <row r="75" spans="4:27">
      <c r="D75" s="9"/>
      <c r="E75" s="55"/>
      <c r="F75" s="10"/>
      <c r="G75" s="55"/>
      <c r="H75" s="68"/>
      <c r="I75" s="161"/>
      <c r="J75" s="74"/>
      <c r="K75" s="161"/>
      <c r="L75" s="68"/>
      <c r="M75" s="161"/>
      <c r="N75" s="74"/>
      <c r="O75" s="161"/>
      <c r="P75" s="74"/>
      <c r="Q75" s="161"/>
      <c r="R75" s="74"/>
      <c r="S75" s="161"/>
      <c r="T75" s="74"/>
      <c r="U75" s="161"/>
      <c r="V75" s="74"/>
      <c r="W75" s="161"/>
      <c r="X75" s="74"/>
      <c r="Y75" s="161"/>
      <c r="Z75" s="74"/>
      <c r="AA75" s="84"/>
    </row>
    <row r="76" spans="4:27">
      <c r="D76" s="9"/>
      <c r="E76" s="55"/>
      <c r="F76" s="10"/>
      <c r="G76" s="55"/>
      <c r="I76" s="55"/>
      <c r="J76" s="10"/>
      <c r="K76" s="55"/>
      <c r="M76" s="55"/>
      <c r="N76" s="10"/>
      <c r="O76" s="55"/>
      <c r="P76" s="10"/>
      <c r="Q76" s="55"/>
      <c r="R76" s="10"/>
      <c r="S76" s="55"/>
      <c r="T76" s="74"/>
      <c r="U76" s="55"/>
      <c r="V76" s="74"/>
      <c r="W76" s="55"/>
      <c r="X76" s="74"/>
      <c r="Y76" s="55"/>
      <c r="Z76" s="74"/>
      <c r="AA76" s="384"/>
    </row>
    <row r="77" spans="4:27">
      <c r="D77" s="9"/>
      <c r="E77" s="55"/>
      <c r="F77" s="10"/>
      <c r="G77" s="55"/>
      <c r="I77" s="55"/>
      <c r="J77" s="10"/>
      <c r="K77" s="55"/>
      <c r="M77" s="55"/>
      <c r="N77" s="10"/>
      <c r="O77" s="55"/>
      <c r="P77" s="10"/>
      <c r="Q77" s="55"/>
      <c r="R77" s="10"/>
      <c r="S77" s="55"/>
      <c r="T77" s="74"/>
      <c r="U77" s="55"/>
      <c r="V77" s="74"/>
      <c r="W77" s="55"/>
      <c r="X77" s="74"/>
      <c r="Y77" s="55"/>
      <c r="Z77" s="74"/>
      <c r="AA77" s="384"/>
    </row>
    <row r="78" spans="4:27">
      <c r="D78" s="9"/>
      <c r="E78" s="55"/>
      <c r="F78" s="10"/>
      <c r="G78" s="55"/>
      <c r="I78" s="55"/>
      <c r="J78" s="10"/>
      <c r="K78" s="55"/>
      <c r="M78" s="55"/>
      <c r="N78" s="10"/>
      <c r="O78" s="55"/>
      <c r="P78" s="10"/>
      <c r="Q78" s="55"/>
      <c r="R78" s="10"/>
      <c r="S78" s="55"/>
      <c r="T78" s="74"/>
      <c r="U78" s="55"/>
      <c r="V78" s="74"/>
      <c r="W78" s="55"/>
      <c r="X78" s="74"/>
      <c r="Y78" s="55"/>
      <c r="Z78" s="74"/>
      <c r="AA78" s="384"/>
    </row>
    <row r="79" spans="4:27">
      <c r="D79" s="59"/>
      <c r="E79" s="60"/>
      <c r="F79" s="62"/>
      <c r="G79" s="60"/>
      <c r="H79" s="11"/>
      <c r="I79" s="60"/>
      <c r="J79" s="62"/>
      <c r="K79" s="60"/>
      <c r="L79" s="11"/>
      <c r="M79" s="60"/>
      <c r="N79" s="62"/>
      <c r="O79" s="60"/>
      <c r="P79" s="62"/>
      <c r="Q79" s="60"/>
      <c r="R79" s="62"/>
      <c r="S79" s="60"/>
      <c r="T79" s="85"/>
      <c r="U79" s="60"/>
      <c r="V79" s="85"/>
      <c r="W79" s="60"/>
      <c r="X79" s="85"/>
      <c r="Y79" s="60"/>
      <c r="Z79" s="85"/>
      <c r="AA79" s="385"/>
    </row>
    <row r="80" spans="4:27">
      <c r="D80" s="59"/>
      <c r="E80" s="60"/>
      <c r="F80" s="62"/>
      <c r="G80" s="60"/>
      <c r="H80" s="11"/>
      <c r="I80" s="60"/>
      <c r="J80" s="62"/>
      <c r="K80" s="60"/>
      <c r="L80" s="11"/>
      <c r="M80" s="60"/>
      <c r="N80" s="62"/>
      <c r="O80" s="60"/>
      <c r="P80" s="62"/>
      <c r="Q80" s="60"/>
      <c r="R80" s="62"/>
      <c r="S80" s="60"/>
      <c r="T80" s="85"/>
      <c r="U80" s="60"/>
      <c r="V80" s="85"/>
      <c r="W80" s="60"/>
      <c r="X80" s="85"/>
      <c r="Y80" s="60"/>
      <c r="Z80" s="85"/>
      <c r="AA80" s="385"/>
    </row>
    <row r="81" spans="4:27">
      <c r="D81" s="59"/>
      <c r="E81" s="60"/>
      <c r="F81" s="62"/>
      <c r="G81" s="60"/>
      <c r="H81" s="11"/>
      <c r="I81" s="60"/>
      <c r="J81" s="62"/>
      <c r="K81" s="60"/>
      <c r="L81" s="11"/>
      <c r="M81" s="60"/>
      <c r="N81" s="62"/>
      <c r="O81" s="60"/>
      <c r="P81" s="62"/>
      <c r="Q81" s="60"/>
      <c r="R81" s="62"/>
      <c r="S81" s="60"/>
      <c r="T81" s="85"/>
      <c r="U81" s="60"/>
      <c r="V81" s="85"/>
      <c r="W81" s="60"/>
      <c r="X81" s="85"/>
      <c r="Y81" s="60"/>
      <c r="Z81" s="85"/>
      <c r="AA81" s="385"/>
    </row>
    <row r="82" spans="4:27">
      <c r="D82" s="59"/>
      <c r="E82" s="60"/>
      <c r="F82" s="62"/>
      <c r="G82" s="60"/>
      <c r="H82" s="11"/>
      <c r="I82" s="60"/>
      <c r="J82" s="62"/>
      <c r="K82" s="60"/>
      <c r="L82" s="11"/>
      <c r="M82" s="60"/>
      <c r="N82" s="62"/>
      <c r="O82" s="60"/>
      <c r="P82" s="62"/>
      <c r="Q82" s="60"/>
      <c r="R82" s="62"/>
      <c r="S82" s="60"/>
      <c r="T82" s="85"/>
      <c r="U82" s="60"/>
      <c r="V82" s="85"/>
      <c r="W82" s="60"/>
      <c r="X82" s="85"/>
      <c r="Y82" s="60"/>
      <c r="Z82" s="85"/>
      <c r="AA82" s="385"/>
    </row>
    <row r="83" spans="4:27">
      <c r="D83" s="59"/>
      <c r="E83" s="60"/>
      <c r="F83" s="62"/>
      <c r="G83" s="60"/>
      <c r="H83" s="11"/>
      <c r="I83" s="60"/>
      <c r="J83" s="62"/>
      <c r="K83" s="60"/>
      <c r="L83" s="11"/>
      <c r="M83" s="60"/>
      <c r="N83" s="62"/>
      <c r="O83" s="60"/>
      <c r="P83" s="62"/>
      <c r="Q83" s="60"/>
      <c r="R83" s="62"/>
      <c r="S83" s="60"/>
      <c r="T83" s="85"/>
      <c r="U83" s="60"/>
      <c r="V83" s="85"/>
      <c r="W83" s="60"/>
      <c r="X83" s="85"/>
      <c r="Y83" s="60"/>
      <c r="Z83" s="85"/>
      <c r="AA83" s="385"/>
    </row>
    <row r="84" spans="4:27">
      <c r="D84" s="59"/>
      <c r="E84" s="60"/>
      <c r="F84" s="62"/>
      <c r="G84" s="60"/>
      <c r="H84" s="11"/>
      <c r="I84" s="60"/>
      <c r="J84" s="62"/>
      <c r="K84" s="60"/>
      <c r="L84" s="11"/>
      <c r="M84" s="60"/>
      <c r="N84" s="62"/>
      <c r="O84" s="60"/>
      <c r="P84" s="62"/>
      <c r="Q84" s="60"/>
      <c r="R84" s="62"/>
      <c r="S84" s="60"/>
      <c r="T84" s="85"/>
      <c r="U84" s="60"/>
      <c r="V84" s="85"/>
      <c r="W84" s="60"/>
      <c r="X84" s="85"/>
      <c r="Y84" s="60"/>
      <c r="Z84" s="85"/>
      <c r="AA84" s="385"/>
    </row>
    <row r="85" spans="4:27">
      <c r="D85" s="59"/>
      <c r="E85" s="60"/>
      <c r="F85" s="62"/>
      <c r="G85" s="60"/>
      <c r="H85" s="11"/>
      <c r="I85" s="60"/>
      <c r="J85" s="62"/>
      <c r="K85" s="60"/>
      <c r="L85" s="11"/>
      <c r="M85" s="60"/>
      <c r="N85" s="62"/>
      <c r="O85" s="60"/>
      <c r="P85" s="62"/>
      <c r="Q85" s="60"/>
      <c r="R85" s="62"/>
      <c r="S85" s="60"/>
      <c r="T85" s="85"/>
      <c r="U85" s="60"/>
      <c r="V85" s="85"/>
      <c r="W85" s="60"/>
      <c r="X85" s="85"/>
      <c r="Y85" s="60"/>
      <c r="Z85" s="85"/>
      <c r="AA85" s="385"/>
    </row>
    <row r="86" spans="4:27">
      <c r="D86" s="59"/>
      <c r="E86" s="60"/>
      <c r="F86" s="62"/>
      <c r="G86" s="60"/>
      <c r="H86" s="11"/>
      <c r="I86" s="60"/>
      <c r="J86" s="62"/>
      <c r="K86" s="60"/>
      <c r="L86" s="11"/>
      <c r="M86" s="60"/>
      <c r="N86" s="62"/>
      <c r="O86" s="60"/>
      <c r="P86" s="62"/>
      <c r="Q86" s="60"/>
      <c r="R86" s="62"/>
      <c r="S86" s="60"/>
      <c r="T86" s="85"/>
      <c r="U86" s="60"/>
      <c r="V86" s="85"/>
      <c r="W86" s="60"/>
      <c r="X86" s="85"/>
      <c r="Y86" s="60"/>
      <c r="Z86" s="85"/>
      <c r="AA86" s="385"/>
    </row>
    <row r="87" spans="4:27">
      <c r="D87" s="59"/>
      <c r="E87" s="60"/>
      <c r="F87" s="62"/>
      <c r="G87" s="60"/>
      <c r="H87" s="11"/>
      <c r="I87" s="60"/>
      <c r="J87" s="62"/>
      <c r="K87" s="60"/>
      <c r="L87" s="11"/>
      <c r="M87" s="60"/>
      <c r="N87" s="62"/>
      <c r="O87" s="60"/>
      <c r="P87" s="62"/>
      <c r="Q87" s="60"/>
      <c r="R87" s="62"/>
      <c r="S87" s="60"/>
      <c r="T87" s="85"/>
      <c r="U87" s="60"/>
      <c r="V87" s="85"/>
      <c r="W87" s="60"/>
      <c r="X87" s="85"/>
      <c r="Y87" s="60"/>
      <c r="Z87" s="85"/>
      <c r="AA87" s="385"/>
    </row>
    <row r="88" spans="4:27">
      <c r="D88" s="59"/>
      <c r="E88" s="60"/>
      <c r="F88" s="62"/>
      <c r="G88" s="60"/>
      <c r="H88" s="11"/>
      <c r="I88" s="60"/>
      <c r="J88" s="62"/>
      <c r="K88" s="60"/>
      <c r="L88" s="11"/>
      <c r="M88" s="60"/>
      <c r="N88" s="62"/>
      <c r="O88" s="60"/>
      <c r="P88" s="11"/>
      <c r="Q88" s="60"/>
      <c r="R88" s="11"/>
      <c r="S88" s="60"/>
      <c r="T88" s="86"/>
      <c r="U88" s="60"/>
      <c r="V88" s="86"/>
      <c r="W88" s="60"/>
      <c r="X88" s="86"/>
      <c r="Y88" s="60"/>
      <c r="Z88" s="126"/>
      <c r="AA88" s="60"/>
    </row>
    <row r="89" spans="4:27">
      <c r="D89" s="59"/>
      <c r="E89" s="60"/>
      <c r="F89" s="11"/>
      <c r="G89" s="60"/>
      <c r="H89" s="11"/>
      <c r="I89" s="60"/>
      <c r="J89" s="62"/>
      <c r="K89" s="60"/>
      <c r="L89" s="11"/>
      <c r="M89" s="60"/>
      <c r="N89" s="62"/>
      <c r="O89" s="60"/>
      <c r="P89" s="11"/>
      <c r="Q89" s="60"/>
      <c r="R89" s="11"/>
      <c r="S89" s="60"/>
      <c r="T89" s="86"/>
      <c r="U89" s="60"/>
      <c r="V89" s="86"/>
      <c r="W89" s="60"/>
      <c r="X89" s="86"/>
      <c r="Y89" s="60"/>
      <c r="Z89" s="126"/>
      <c r="AA89" s="60"/>
    </row>
    <row r="90" spans="4:27">
      <c r="D90" s="59"/>
      <c r="E90" s="60"/>
      <c r="F90" s="11"/>
      <c r="G90" s="60"/>
      <c r="H90" s="11"/>
      <c r="I90" s="60"/>
      <c r="J90" s="62"/>
      <c r="K90" s="60"/>
      <c r="L90" s="11"/>
      <c r="M90" s="60"/>
      <c r="N90" s="62"/>
      <c r="O90" s="60"/>
      <c r="P90" s="11"/>
      <c r="Q90" s="60"/>
      <c r="R90" s="11"/>
      <c r="S90" s="60"/>
      <c r="T90" s="86"/>
      <c r="U90" s="60"/>
      <c r="V90" s="86"/>
      <c r="W90" s="60"/>
      <c r="X90" s="86"/>
      <c r="Y90" s="60"/>
      <c r="Z90" s="126"/>
      <c r="AA90" s="60"/>
    </row>
    <row r="91" spans="4:27">
      <c r="D91" s="59"/>
      <c r="E91" s="60"/>
      <c r="F91" s="11"/>
      <c r="G91" s="60"/>
      <c r="H91" s="11"/>
      <c r="I91" s="60"/>
      <c r="J91" s="11"/>
      <c r="K91" s="60"/>
      <c r="L91" s="11"/>
      <c r="M91" s="60"/>
      <c r="N91" s="11"/>
      <c r="O91" s="60"/>
      <c r="P91" s="11"/>
      <c r="Q91" s="60"/>
      <c r="R91" s="11"/>
      <c r="S91" s="60"/>
      <c r="T91" s="86"/>
      <c r="U91" s="60"/>
      <c r="V91" s="86"/>
      <c r="W91" s="60"/>
      <c r="X91" s="86"/>
      <c r="Y91" s="60"/>
      <c r="Z91" s="86"/>
      <c r="AA91" s="60"/>
    </row>
    <row r="92" spans="4:27"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86"/>
      <c r="U92" s="11"/>
      <c r="V92" s="86"/>
      <c r="W92" s="11"/>
      <c r="X92" s="86"/>
      <c r="Y92" s="11"/>
      <c r="Z92" s="86"/>
      <c r="AA92" s="11"/>
    </row>
    <row r="93" spans="4:27"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86"/>
      <c r="U93" s="11"/>
      <c r="V93" s="86"/>
      <c r="W93" s="11"/>
      <c r="X93" s="86"/>
      <c r="Y93" s="11"/>
      <c r="Z93" s="86"/>
      <c r="AA93" s="11"/>
    </row>
    <row r="94" spans="4:27"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86"/>
      <c r="U94" s="11"/>
      <c r="V94" s="86"/>
      <c r="W94" s="11"/>
      <c r="X94" s="86"/>
      <c r="Y94" s="11"/>
      <c r="Z94" s="86"/>
      <c r="AA94" s="11"/>
    </row>
  </sheetData>
  <mergeCells count="15">
    <mergeCell ref="T9:U9"/>
    <mergeCell ref="V9:W9"/>
    <mergeCell ref="X9:Y9"/>
    <mergeCell ref="Z9:AA9"/>
    <mergeCell ref="J9:K9"/>
    <mergeCell ref="L9:M9"/>
    <mergeCell ref="N9:O9"/>
    <mergeCell ref="P9:Q9"/>
    <mergeCell ref="R9:S9"/>
    <mergeCell ref="H63:H65"/>
    <mergeCell ref="B56:C56"/>
    <mergeCell ref="B9:C9"/>
    <mergeCell ref="D9:E9"/>
    <mergeCell ref="F9:G9"/>
    <mergeCell ref="H9:I9"/>
  </mergeCells>
  <phoneticPr fontId="1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BB64"/>
  <sheetViews>
    <sheetView tabSelected="1" topLeftCell="A7" zoomScaleNormal="100" workbookViewId="0">
      <pane xSplit="2" ySplit="4" topLeftCell="AG11" activePane="bottomRight" state="frozen"/>
      <selection activeCell="A7" sqref="A7"/>
      <selection pane="topRight" activeCell="C7" sqref="C7"/>
      <selection pane="bottomLeft" activeCell="A11" sqref="A11"/>
      <selection pane="bottomRight" activeCell="BD49" sqref="BD49"/>
    </sheetView>
  </sheetViews>
  <sheetFormatPr defaultColWidth="9" defaultRowHeight="16.5" outlineLevelRow="1" outlineLevelCol="1"/>
  <cols>
    <col min="1" max="1" width="5.75" style="1" customWidth="1"/>
    <col min="2" max="2" width="14.75" style="1" customWidth="1"/>
    <col min="3" max="5" width="9" style="2"/>
    <col min="6" max="6" width="9" style="13"/>
    <col min="7" max="9" width="9" style="2" customWidth="1"/>
    <col min="10" max="10" width="9" style="358" customWidth="1"/>
    <col min="11" max="13" width="9" style="2" customWidth="1"/>
    <col min="14" max="14" width="9" style="358" customWidth="1"/>
    <col min="15" max="17" width="9" style="2" customWidth="1"/>
    <col min="18" max="18" width="9" style="358" customWidth="1"/>
    <col min="19" max="21" width="9" style="2" customWidth="1"/>
    <col min="22" max="22" width="9" style="358" customWidth="1"/>
    <col min="23" max="25" width="9" style="2" customWidth="1"/>
    <col min="26" max="26" width="9" style="358" customWidth="1"/>
    <col min="27" max="29" width="9" style="2" customWidth="1"/>
    <col min="30" max="30" width="9" style="358" customWidth="1"/>
    <col min="31" max="33" width="9" style="2" customWidth="1"/>
    <col min="34" max="34" width="9" style="358" customWidth="1"/>
    <col min="35" max="37" width="9" style="2" customWidth="1"/>
    <col min="38" max="38" width="9" style="358" customWidth="1"/>
    <col min="39" max="41" width="9" style="2" customWidth="1"/>
    <col min="42" max="42" width="9" style="358" customWidth="1"/>
    <col min="43" max="45" width="9" style="2" customWidth="1"/>
    <col min="46" max="46" width="9" style="358" customWidth="1"/>
    <col min="47" max="49" width="9" style="2" customWidth="1" outlineLevel="1"/>
    <col min="50" max="50" width="9" style="358" customWidth="1" outlineLevel="1"/>
    <col min="51" max="53" width="9" style="2" customWidth="1"/>
    <col min="54" max="54" width="9" style="13" customWidth="1"/>
    <col min="55" max="16384" width="9" style="1"/>
  </cols>
  <sheetData>
    <row r="2" spans="1:54">
      <c r="A2" s="294"/>
      <c r="B2" s="294"/>
    </row>
    <row r="3" spans="1:54">
      <c r="A3" s="294"/>
      <c r="B3" s="294"/>
    </row>
    <row r="4" spans="1:54">
      <c r="A4" s="294"/>
      <c r="B4" s="294"/>
    </row>
    <row r="5" spans="1:54">
      <c r="A5" s="294"/>
      <c r="B5" s="294"/>
    </row>
    <row r="6" spans="1:54">
      <c r="A6" s="294"/>
      <c r="B6" s="294"/>
    </row>
    <row r="7" spans="1:54" ht="19.899999999999999">
      <c r="A7" s="54" t="s">
        <v>323</v>
      </c>
      <c r="B7" s="45"/>
      <c r="BB7" s="404" t="str">
        <f>+PL推移!D7</f>
        <v>㈱Ｓクリエイト</v>
      </c>
    </row>
    <row r="8" spans="1:54" s="6" customFormat="1">
      <c r="A8" s="292">
        <f>+PL推移!B8</f>
        <v>2025</v>
      </c>
      <c r="B8" s="292" t="s">
        <v>139</v>
      </c>
      <c r="C8" s="403"/>
      <c r="D8" s="401"/>
      <c r="E8" s="401"/>
      <c r="F8" s="401"/>
      <c r="G8" s="402"/>
      <c r="H8" s="295"/>
      <c r="I8" s="295"/>
      <c r="J8" s="297"/>
      <c r="K8" s="295"/>
      <c r="L8" s="295"/>
      <c r="M8" s="295"/>
      <c r="N8" s="297"/>
      <c r="O8" s="295"/>
      <c r="P8" s="295"/>
      <c r="Q8" s="295"/>
      <c r="R8" s="297"/>
      <c r="S8" s="295"/>
      <c r="T8" s="295"/>
      <c r="U8" s="295"/>
      <c r="V8" s="297"/>
      <c r="W8" s="295"/>
      <c r="X8" s="295"/>
      <c r="Y8" s="295"/>
      <c r="Z8" s="297"/>
      <c r="AA8" s="295"/>
      <c r="AB8" s="295"/>
      <c r="AC8" s="295"/>
      <c r="AD8" s="297"/>
      <c r="AE8" s="295"/>
      <c r="AF8" s="295"/>
      <c r="AG8" s="295"/>
      <c r="AH8" s="297"/>
      <c r="AI8" s="295"/>
      <c r="AJ8" s="295"/>
      <c r="AK8" s="295"/>
      <c r="AL8" s="297"/>
      <c r="AM8" s="295"/>
      <c r="AN8" s="295"/>
      <c r="AO8" s="295"/>
      <c r="AP8" s="297"/>
      <c r="AQ8" s="295"/>
      <c r="AR8" s="295"/>
      <c r="AS8" s="295"/>
      <c r="AT8" s="297"/>
      <c r="AU8" s="295"/>
      <c r="AV8" s="295"/>
      <c r="AW8" s="295"/>
      <c r="AX8" s="297"/>
      <c r="AY8" s="295"/>
      <c r="AZ8" s="295"/>
      <c r="BA8" s="295"/>
      <c r="BB8" s="296" t="s">
        <v>332</v>
      </c>
    </row>
    <row r="9" spans="1:54" s="373" customFormat="1" ht="18.75" customHeight="1">
      <c r="A9" s="563" t="s">
        <v>140</v>
      </c>
      <c r="B9" s="564"/>
      <c r="C9" s="557">
        <f>+PL推移!D9</f>
        <v>7</v>
      </c>
      <c r="D9" s="558"/>
      <c r="E9" s="558"/>
      <c r="F9" s="559"/>
      <c r="G9" s="560">
        <f>+PL推移!F9</f>
        <v>8</v>
      </c>
      <c r="H9" s="558"/>
      <c r="I9" s="558"/>
      <c r="J9" s="561"/>
      <c r="K9" s="562">
        <f>+PL推移!H9</f>
        <v>9</v>
      </c>
      <c r="L9" s="558"/>
      <c r="M9" s="558"/>
      <c r="N9" s="559"/>
      <c r="O9" s="560">
        <f>+PL推移!J9</f>
        <v>10</v>
      </c>
      <c r="P9" s="558"/>
      <c r="Q9" s="558"/>
      <c r="R9" s="561"/>
      <c r="S9" s="562">
        <f>+PL推移!L9</f>
        <v>11</v>
      </c>
      <c r="T9" s="558"/>
      <c r="U9" s="558"/>
      <c r="V9" s="559"/>
      <c r="W9" s="560">
        <f>+PL推移!N9</f>
        <v>12</v>
      </c>
      <c r="X9" s="558"/>
      <c r="Y9" s="558"/>
      <c r="Z9" s="561"/>
      <c r="AA9" s="562">
        <f>+PL推移!P9</f>
        <v>1</v>
      </c>
      <c r="AB9" s="558"/>
      <c r="AC9" s="558"/>
      <c r="AD9" s="559"/>
      <c r="AE9" s="560">
        <f>+PL推移!R9</f>
        <v>2</v>
      </c>
      <c r="AF9" s="558"/>
      <c r="AG9" s="558"/>
      <c r="AH9" s="559"/>
      <c r="AI9" s="569">
        <f>+PL推移!T9</f>
        <v>3</v>
      </c>
      <c r="AJ9" s="570"/>
      <c r="AK9" s="570"/>
      <c r="AL9" s="571"/>
      <c r="AM9" s="569">
        <f>+PL推移!V9</f>
        <v>4</v>
      </c>
      <c r="AN9" s="570"/>
      <c r="AO9" s="570"/>
      <c r="AP9" s="571"/>
      <c r="AQ9" s="569">
        <f>+PL推移!X9</f>
        <v>5</v>
      </c>
      <c r="AR9" s="570"/>
      <c r="AS9" s="570"/>
      <c r="AT9" s="571"/>
      <c r="AU9" s="569">
        <f>+PL推移!Z9</f>
        <v>6</v>
      </c>
      <c r="AV9" s="570"/>
      <c r="AW9" s="570"/>
      <c r="AX9" s="571"/>
      <c r="AY9" s="567" t="s">
        <v>324</v>
      </c>
      <c r="AZ9" s="558"/>
      <c r="BA9" s="558"/>
      <c r="BB9" s="568"/>
    </row>
    <row r="10" spans="1:54" s="320" customFormat="1" ht="19.5" customHeight="1" thickBot="1">
      <c r="A10" s="565"/>
      <c r="B10" s="566"/>
      <c r="C10" s="405" t="s">
        <v>326</v>
      </c>
      <c r="D10" s="423" t="s">
        <v>328</v>
      </c>
      <c r="E10" s="319" t="s">
        <v>329</v>
      </c>
      <c r="F10" s="318" t="s">
        <v>331</v>
      </c>
      <c r="G10" s="414" t="s">
        <v>325</v>
      </c>
      <c r="H10" s="423" t="s">
        <v>327</v>
      </c>
      <c r="I10" s="319" t="s">
        <v>329</v>
      </c>
      <c r="J10" s="317" t="s">
        <v>330</v>
      </c>
      <c r="K10" s="316" t="s">
        <v>325</v>
      </c>
      <c r="L10" s="505" t="s">
        <v>327</v>
      </c>
      <c r="M10" s="338" t="s">
        <v>329</v>
      </c>
      <c r="N10" s="318" t="s">
        <v>330</v>
      </c>
      <c r="O10" s="316" t="s">
        <v>325</v>
      </c>
      <c r="P10" s="505" t="s">
        <v>327</v>
      </c>
      <c r="Q10" s="338" t="s">
        <v>329</v>
      </c>
      <c r="R10" s="318" t="s">
        <v>330</v>
      </c>
      <c r="S10" s="316" t="s">
        <v>325</v>
      </c>
      <c r="T10" s="505" t="s">
        <v>327</v>
      </c>
      <c r="U10" s="338" t="s">
        <v>329</v>
      </c>
      <c r="V10" s="318" t="s">
        <v>330</v>
      </c>
      <c r="W10" s="316" t="s">
        <v>325</v>
      </c>
      <c r="X10" s="505" t="s">
        <v>327</v>
      </c>
      <c r="Y10" s="338" t="s">
        <v>329</v>
      </c>
      <c r="Z10" s="318" t="s">
        <v>330</v>
      </c>
      <c r="AA10" s="316" t="s">
        <v>325</v>
      </c>
      <c r="AB10" s="348" t="s">
        <v>327</v>
      </c>
      <c r="AC10" s="338" t="s">
        <v>329</v>
      </c>
      <c r="AD10" s="318" t="s">
        <v>330</v>
      </c>
      <c r="AE10" s="316" t="s">
        <v>325</v>
      </c>
      <c r="AF10" s="348" t="s">
        <v>327</v>
      </c>
      <c r="AG10" s="338" t="s">
        <v>329</v>
      </c>
      <c r="AH10" s="318" t="s">
        <v>330</v>
      </c>
      <c r="AI10" s="316" t="s">
        <v>325</v>
      </c>
      <c r="AJ10" s="348" t="s">
        <v>327</v>
      </c>
      <c r="AK10" s="338" t="s">
        <v>329</v>
      </c>
      <c r="AL10" s="317" t="s">
        <v>330</v>
      </c>
      <c r="AM10" s="316" t="s">
        <v>325</v>
      </c>
      <c r="AN10" s="348" t="s">
        <v>327</v>
      </c>
      <c r="AO10" s="338" t="s">
        <v>329</v>
      </c>
      <c r="AP10" s="317" t="s">
        <v>330</v>
      </c>
      <c r="AQ10" s="316" t="s">
        <v>325</v>
      </c>
      <c r="AR10" s="348" t="s">
        <v>327</v>
      </c>
      <c r="AS10" s="338" t="s">
        <v>329</v>
      </c>
      <c r="AT10" s="317" t="s">
        <v>330</v>
      </c>
      <c r="AU10" s="316" t="s">
        <v>325</v>
      </c>
      <c r="AV10" s="348" t="s">
        <v>327</v>
      </c>
      <c r="AW10" s="338" t="s">
        <v>329</v>
      </c>
      <c r="AX10" s="317" t="s">
        <v>330</v>
      </c>
      <c r="AY10" s="405" t="s">
        <v>325</v>
      </c>
      <c r="AZ10" s="423" t="s">
        <v>327</v>
      </c>
      <c r="BA10" s="319" t="s">
        <v>329</v>
      </c>
      <c r="BB10" s="330" t="s">
        <v>330</v>
      </c>
    </row>
    <row r="11" spans="1:54" s="45" customFormat="1" ht="16.899999999999999" thickTop="1">
      <c r="A11" s="45" t="s">
        <v>128</v>
      </c>
      <c r="C11" s="406">
        <f>+収支計画!G17/1000</f>
        <v>622.83299999999997</v>
      </c>
      <c r="D11" s="424">
        <f>+PL推移!D10</f>
        <v>622.83299999999997</v>
      </c>
      <c r="E11" s="313">
        <f t="shared" ref="E11" si="0">SUM(E12:E16)</f>
        <v>0</v>
      </c>
      <c r="F11" s="321">
        <f>IF(C11&lt;&gt;0,D11/C11,"-")</f>
        <v>1</v>
      </c>
      <c r="G11" s="415">
        <f>+収支計画!H17/1000</f>
        <v>559.84199999999998</v>
      </c>
      <c r="H11" s="424">
        <f t="shared" ref="H11:I11" si="1">SUM(H12:H16)</f>
        <v>559.84199999999998</v>
      </c>
      <c r="I11" s="313">
        <f t="shared" si="1"/>
        <v>0</v>
      </c>
      <c r="J11" s="359">
        <f>IF(G11&lt;&gt;0,H11/G11,"-")</f>
        <v>1</v>
      </c>
      <c r="K11" s="312">
        <f>SUM(K12:K16)</f>
        <v>621.88127919999999</v>
      </c>
      <c r="L11" s="506">
        <f>+PL推移!H10</f>
        <v>571.65599999999995</v>
      </c>
      <c r="M11" s="339">
        <f t="shared" ref="M11" si="2">SUM(M12:M16)</f>
        <v>-50.225279200000045</v>
      </c>
      <c r="N11" s="321">
        <f>IF(K11&lt;&gt;0,L11/K11,"-")</f>
        <v>0.91923654742491878</v>
      </c>
      <c r="O11" s="312">
        <f>SUM(O12:O16)</f>
        <v>576.50029840000002</v>
      </c>
      <c r="P11" s="506">
        <f>+PL推移!J10</f>
        <v>571.67999999999995</v>
      </c>
      <c r="Q11" s="339">
        <f t="shared" ref="Q11" si="3">SUM(Q12:Q16)</f>
        <v>-4.8202984000000697</v>
      </c>
      <c r="R11" s="321">
        <f>IF(O11&lt;&gt;0,P11/O11,"-")</f>
        <v>0.99163868880314865</v>
      </c>
      <c r="S11" s="312">
        <f>SUM(S12:S16)</f>
        <v>553.80980800000009</v>
      </c>
      <c r="T11" s="506">
        <f>+PL推移!L10</f>
        <v>482.54199999999997</v>
      </c>
      <c r="U11" s="339">
        <f t="shared" ref="U11" si="4">SUM(U12:U16)</f>
        <v>-71.267808000000116</v>
      </c>
      <c r="V11" s="321">
        <f>IF(S11&lt;&gt;0,T11/S11,"-")</f>
        <v>0.87131356835774909</v>
      </c>
      <c r="W11" s="312">
        <f>+収支計画!L17/1000</f>
        <v>576.50029840000002</v>
      </c>
      <c r="X11" s="506">
        <f>+PL推移!N10</f>
        <v>568.07500000000005</v>
      </c>
      <c r="Y11" s="339">
        <f t="shared" ref="Y11" si="5">SUM(Y12:Y16)</f>
        <v>-8.4252983999999742</v>
      </c>
      <c r="Z11" s="321">
        <f>IF(W11&lt;&gt;0,X11/W11,"-")</f>
        <v>0.9853854396547872</v>
      </c>
      <c r="AA11" s="312">
        <f>+収支計画!M17/1000</f>
        <v>599.19078879999995</v>
      </c>
      <c r="AB11" s="349">
        <f>+PL推移!P10</f>
        <v>573.04499999999996</v>
      </c>
      <c r="AC11" s="339">
        <f t="shared" ref="AC11" si="6">SUM(AC12:AC16)</f>
        <v>-26.145788799999991</v>
      </c>
      <c r="AD11" s="321">
        <f>IF(AA11&lt;&gt;0,AB11/AA11,"-")</f>
        <v>0.95636483522658589</v>
      </c>
      <c r="AE11" s="312">
        <f>+収支計画!N17/1000</f>
        <v>599.19078879999995</v>
      </c>
      <c r="AF11" s="349">
        <f>+PL推移!R10</f>
        <v>566.15800000000002</v>
      </c>
      <c r="AG11" s="339">
        <f t="shared" ref="AG11" si="7">SUM(AG12:AG16)</f>
        <v>-33.032788799999935</v>
      </c>
      <c r="AH11" s="321">
        <f>IF(AE11&lt;&gt;0,AF11/AE11,"-")</f>
        <v>0.94487100032669935</v>
      </c>
      <c r="AI11" s="312">
        <f>+収支計画!O17/1000</f>
        <v>599.19078879999995</v>
      </c>
      <c r="AJ11" s="349">
        <f>+PL推移!T10</f>
        <v>643.46699999999998</v>
      </c>
      <c r="AK11" s="339">
        <f t="shared" ref="AK11" si="8">SUM(AK12:AK16)</f>
        <v>44.276211200000034</v>
      </c>
      <c r="AL11" s="359">
        <f>IF(AI11&lt;&gt;0,AJ11/AI11,"-")</f>
        <v>1.0738933442028908</v>
      </c>
      <c r="AM11" s="312">
        <f>+収支計画!P17/1000</f>
        <v>793.19600000000003</v>
      </c>
      <c r="AN11" s="349">
        <f>+PL推移!V10</f>
        <v>1030.617</v>
      </c>
      <c r="AO11" s="339">
        <f>+AN11-AM11</f>
        <v>237.42099999999994</v>
      </c>
      <c r="AP11" s="359">
        <f>IF(AM11&lt;&gt;0,AN11/AM11,"-")</f>
        <v>1.2993219834694072</v>
      </c>
      <c r="AQ11" s="312">
        <f>+収支計画!Q17/1000</f>
        <v>761.68700000000001</v>
      </c>
      <c r="AR11" s="349">
        <f>+PL推移!X10</f>
        <v>890.404</v>
      </c>
      <c r="AS11" s="339">
        <f>+AR11-AQ11</f>
        <v>128.71699999999998</v>
      </c>
      <c r="AT11" s="359">
        <f>IF(AQ11&lt;&gt;0,AR11/AQ11,"-")</f>
        <v>1.1689893617719613</v>
      </c>
      <c r="AU11" s="312">
        <f>+収支計画!R17/1000</f>
        <v>793.19600000000003</v>
      </c>
      <c r="AV11" s="349">
        <f>+PL推移!Z10</f>
        <v>988.47500000000002</v>
      </c>
      <c r="AW11" s="339">
        <f>+AV11-AU11</f>
        <v>195.279</v>
      </c>
      <c r="AX11" s="359">
        <f>IF(AU11&lt;&gt;0,AV11/AU11,"-")</f>
        <v>1.2461926182179437</v>
      </c>
      <c r="AY11" s="406">
        <f>+C11+G11+K11+O11+S11+W11+AA11+AE11+AI11+AM11+AQ11+AU11</f>
        <v>7657.0180503999991</v>
      </c>
      <c r="AZ11" s="424">
        <f>+D11+H11+L11+P11+T11+X11+AB11+AF11+AJ11+AN11+AR11+AV11</f>
        <v>8068.7939999999999</v>
      </c>
      <c r="BA11" s="313">
        <f>+AZ11-AY11</f>
        <v>411.77594960000079</v>
      </c>
      <c r="BB11" s="331">
        <f>IF(AY11&lt;&gt;0,AZ11/AY11,"-")</f>
        <v>1.0537775863775702</v>
      </c>
    </row>
    <row r="12" spans="1:54">
      <c r="A12" s="175"/>
      <c r="B12" s="443" t="str">
        <f>+PL推移!C11</f>
        <v>売上高</v>
      </c>
      <c r="C12" s="407">
        <f>+収支計画!G11/1000</f>
        <v>622.83299999999997</v>
      </c>
      <c r="D12" s="425">
        <f>+PL推移!D11</f>
        <v>622.83299999999997</v>
      </c>
      <c r="E12" s="301">
        <f>+D12-C12</f>
        <v>0</v>
      </c>
      <c r="F12" s="322">
        <f t="shared" ref="F12:F56" si="9">IF(C12&lt;&gt;0,D12/C12,"-")</f>
        <v>1</v>
      </c>
      <c r="G12" s="416">
        <f>+収支計画!H11/1000</f>
        <v>559.84199999999998</v>
      </c>
      <c r="H12" s="425">
        <f>+PL推移!F11</f>
        <v>559.84199999999998</v>
      </c>
      <c r="I12" s="301">
        <f>+H12-G12</f>
        <v>0</v>
      </c>
      <c r="J12" s="360">
        <f t="shared" ref="J12:J56" si="10">IF(G12&lt;&gt;0,H12/G12,"-")</f>
        <v>1</v>
      </c>
      <c r="K12" s="300">
        <f>+収支計画!I11/1000</f>
        <v>621.88127919999999</v>
      </c>
      <c r="L12" s="507">
        <f>+PL推移!H11</f>
        <v>571.65599999999995</v>
      </c>
      <c r="M12" s="340">
        <f>+L12-K12</f>
        <v>-50.225279200000045</v>
      </c>
      <c r="N12" s="322">
        <f t="shared" ref="N12:N56" si="11">IF(K12&lt;&gt;0,L12/K12,"-")</f>
        <v>0.91923654742491878</v>
      </c>
      <c r="O12" s="300">
        <f>+収支計画!J11/1000</f>
        <v>576.50029840000002</v>
      </c>
      <c r="P12" s="507">
        <f>+PL推移!J11</f>
        <v>571.67999999999995</v>
      </c>
      <c r="Q12" s="340">
        <f>+P12-O12</f>
        <v>-4.8202984000000697</v>
      </c>
      <c r="R12" s="322">
        <f t="shared" ref="R12:R56" si="12">IF(O12&lt;&gt;0,P12/O12,"-")</f>
        <v>0.99163868880314865</v>
      </c>
      <c r="S12" s="300">
        <f>+収支計画!K11/1000</f>
        <v>553.80980800000009</v>
      </c>
      <c r="T12" s="507">
        <f>+PL推移!L11</f>
        <v>482.54199999999997</v>
      </c>
      <c r="U12" s="340">
        <f>+T12-S12</f>
        <v>-71.267808000000116</v>
      </c>
      <c r="V12" s="322">
        <f t="shared" ref="V12:V56" si="13">IF(S12&lt;&gt;0,T12/S12,"-")</f>
        <v>0.87131356835774909</v>
      </c>
      <c r="W12" s="300">
        <f>+収支計画!L11/1000</f>
        <v>576.50029840000002</v>
      </c>
      <c r="X12" s="507">
        <f>+PL推移!N11</f>
        <v>568.07500000000005</v>
      </c>
      <c r="Y12" s="340">
        <f>+X12-W12</f>
        <v>-8.4252983999999742</v>
      </c>
      <c r="Z12" s="322">
        <f t="shared" ref="Z12:Z56" si="14">IF(W12&lt;&gt;0,X12/W12,"-")</f>
        <v>0.9853854396547872</v>
      </c>
      <c r="AA12" s="300">
        <f>+収支計画!M11/1000</f>
        <v>599.19078879999995</v>
      </c>
      <c r="AB12" s="350">
        <f>+PL推移!P11</f>
        <v>573.04499999999996</v>
      </c>
      <c r="AC12" s="340">
        <f>+AB12-AA12</f>
        <v>-26.145788799999991</v>
      </c>
      <c r="AD12" s="322">
        <f t="shared" ref="AD12:AD56" si="15">IF(AA12&lt;&gt;0,AB12/AA12,"-")</f>
        <v>0.95636483522658589</v>
      </c>
      <c r="AE12" s="300">
        <f>+収支計画!O17/1000</f>
        <v>599.19078879999995</v>
      </c>
      <c r="AF12" s="350">
        <f>+PL推移!R11</f>
        <v>566.15800000000002</v>
      </c>
      <c r="AG12" s="340">
        <f>+AF12-AE12</f>
        <v>-33.032788799999935</v>
      </c>
      <c r="AH12" s="322">
        <f t="shared" ref="AH12:AH56" si="16">IF(AE12&lt;&gt;0,AF12/AE12,"-")</f>
        <v>0.94487100032669935</v>
      </c>
      <c r="AI12" s="300">
        <f>+収支計画!O11/1000</f>
        <v>599.19078879999995</v>
      </c>
      <c r="AJ12" s="350">
        <f>+PL推移!T11</f>
        <v>643.46699999999998</v>
      </c>
      <c r="AK12" s="340">
        <f>+AJ12-AI12</f>
        <v>44.276211200000034</v>
      </c>
      <c r="AL12" s="360">
        <f t="shared" ref="AL12:AL56" si="17">IF(AI12&lt;&gt;0,AJ12/AI12,"-")</f>
        <v>1.0738933442028908</v>
      </c>
      <c r="AM12" s="300">
        <f>+収支計画!P11/1000</f>
        <v>793.19600000000003</v>
      </c>
      <c r="AN12" s="350">
        <f>+PL推移!V11</f>
        <v>1030.617</v>
      </c>
      <c r="AO12" s="340">
        <f t="shared" ref="AO12:AO55" si="18">+AN12-AM12</f>
        <v>237.42099999999994</v>
      </c>
      <c r="AP12" s="360">
        <f t="shared" ref="AP12:AP56" si="19">IF(AM12&lt;&gt;0,AN12/AM12,"-")</f>
        <v>1.2993219834694072</v>
      </c>
      <c r="AQ12" s="300">
        <f>+収支計画!Q11/1000</f>
        <v>761.68700000000001</v>
      </c>
      <c r="AR12" s="350">
        <f>+PL推移!X11</f>
        <v>890.404</v>
      </c>
      <c r="AS12" s="340">
        <f t="shared" ref="AS12:AS55" si="20">+AR12-AQ12</f>
        <v>128.71699999999998</v>
      </c>
      <c r="AT12" s="360">
        <f t="shared" ref="AT12:AT56" si="21">IF(AQ12&lt;&gt;0,AR12/AQ12,"-")</f>
        <v>1.1689893617719613</v>
      </c>
      <c r="AU12" s="300">
        <f>+収支計画!R11/1000</f>
        <v>793.19600000000003</v>
      </c>
      <c r="AV12" s="350">
        <f>+PL推移!Z11</f>
        <v>0</v>
      </c>
      <c r="AW12" s="340">
        <f t="shared" ref="AW12:AW55" si="22">+AV12-AU12</f>
        <v>-793.19600000000003</v>
      </c>
      <c r="AX12" s="360">
        <f t="shared" ref="AX12:AX56" si="23">IF(AU12&lt;&gt;0,AV12/AU12,"-")</f>
        <v>0</v>
      </c>
      <c r="AY12" s="407">
        <f t="shared" ref="AY12:AY51" si="24">+C12+G12+K12+O12+S12+W12+AA12+AE12+AI12+AM12+AQ12+AU12</f>
        <v>7657.0180503999991</v>
      </c>
      <c r="AZ12" s="425">
        <f t="shared" ref="AZ12:AZ51" si="25">+D12+H12+L12+P12+T12+X12+AB12+AF12+AJ12+AN12+AR12+AV12</f>
        <v>7080.3189999999995</v>
      </c>
      <c r="BA12" s="301">
        <f t="shared" ref="BA12:BA51" si="26">+AZ12-AY12</f>
        <v>-576.69905039999958</v>
      </c>
      <c r="BB12" s="332">
        <f t="shared" ref="BB12:BB56" si="27">IF(AY12&lt;&gt;0,AZ12/AY12,"-")</f>
        <v>0.92468359789619758</v>
      </c>
    </row>
    <row r="13" spans="1:54">
      <c r="A13" s="175"/>
      <c r="B13" s="5">
        <f>+PL推移!C12</f>
        <v>0</v>
      </c>
      <c r="C13" s="408">
        <f>+収支計画!G12/1000</f>
        <v>0</v>
      </c>
      <c r="D13" s="426">
        <f>+PL推移!D12</f>
        <v>0</v>
      </c>
      <c r="E13" s="303">
        <f t="shared" ref="E13:E24" si="28">+D13-C13</f>
        <v>0</v>
      </c>
      <c r="F13" s="323" t="str">
        <f t="shared" si="9"/>
        <v>-</v>
      </c>
      <c r="G13" s="417">
        <f>+収支計画!H12/1000</f>
        <v>0</v>
      </c>
      <c r="H13" s="426">
        <f>+PL推移!F12</f>
        <v>0</v>
      </c>
      <c r="I13" s="303">
        <f t="shared" ref="I13:I28" si="29">+H13-G13</f>
        <v>0</v>
      </c>
      <c r="J13" s="361" t="str">
        <f t="shared" si="10"/>
        <v>-</v>
      </c>
      <c r="K13" s="302">
        <f>+収支計画!I12/1000</f>
        <v>0</v>
      </c>
      <c r="L13" s="508">
        <f>+PL推移!H12</f>
        <v>0</v>
      </c>
      <c r="M13" s="341">
        <f t="shared" ref="M13:M28" si="30">+L13-K13</f>
        <v>0</v>
      </c>
      <c r="N13" s="323" t="str">
        <f t="shared" si="11"/>
        <v>-</v>
      </c>
      <c r="O13" s="302">
        <f>+収支計画!J12/1000</f>
        <v>0</v>
      </c>
      <c r="P13" s="508">
        <f>+PL推移!J12</f>
        <v>0</v>
      </c>
      <c r="Q13" s="341">
        <f t="shared" ref="Q13:Q16" si="31">+P13-O13</f>
        <v>0</v>
      </c>
      <c r="R13" s="323" t="str">
        <f t="shared" si="12"/>
        <v>-</v>
      </c>
      <c r="S13" s="302">
        <f>+収支計画!K12/1000</f>
        <v>0</v>
      </c>
      <c r="T13" s="508">
        <f>+PL推移!L12</f>
        <v>0</v>
      </c>
      <c r="U13" s="341">
        <f t="shared" ref="U13:U16" si="32">+T13-S13</f>
        <v>0</v>
      </c>
      <c r="V13" s="323" t="str">
        <f t="shared" si="13"/>
        <v>-</v>
      </c>
      <c r="W13" s="302">
        <f>+収支計画!W12/1000</f>
        <v>0</v>
      </c>
      <c r="X13" s="508">
        <f>+PL推移!N12</f>
        <v>0</v>
      </c>
      <c r="Y13" s="341">
        <f t="shared" ref="Y13:Y16" si="33">+X13-W13</f>
        <v>0</v>
      </c>
      <c r="Z13" s="323" t="str">
        <f t="shared" si="14"/>
        <v>-</v>
      </c>
      <c r="AA13" s="302">
        <f>+収支計画!AA12/1000</f>
        <v>0</v>
      </c>
      <c r="AB13" s="351">
        <f>+PL推移!P12</f>
        <v>0</v>
      </c>
      <c r="AC13" s="341">
        <f t="shared" ref="AC13:AC16" si="34">+AB13-AA13</f>
        <v>0</v>
      </c>
      <c r="AD13" s="323" t="str">
        <f t="shared" si="15"/>
        <v>-</v>
      </c>
      <c r="AE13" s="302">
        <f>+収支計画!AA12/1000</f>
        <v>0</v>
      </c>
      <c r="AF13" s="351">
        <f>+PL推移!R12</f>
        <v>0</v>
      </c>
      <c r="AG13" s="341">
        <f t="shared" ref="AG13:AG16" si="35">+AF13-AE13</f>
        <v>0</v>
      </c>
      <c r="AH13" s="323" t="str">
        <f t="shared" si="16"/>
        <v>-</v>
      </c>
      <c r="AI13" s="302">
        <f>+収支計画!AC12/1000</f>
        <v>0</v>
      </c>
      <c r="AJ13" s="351">
        <f>+PL推移!T12</f>
        <v>0</v>
      </c>
      <c r="AK13" s="341">
        <f t="shared" ref="AK13:AK16" si="36">+AJ13-AI13</f>
        <v>0</v>
      </c>
      <c r="AL13" s="361" t="str">
        <f t="shared" si="17"/>
        <v>-</v>
      </c>
      <c r="AM13" s="302">
        <f>+収支計画!AG12/1000</f>
        <v>0</v>
      </c>
      <c r="AN13" s="351">
        <f>+PL推移!V12</f>
        <v>0</v>
      </c>
      <c r="AO13" s="341">
        <f t="shared" si="18"/>
        <v>0</v>
      </c>
      <c r="AP13" s="361" t="str">
        <f t="shared" si="19"/>
        <v>-</v>
      </c>
      <c r="AQ13" s="302">
        <f>+収支計画!AG12/1000</f>
        <v>0</v>
      </c>
      <c r="AR13" s="351">
        <f>+PL推移!X12</f>
        <v>0</v>
      </c>
      <c r="AS13" s="341">
        <f t="shared" si="20"/>
        <v>0</v>
      </c>
      <c r="AT13" s="361" t="str">
        <f t="shared" si="21"/>
        <v>-</v>
      </c>
      <c r="AU13" s="302">
        <f>+収支計画!AI12/1000</f>
        <v>0</v>
      </c>
      <c r="AV13" s="351">
        <f>+PL推移!Z12</f>
        <v>0</v>
      </c>
      <c r="AW13" s="341">
        <f t="shared" si="22"/>
        <v>0</v>
      </c>
      <c r="AX13" s="361" t="str">
        <f t="shared" si="23"/>
        <v>-</v>
      </c>
      <c r="AY13" s="408">
        <f t="shared" si="24"/>
        <v>0</v>
      </c>
      <c r="AZ13" s="426">
        <f t="shared" si="25"/>
        <v>0</v>
      </c>
      <c r="BA13" s="303">
        <f t="shared" si="26"/>
        <v>0</v>
      </c>
      <c r="BB13" s="518" t="str">
        <f t="shared" si="27"/>
        <v>-</v>
      </c>
    </row>
    <row r="14" spans="1:54">
      <c r="A14" s="175"/>
      <c r="B14" s="5">
        <f>+PL推移!C13</f>
        <v>0</v>
      </c>
      <c r="C14" s="408">
        <f>+収支計画!G13/1000</f>
        <v>0</v>
      </c>
      <c r="D14" s="426">
        <f>+PL推移!D13</f>
        <v>0</v>
      </c>
      <c r="E14" s="303">
        <f t="shared" si="28"/>
        <v>0</v>
      </c>
      <c r="F14" s="323" t="str">
        <f t="shared" si="9"/>
        <v>-</v>
      </c>
      <c r="G14" s="417">
        <f>+収支計画!H13/1000</f>
        <v>0</v>
      </c>
      <c r="H14" s="426">
        <f>+PL推移!F13</f>
        <v>0</v>
      </c>
      <c r="I14" s="303">
        <f t="shared" si="29"/>
        <v>0</v>
      </c>
      <c r="J14" s="361" t="str">
        <f t="shared" si="10"/>
        <v>-</v>
      </c>
      <c r="K14" s="302">
        <f>+収支計画!I13/1000</f>
        <v>0</v>
      </c>
      <c r="L14" s="508">
        <f>+PL推移!H13</f>
        <v>0</v>
      </c>
      <c r="M14" s="341">
        <f t="shared" si="30"/>
        <v>0</v>
      </c>
      <c r="N14" s="323" t="str">
        <f t="shared" si="11"/>
        <v>-</v>
      </c>
      <c r="O14" s="302">
        <f>+収支計画!J13/1000</f>
        <v>0</v>
      </c>
      <c r="P14" s="508">
        <f>+PL推移!J13</f>
        <v>0</v>
      </c>
      <c r="Q14" s="341">
        <f t="shared" si="31"/>
        <v>0</v>
      </c>
      <c r="R14" s="323" t="str">
        <f t="shared" si="12"/>
        <v>-</v>
      </c>
      <c r="S14" s="302">
        <f>+収支計画!K13/1000</f>
        <v>0</v>
      </c>
      <c r="T14" s="508">
        <f>+PL推移!L13</f>
        <v>0</v>
      </c>
      <c r="U14" s="341">
        <f t="shared" si="32"/>
        <v>0</v>
      </c>
      <c r="V14" s="323" t="str">
        <f t="shared" si="13"/>
        <v>-</v>
      </c>
      <c r="W14" s="302">
        <f>+収支計画!W13/1000</f>
        <v>0</v>
      </c>
      <c r="X14" s="508">
        <f>+PL推移!N13</f>
        <v>0</v>
      </c>
      <c r="Y14" s="341">
        <f t="shared" si="33"/>
        <v>0</v>
      </c>
      <c r="Z14" s="323" t="str">
        <f t="shared" si="14"/>
        <v>-</v>
      </c>
      <c r="AA14" s="302">
        <f>+収支計画!AA13/1000</f>
        <v>0</v>
      </c>
      <c r="AB14" s="351">
        <f>+PL推移!P13</f>
        <v>0</v>
      </c>
      <c r="AC14" s="341">
        <f t="shared" si="34"/>
        <v>0</v>
      </c>
      <c r="AD14" s="323" t="str">
        <f t="shared" si="15"/>
        <v>-</v>
      </c>
      <c r="AE14" s="302">
        <f>+収支計画!AA13/1000</f>
        <v>0</v>
      </c>
      <c r="AF14" s="351">
        <f>+PL推移!R13</f>
        <v>0</v>
      </c>
      <c r="AG14" s="341">
        <f t="shared" si="35"/>
        <v>0</v>
      </c>
      <c r="AH14" s="323" t="str">
        <f t="shared" si="16"/>
        <v>-</v>
      </c>
      <c r="AI14" s="302">
        <f>+収支計画!AC13/1000</f>
        <v>0</v>
      </c>
      <c r="AJ14" s="351">
        <f>+PL推移!T13</f>
        <v>0</v>
      </c>
      <c r="AK14" s="341">
        <f t="shared" si="36"/>
        <v>0</v>
      </c>
      <c r="AL14" s="361" t="str">
        <f t="shared" si="17"/>
        <v>-</v>
      </c>
      <c r="AM14" s="302">
        <f>+収支計画!AG13/1000</f>
        <v>0</v>
      </c>
      <c r="AN14" s="351">
        <f>+PL推移!V13</f>
        <v>0</v>
      </c>
      <c r="AO14" s="341">
        <f t="shared" si="18"/>
        <v>0</v>
      </c>
      <c r="AP14" s="361" t="str">
        <f t="shared" si="19"/>
        <v>-</v>
      </c>
      <c r="AQ14" s="302">
        <f>+収支計画!AG13/1000</f>
        <v>0</v>
      </c>
      <c r="AR14" s="351">
        <f>+PL推移!X13</f>
        <v>0</v>
      </c>
      <c r="AS14" s="341">
        <f t="shared" si="20"/>
        <v>0</v>
      </c>
      <c r="AT14" s="361" t="str">
        <f t="shared" si="21"/>
        <v>-</v>
      </c>
      <c r="AU14" s="302">
        <f>+収支計画!AI13/1000</f>
        <v>0</v>
      </c>
      <c r="AV14" s="351">
        <f>+PL推移!Z13</f>
        <v>0</v>
      </c>
      <c r="AW14" s="341">
        <f t="shared" si="22"/>
        <v>0</v>
      </c>
      <c r="AX14" s="361" t="str">
        <f t="shared" si="23"/>
        <v>-</v>
      </c>
      <c r="AY14" s="408">
        <f t="shared" si="24"/>
        <v>0</v>
      </c>
      <c r="AZ14" s="426">
        <f t="shared" si="25"/>
        <v>0</v>
      </c>
      <c r="BA14" s="303">
        <f t="shared" si="26"/>
        <v>0</v>
      </c>
      <c r="BB14" s="518" t="str">
        <f t="shared" si="27"/>
        <v>-</v>
      </c>
    </row>
    <row r="15" spans="1:54">
      <c r="A15" s="175"/>
      <c r="B15" s="5">
        <f>+PL推移!C14</f>
        <v>0</v>
      </c>
      <c r="C15" s="408">
        <f>+収支計画!G14/1000</f>
        <v>0</v>
      </c>
      <c r="D15" s="426">
        <f>+PL推移!D14</f>
        <v>0</v>
      </c>
      <c r="E15" s="303">
        <f t="shared" si="28"/>
        <v>0</v>
      </c>
      <c r="F15" s="323" t="str">
        <f t="shared" si="9"/>
        <v>-</v>
      </c>
      <c r="G15" s="417">
        <f>+収支計画!H14/1000</f>
        <v>0</v>
      </c>
      <c r="H15" s="426">
        <f>+PL推移!F14</f>
        <v>0</v>
      </c>
      <c r="I15" s="303">
        <f t="shared" si="29"/>
        <v>0</v>
      </c>
      <c r="J15" s="361" t="str">
        <f t="shared" si="10"/>
        <v>-</v>
      </c>
      <c r="K15" s="302">
        <f>+収支計画!I14/1000</f>
        <v>0</v>
      </c>
      <c r="L15" s="508">
        <f>+PL推移!H14</f>
        <v>0</v>
      </c>
      <c r="M15" s="341">
        <f t="shared" si="30"/>
        <v>0</v>
      </c>
      <c r="N15" s="323" t="str">
        <f t="shared" si="11"/>
        <v>-</v>
      </c>
      <c r="O15" s="302">
        <f>+収支計画!J14/1000</f>
        <v>0</v>
      </c>
      <c r="P15" s="508">
        <f>+PL推移!J14</f>
        <v>0</v>
      </c>
      <c r="Q15" s="341">
        <f t="shared" si="31"/>
        <v>0</v>
      </c>
      <c r="R15" s="323" t="str">
        <f t="shared" si="12"/>
        <v>-</v>
      </c>
      <c r="S15" s="302">
        <f>+収支計画!K14/1000</f>
        <v>0</v>
      </c>
      <c r="T15" s="508">
        <f>+PL推移!L14</f>
        <v>0</v>
      </c>
      <c r="U15" s="341">
        <f t="shared" si="32"/>
        <v>0</v>
      </c>
      <c r="V15" s="323" t="str">
        <f t="shared" si="13"/>
        <v>-</v>
      </c>
      <c r="W15" s="302">
        <f>+収支計画!W14/1000</f>
        <v>0</v>
      </c>
      <c r="X15" s="508">
        <f>+PL推移!N14</f>
        <v>0</v>
      </c>
      <c r="Y15" s="341">
        <f t="shared" si="33"/>
        <v>0</v>
      </c>
      <c r="Z15" s="323" t="str">
        <f t="shared" si="14"/>
        <v>-</v>
      </c>
      <c r="AA15" s="302">
        <f>+収支計画!AA14/1000</f>
        <v>0</v>
      </c>
      <c r="AB15" s="351">
        <f>+PL推移!P14</f>
        <v>0</v>
      </c>
      <c r="AC15" s="341">
        <f t="shared" si="34"/>
        <v>0</v>
      </c>
      <c r="AD15" s="323" t="str">
        <f t="shared" si="15"/>
        <v>-</v>
      </c>
      <c r="AE15" s="302">
        <f>+収支計画!AA14/1000</f>
        <v>0</v>
      </c>
      <c r="AF15" s="351">
        <f>+PL推移!R14</f>
        <v>0</v>
      </c>
      <c r="AG15" s="341">
        <f t="shared" si="35"/>
        <v>0</v>
      </c>
      <c r="AH15" s="323" t="str">
        <f t="shared" si="16"/>
        <v>-</v>
      </c>
      <c r="AI15" s="302">
        <f>+収支計画!AC14/1000</f>
        <v>0</v>
      </c>
      <c r="AJ15" s="351">
        <f>+PL推移!T14</f>
        <v>0</v>
      </c>
      <c r="AK15" s="341">
        <f t="shared" si="36"/>
        <v>0</v>
      </c>
      <c r="AL15" s="361" t="str">
        <f t="shared" si="17"/>
        <v>-</v>
      </c>
      <c r="AM15" s="302">
        <f>+収支計画!AG14/1000</f>
        <v>0</v>
      </c>
      <c r="AN15" s="351">
        <f>+PL推移!V14</f>
        <v>0</v>
      </c>
      <c r="AO15" s="341">
        <f t="shared" si="18"/>
        <v>0</v>
      </c>
      <c r="AP15" s="361" t="str">
        <f t="shared" si="19"/>
        <v>-</v>
      </c>
      <c r="AQ15" s="302">
        <f>+収支計画!AG14/1000</f>
        <v>0</v>
      </c>
      <c r="AR15" s="351">
        <f>+PL推移!X14</f>
        <v>0</v>
      </c>
      <c r="AS15" s="341">
        <f t="shared" si="20"/>
        <v>0</v>
      </c>
      <c r="AT15" s="361" t="str">
        <f t="shared" si="21"/>
        <v>-</v>
      </c>
      <c r="AU15" s="302">
        <f>+収支計画!AI14/1000</f>
        <v>0</v>
      </c>
      <c r="AV15" s="351">
        <f>+PL推移!Z14</f>
        <v>0</v>
      </c>
      <c r="AW15" s="341">
        <f t="shared" si="22"/>
        <v>0</v>
      </c>
      <c r="AX15" s="361" t="str">
        <f t="shared" si="23"/>
        <v>-</v>
      </c>
      <c r="AY15" s="408">
        <f t="shared" si="24"/>
        <v>0</v>
      </c>
      <c r="AZ15" s="426">
        <f t="shared" si="25"/>
        <v>0</v>
      </c>
      <c r="BA15" s="303">
        <f t="shared" si="26"/>
        <v>0</v>
      </c>
      <c r="BB15" s="518" t="str">
        <f t="shared" si="27"/>
        <v>-</v>
      </c>
    </row>
    <row r="16" spans="1:54" s="6" customFormat="1">
      <c r="A16" s="179"/>
      <c r="B16" s="7">
        <f>+PL推移!C15</f>
        <v>0</v>
      </c>
      <c r="C16" s="409">
        <f>+収支計画!G15/1000</f>
        <v>0</v>
      </c>
      <c r="D16" s="427">
        <f>+PL推移!D15</f>
        <v>0</v>
      </c>
      <c r="E16" s="305">
        <f t="shared" si="28"/>
        <v>0</v>
      </c>
      <c r="F16" s="324" t="str">
        <f t="shared" si="9"/>
        <v>-</v>
      </c>
      <c r="G16" s="418">
        <f>+収支計画!H15/1000</f>
        <v>0</v>
      </c>
      <c r="H16" s="427">
        <f>+PL推移!F15</f>
        <v>0</v>
      </c>
      <c r="I16" s="305">
        <f t="shared" si="29"/>
        <v>0</v>
      </c>
      <c r="J16" s="362" t="str">
        <f t="shared" si="10"/>
        <v>-</v>
      </c>
      <c r="K16" s="304">
        <f>+収支計画!I15/1000</f>
        <v>0</v>
      </c>
      <c r="L16" s="509">
        <f>+PL推移!H15</f>
        <v>0</v>
      </c>
      <c r="M16" s="342">
        <f t="shared" si="30"/>
        <v>0</v>
      </c>
      <c r="N16" s="324" t="str">
        <f t="shared" si="11"/>
        <v>-</v>
      </c>
      <c r="O16" s="304">
        <f>+収支計画!J15/1000</f>
        <v>0</v>
      </c>
      <c r="P16" s="509">
        <f>+PL推移!J15</f>
        <v>0</v>
      </c>
      <c r="Q16" s="342">
        <f t="shared" si="31"/>
        <v>0</v>
      </c>
      <c r="R16" s="324" t="str">
        <f t="shared" si="12"/>
        <v>-</v>
      </c>
      <c r="S16" s="304">
        <f>+収支計画!K15/1000</f>
        <v>0</v>
      </c>
      <c r="T16" s="509">
        <f>+PL推移!L15</f>
        <v>0</v>
      </c>
      <c r="U16" s="342">
        <f t="shared" si="32"/>
        <v>0</v>
      </c>
      <c r="V16" s="324" t="str">
        <f t="shared" si="13"/>
        <v>-</v>
      </c>
      <c r="W16" s="304">
        <f>+収支計画!W15/1000</f>
        <v>0</v>
      </c>
      <c r="X16" s="509">
        <f>+PL推移!N15</f>
        <v>0</v>
      </c>
      <c r="Y16" s="342">
        <f t="shared" si="33"/>
        <v>0</v>
      </c>
      <c r="Z16" s="324" t="str">
        <f t="shared" si="14"/>
        <v>-</v>
      </c>
      <c r="AA16" s="304">
        <f>+収支計画!AA15/1000</f>
        <v>0</v>
      </c>
      <c r="AB16" s="352">
        <f>+PL推移!P15</f>
        <v>0</v>
      </c>
      <c r="AC16" s="342">
        <f t="shared" si="34"/>
        <v>0</v>
      </c>
      <c r="AD16" s="324" t="str">
        <f t="shared" si="15"/>
        <v>-</v>
      </c>
      <c r="AE16" s="304">
        <f>+収支計画!AA15/1000</f>
        <v>0</v>
      </c>
      <c r="AF16" s="352">
        <f>+PL推移!R15</f>
        <v>0</v>
      </c>
      <c r="AG16" s="342">
        <f t="shared" si="35"/>
        <v>0</v>
      </c>
      <c r="AH16" s="324" t="str">
        <f t="shared" si="16"/>
        <v>-</v>
      </c>
      <c r="AI16" s="304">
        <f>+収支計画!AC15/1000</f>
        <v>0</v>
      </c>
      <c r="AJ16" s="352">
        <f>+PL推移!T15</f>
        <v>0</v>
      </c>
      <c r="AK16" s="342">
        <f t="shared" si="36"/>
        <v>0</v>
      </c>
      <c r="AL16" s="362" t="str">
        <f t="shared" si="17"/>
        <v>-</v>
      </c>
      <c r="AM16" s="304">
        <f>+収支計画!AG15/1000</f>
        <v>0</v>
      </c>
      <c r="AN16" s="352">
        <f>+PL推移!V15</f>
        <v>0</v>
      </c>
      <c r="AO16" s="342">
        <f t="shared" si="18"/>
        <v>0</v>
      </c>
      <c r="AP16" s="362" t="str">
        <f t="shared" si="19"/>
        <v>-</v>
      </c>
      <c r="AQ16" s="304">
        <f>+収支計画!AG15/1000</f>
        <v>0</v>
      </c>
      <c r="AR16" s="352">
        <f>+PL推移!X15</f>
        <v>0</v>
      </c>
      <c r="AS16" s="342">
        <f t="shared" si="20"/>
        <v>0</v>
      </c>
      <c r="AT16" s="362" t="str">
        <f t="shared" si="21"/>
        <v>-</v>
      </c>
      <c r="AU16" s="304">
        <f>+収支計画!AI15/1000</f>
        <v>0</v>
      </c>
      <c r="AV16" s="352">
        <f>+PL推移!Z15</f>
        <v>0</v>
      </c>
      <c r="AW16" s="342">
        <f t="shared" si="22"/>
        <v>0</v>
      </c>
      <c r="AX16" s="362" t="str">
        <f t="shared" si="23"/>
        <v>-</v>
      </c>
      <c r="AY16" s="409">
        <f t="shared" si="24"/>
        <v>0</v>
      </c>
      <c r="AZ16" s="427">
        <f t="shared" si="25"/>
        <v>0</v>
      </c>
      <c r="BA16" s="305">
        <f t="shared" si="26"/>
        <v>0</v>
      </c>
      <c r="BB16" s="519" t="str">
        <f t="shared" si="27"/>
        <v>-</v>
      </c>
    </row>
    <row r="17" spans="1:54" s="45" customFormat="1">
      <c r="A17" s="45" t="s">
        <v>130</v>
      </c>
      <c r="C17" s="406">
        <f>SUM(C18:C22)</f>
        <v>0</v>
      </c>
      <c r="D17" s="424">
        <f>+PL推移!D16</f>
        <v>0</v>
      </c>
      <c r="E17" s="313">
        <f t="shared" ref="E17" si="37">SUM(E18:E22)</f>
        <v>0</v>
      </c>
      <c r="F17" s="321" t="str">
        <f t="shared" si="9"/>
        <v>-</v>
      </c>
      <c r="G17" s="415">
        <f>+収支計画!H24/1000</f>
        <v>0</v>
      </c>
      <c r="H17" s="424">
        <f>+PL推移!F16</f>
        <v>0</v>
      </c>
      <c r="I17" s="313">
        <f t="shared" ref="I17" si="38">SUM(I18:I22)</f>
        <v>0</v>
      </c>
      <c r="J17" s="359" t="str">
        <f t="shared" si="10"/>
        <v>-</v>
      </c>
      <c r="K17" s="312">
        <f>SUM(K18:K22)</f>
        <v>0</v>
      </c>
      <c r="L17" s="506">
        <f>+PL推移!H16</f>
        <v>0</v>
      </c>
      <c r="M17" s="339">
        <f t="shared" ref="M17" si="39">SUM(M18:M22)</f>
        <v>0</v>
      </c>
      <c r="N17" s="321" t="str">
        <f t="shared" si="11"/>
        <v>-</v>
      </c>
      <c r="O17" s="312">
        <f>SUM(O18:O22)</f>
        <v>0</v>
      </c>
      <c r="P17" s="506">
        <f>+PL推移!J16</f>
        <v>0</v>
      </c>
      <c r="Q17" s="339">
        <f t="shared" ref="Q17" si="40">SUM(Q18:Q22)</f>
        <v>0</v>
      </c>
      <c r="R17" s="321" t="str">
        <f t="shared" si="12"/>
        <v>-</v>
      </c>
      <c r="S17" s="312">
        <f>SUM(S18:S22)</f>
        <v>0</v>
      </c>
      <c r="T17" s="506">
        <f>+PL推移!L16</f>
        <v>0</v>
      </c>
      <c r="U17" s="339">
        <f t="shared" ref="U17" si="41">SUM(U18:U22)</f>
        <v>0</v>
      </c>
      <c r="V17" s="321" t="str">
        <f t="shared" si="13"/>
        <v>-</v>
      </c>
      <c r="W17" s="312">
        <f>SUM(W18:W22)</f>
        <v>0</v>
      </c>
      <c r="X17" s="506">
        <f>+PL推移!N16</f>
        <v>0</v>
      </c>
      <c r="Y17" s="339">
        <f t="shared" ref="Y17" si="42">SUM(Y18:Y22)</f>
        <v>0</v>
      </c>
      <c r="Z17" s="321" t="str">
        <f t="shared" si="14"/>
        <v>-</v>
      </c>
      <c r="AA17" s="312">
        <f>SUM(AA18:AA22)</f>
        <v>0</v>
      </c>
      <c r="AB17" s="349">
        <f>+PL推移!P16</f>
        <v>0</v>
      </c>
      <c r="AC17" s="339">
        <f t="shared" ref="AC17" si="43">SUM(AC18:AC22)</f>
        <v>0</v>
      </c>
      <c r="AD17" s="321" t="str">
        <f t="shared" si="15"/>
        <v>-</v>
      </c>
      <c r="AE17" s="312">
        <f>SUM(AE18:AE22)</f>
        <v>0</v>
      </c>
      <c r="AF17" s="349">
        <f>+PL推移!R16</f>
        <v>0</v>
      </c>
      <c r="AG17" s="339">
        <f t="shared" ref="AG17" si="44">SUM(AG18:AG22)</f>
        <v>0</v>
      </c>
      <c r="AH17" s="321" t="str">
        <f t="shared" si="16"/>
        <v>-</v>
      </c>
      <c r="AI17" s="312">
        <f>SUM(AI18:AI22)</f>
        <v>0</v>
      </c>
      <c r="AJ17" s="349">
        <f>+PL推移!T16</f>
        <v>0</v>
      </c>
      <c r="AK17" s="339">
        <f t="shared" ref="AK17" si="45">SUM(AK18:AK22)</f>
        <v>0</v>
      </c>
      <c r="AL17" s="359" t="str">
        <f t="shared" si="17"/>
        <v>-</v>
      </c>
      <c r="AM17" s="312">
        <f>SUM(AM18:AM22)</f>
        <v>0</v>
      </c>
      <c r="AN17" s="349">
        <f>+PL推移!V16</f>
        <v>0</v>
      </c>
      <c r="AO17" s="339">
        <f t="shared" si="18"/>
        <v>0</v>
      </c>
      <c r="AP17" s="359" t="str">
        <f t="shared" si="19"/>
        <v>-</v>
      </c>
      <c r="AQ17" s="312">
        <f>SUM(AQ18:AQ22)</f>
        <v>0</v>
      </c>
      <c r="AR17" s="349">
        <f>+PL推移!X16</f>
        <v>0</v>
      </c>
      <c r="AS17" s="339">
        <f t="shared" si="20"/>
        <v>0</v>
      </c>
      <c r="AT17" s="359" t="str">
        <f t="shared" si="21"/>
        <v>-</v>
      </c>
      <c r="AU17" s="312">
        <f>+収支計画!AI24/1000</f>
        <v>0</v>
      </c>
      <c r="AV17" s="349">
        <f>+PL推移!Z16</f>
        <v>0</v>
      </c>
      <c r="AW17" s="339">
        <f t="shared" si="22"/>
        <v>0</v>
      </c>
      <c r="AX17" s="359" t="str">
        <f t="shared" si="23"/>
        <v>-</v>
      </c>
      <c r="AY17" s="406">
        <f t="shared" si="24"/>
        <v>0</v>
      </c>
      <c r="AZ17" s="424">
        <f t="shared" si="25"/>
        <v>0</v>
      </c>
      <c r="BA17" s="313">
        <f t="shared" si="26"/>
        <v>0</v>
      </c>
      <c r="BB17" s="520" t="str">
        <f t="shared" si="27"/>
        <v>-</v>
      </c>
    </row>
    <row r="18" spans="1:54">
      <c r="A18" s="175"/>
      <c r="B18" s="3">
        <f>+PL推移!C17</f>
        <v>0</v>
      </c>
      <c r="C18" s="410">
        <f>+収支計画!G18/1000</f>
        <v>0</v>
      </c>
      <c r="D18" s="428">
        <f>+PL推移!D17</f>
        <v>0</v>
      </c>
      <c r="E18" s="307">
        <f t="shared" si="28"/>
        <v>0</v>
      </c>
      <c r="F18" s="325" t="str">
        <f t="shared" si="9"/>
        <v>-</v>
      </c>
      <c r="G18" s="419">
        <f>+収支計画!H18/1000</f>
        <v>0</v>
      </c>
      <c r="H18" s="428">
        <f>+PL推移!F17</f>
        <v>0</v>
      </c>
      <c r="I18" s="307">
        <f t="shared" si="29"/>
        <v>0</v>
      </c>
      <c r="J18" s="363" t="str">
        <f t="shared" si="10"/>
        <v>-</v>
      </c>
      <c r="K18" s="306">
        <f>+収支計画!I18/1000</f>
        <v>0</v>
      </c>
      <c r="L18" s="510">
        <f>+PL推移!H17</f>
        <v>0</v>
      </c>
      <c r="M18" s="343">
        <f t="shared" si="30"/>
        <v>0</v>
      </c>
      <c r="N18" s="325" t="str">
        <f t="shared" si="11"/>
        <v>-</v>
      </c>
      <c r="O18" s="306">
        <f>+収支計画!J18/1000</f>
        <v>0</v>
      </c>
      <c r="P18" s="510">
        <f>+PL推移!J17</f>
        <v>0</v>
      </c>
      <c r="Q18" s="343">
        <f t="shared" ref="Q18:Q22" si="46">+P18-O18</f>
        <v>0</v>
      </c>
      <c r="R18" s="325" t="str">
        <f t="shared" si="12"/>
        <v>-</v>
      </c>
      <c r="S18" s="306">
        <f>+収支計画!K18/1000</f>
        <v>0</v>
      </c>
      <c r="T18" s="510">
        <f>+PL推移!L17</f>
        <v>0</v>
      </c>
      <c r="U18" s="343">
        <f t="shared" ref="U18:U22" si="47">+T18-S18</f>
        <v>0</v>
      </c>
      <c r="V18" s="325" t="str">
        <f t="shared" si="13"/>
        <v>-</v>
      </c>
      <c r="W18" s="306">
        <f>+収支計画!W18/1000</f>
        <v>0</v>
      </c>
      <c r="X18" s="510">
        <f>+PL推移!N17</f>
        <v>0</v>
      </c>
      <c r="Y18" s="343">
        <f t="shared" ref="Y18:Y22" si="48">+X18-W18</f>
        <v>0</v>
      </c>
      <c r="Z18" s="325" t="str">
        <f t="shared" si="14"/>
        <v>-</v>
      </c>
      <c r="AA18" s="306">
        <f>+収支計画!Y18/1000</f>
        <v>0</v>
      </c>
      <c r="AB18" s="353">
        <f>+PL推移!P17</f>
        <v>0</v>
      </c>
      <c r="AC18" s="343">
        <f t="shared" ref="AC18:AC22" si="49">+AB18-AA18</f>
        <v>0</v>
      </c>
      <c r="AD18" s="325" t="str">
        <f t="shared" si="15"/>
        <v>-</v>
      </c>
      <c r="AE18" s="306">
        <f>+収支計画!AA18/1000</f>
        <v>0</v>
      </c>
      <c r="AF18" s="353">
        <f>+PL推移!R17</f>
        <v>0</v>
      </c>
      <c r="AG18" s="343">
        <f t="shared" ref="AG18:AG22" si="50">+AF18-AE18</f>
        <v>0</v>
      </c>
      <c r="AH18" s="325" t="str">
        <f t="shared" si="16"/>
        <v>-</v>
      </c>
      <c r="AI18" s="306">
        <f>+収支計画!AC18/1000</f>
        <v>0</v>
      </c>
      <c r="AJ18" s="353">
        <f>+PL推移!T17</f>
        <v>0</v>
      </c>
      <c r="AK18" s="343">
        <f t="shared" ref="AK18:AK22" si="51">+AJ18-AI18</f>
        <v>0</v>
      </c>
      <c r="AL18" s="363" t="str">
        <f t="shared" si="17"/>
        <v>-</v>
      </c>
      <c r="AM18" s="306">
        <f>+収支計画!AG18/1000</f>
        <v>0</v>
      </c>
      <c r="AN18" s="353">
        <f>+PL推移!V17</f>
        <v>0</v>
      </c>
      <c r="AO18" s="343">
        <f t="shared" si="18"/>
        <v>0</v>
      </c>
      <c r="AP18" s="363" t="str">
        <f t="shared" si="19"/>
        <v>-</v>
      </c>
      <c r="AQ18" s="306">
        <f>+収支計画!AG18/1000</f>
        <v>0</v>
      </c>
      <c r="AR18" s="353">
        <f>+PL推移!X17</f>
        <v>0</v>
      </c>
      <c r="AS18" s="343">
        <f t="shared" si="20"/>
        <v>0</v>
      </c>
      <c r="AT18" s="363" t="str">
        <f t="shared" si="21"/>
        <v>-</v>
      </c>
      <c r="AU18" s="306">
        <f>+収支計画!AI18/1000</f>
        <v>0</v>
      </c>
      <c r="AV18" s="353">
        <f>+PL推移!Z17</f>
        <v>0</v>
      </c>
      <c r="AW18" s="343">
        <f t="shared" si="22"/>
        <v>0</v>
      </c>
      <c r="AX18" s="363" t="str">
        <f t="shared" si="23"/>
        <v>-</v>
      </c>
      <c r="AY18" s="410">
        <f t="shared" si="24"/>
        <v>0</v>
      </c>
      <c r="AZ18" s="428">
        <f t="shared" si="25"/>
        <v>0</v>
      </c>
      <c r="BA18" s="307">
        <f t="shared" si="26"/>
        <v>0</v>
      </c>
      <c r="BB18" s="521" t="str">
        <f t="shared" si="27"/>
        <v>-</v>
      </c>
    </row>
    <row r="19" spans="1:54" hidden="1" outlineLevel="1">
      <c r="A19" s="175"/>
      <c r="B19" s="5">
        <f>+PL推移!C18</f>
        <v>0</v>
      </c>
      <c r="C19" s="408">
        <f>+収支計画!G19/1000</f>
        <v>0</v>
      </c>
      <c r="D19" s="426">
        <f>+PL推移!D18</f>
        <v>0</v>
      </c>
      <c r="E19" s="303">
        <f t="shared" si="28"/>
        <v>0</v>
      </c>
      <c r="F19" s="323" t="str">
        <f t="shared" si="9"/>
        <v>-</v>
      </c>
      <c r="G19" s="417">
        <f>+収支計画!H19/1000</f>
        <v>0</v>
      </c>
      <c r="H19" s="426">
        <f>+PL推移!F18</f>
        <v>0</v>
      </c>
      <c r="I19" s="303">
        <f t="shared" si="29"/>
        <v>0</v>
      </c>
      <c r="J19" s="361" t="str">
        <f t="shared" si="10"/>
        <v>-</v>
      </c>
      <c r="K19" s="302">
        <f>+収支計画!O19/1000</f>
        <v>0</v>
      </c>
      <c r="L19" s="508">
        <f>+PL推移!H18</f>
        <v>0</v>
      </c>
      <c r="M19" s="341">
        <f t="shared" si="30"/>
        <v>0</v>
      </c>
      <c r="N19" s="323" t="str">
        <f t="shared" si="11"/>
        <v>-</v>
      </c>
      <c r="O19" s="302">
        <f>+収支計画!S19/1000</f>
        <v>0</v>
      </c>
      <c r="P19" s="508">
        <f>+PL推移!J18</f>
        <v>0</v>
      </c>
      <c r="Q19" s="341">
        <f t="shared" si="46"/>
        <v>0</v>
      </c>
      <c r="R19" s="323" t="str">
        <f t="shared" si="12"/>
        <v>-</v>
      </c>
      <c r="S19" s="302">
        <f>+収支計画!U19/1000</f>
        <v>0</v>
      </c>
      <c r="T19" s="508">
        <f>+PL推移!L18</f>
        <v>0</v>
      </c>
      <c r="U19" s="341">
        <f t="shared" si="47"/>
        <v>0</v>
      </c>
      <c r="V19" s="323" t="str">
        <f t="shared" si="13"/>
        <v>-</v>
      </c>
      <c r="W19" s="302">
        <f>+収支計画!W19/1000</f>
        <v>0</v>
      </c>
      <c r="X19" s="508">
        <f>+PL推移!N18</f>
        <v>0</v>
      </c>
      <c r="Y19" s="341">
        <f t="shared" si="48"/>
        <v>0</v>
      </c>
      <c r="Z19" s="323" t="str">
        <f t="shared" si="14"/>
        <v>-</v>
      </c>
      <c r="AA19" s="302">
        <f>+収支計画!Y19/1000</f>
        <v>0</v>
      </c>
      <c r="AB19" s="351">
        <f>+PL推移!P18</f>
        <v>0</v>
      </c>
      <c r="AC19" s="341">
        <f t="shared" si="49"/>
        <v>0</v>
      </c>
      <c r="AD19" s="323" t="str">
        <f t="shared" si="15"/>
        <v>-</v>
      </c>
      <c r="AE19" s="302">
        <f>+収支計画!AA19/1000</f>
        <v>0</v>
      </c>
      <c r="AF19" s="351">
        <f>+PL推移!R18</f>
        <v>0</v>
      </c>
      <c r="AG19" s="341">
        <f t="shared" si="50"/>
        <v>0</v>
      </c>
      <c r="AH19" s="323" t="str">
        <f t="shared" si="16"/>
        <v>-</v>
      </c>
      <c r="AI19" s="302">
        <f>+収支計画!AC19/1000</f>
        <v>0</v>
      </c>
      <c r="AJ19" s="351">
        <f>+PL推移!T18</f>
        <v>0</v>
      </c>
      <c r="AK19" s="341">
        <f t="shared" si="51"/>
        <v>0</v>
      </c>
      <c r="AL19" s="361" t="str">
        <f t="shared" si="17"/>
        <v>-</v>
      </c>
      <c r="AM19" s="302">
        <f>+収支計画!AG19/1000</f>
        <v>0</v>
      </c>
      <c r="AN19" s="351">
        <f>+PL推移!V18</f>
        <v>0</v>
      </c>
      <c r="AO19" s="341">
        <f t="shared" si="18"/>
        <v>0</v>
      </c>
      <c r="AP19" s="361" t="str">
        <f t="shared" si="19"/>
        <v>-</v>
      </c>
      <c r="AQ19" s="302">
        <f>+収支計画!AG19/1000</f>
        <v>0</v>
      </c>
      <c r="AR19" s="351">
        <f>+PL推移!X18</f>
        <v>0</v>
      </c>
      <c r="AS19" s="341">
        <f t="shared" si="20"/>
        <v>0</v>
      </c>
      <c r="AT19" s="361" t="str">
        <f t="shared" si="21"/>
        <v>-</v>
      </c>
      <c r="AU19" s="302">
        <f>+収支計画!AI19/1000</f>
        <v>0</v>
      </c>
      <c r="AV19" s="351">
        <f>+PL推移!Z18</f>
        <v>0</v>
      </c>
      <c r="AW19" s="341">
        <f t="shared" si="22"/>
        <v>0</v>
      </c>
      <c r="AX19" s="361" t="str">
        <f t="shared" si="23"/>
        <v>-</v>
      </c>
      <c r="AY19" s="408">
        <f t="shared" si="24"/>
        <v>0</v>
      </c>
      <c r="AZ19" s="426">
        <f t="shared" si="25"/>
        <v>0</v>
      </c>
      <c r="BA19" s="303">
        <f t="shared" si="26"/>
        <v>0</v>
      </c>
      <c r="BB19" s="333" t="str">
        <f t="shared" si="27"/>
        <v>-</v>
      </c>
    </row>
    <row r="20" spans="1:54" hidden="1" outlineLevel="1">
      <c r="A20" s="175"/>
      <c r="B20" s="5">
        <f>+PL推移!C19</f>
        <v>0</v>
      </c>
      <c r="C20" s="408">
        <f>+収支計画!G20/1000</f>
        <v>0</v>
      </c>
      <c r="D20" s="426">
        <f>+PL推移!D19</f>
        <v>0</v>
      </c>
      <c r="E20" s="303">
        <f t="shared" si="28"/>
        <v>0</v>
      </c>
      <c r="F20" s="323" t="str">
        <f t="shared" si="9"/>
        <v>-</v>
      </c>
      <c r="G20" s="417">
        <f>+収支計画!H20/1000</f>
        <v>0</v>
      </c>
      <c r="H20" s="426">
        <f>+PL推移!F19</f>
        <v>0</v>
      </c>
      <c r="I20" s="303">
        <f t="shared" si="29"/>
        <v>0</v>
      </c>
      <c r="J20" s="361" t="str">
        <f t="shared" si="10"/>
        <v>-</v>
      </c>
      <c r="K20" s="302">
        <f>+収支計画!O20/1000</f>
        <v>0</v>
      </c>
      <c r="L20" s="508">
        <f>+PL推移!H19</f>
        <v>0</v>
      </c>
      <c r="M20" s="341">
        <f t="shared" si="30"/>
        <v>0</v>
      </c>
      <c r="N20" s="323" t="str">
        <f t="shared" si="11"/>
        <v>-</v>
      </c>
      <c r="O20" s="302">
        <f>+収支計画!S20/1000</f>
        <v>0</v>
      </c>
      <c r="P20" s="508">
        <f>+PL推移!J19</f>
        <v>0</v>
      </c>
      <c r="Q20" s="341">
        <f t="shared" si="46"/>
        <v>0</v>
      </c>
      <c r="R20" s="323" t="str">
        <f t="shared" si="12"/>
        <v>-</v>
      </c>
      <c r="S20" s="302">
        <f>+収支計画!U20/1000</f>
        <v>0</v>
      </c>
      <c r="T20" s="508">
        <f>+PL推移!L19</f>
        <v>0</v>
      </c>
      <c r="U20" s="341">
        <f t="shared" si="47"/>
        <v>0</v>
      </c>
      <c r="V20" s="323" t="str">
        <f t="shared" si="13"/>
        <v>-</v>
      </c>
      <c r="W20" s="302">
        <f>+収支計画!W20/1000</f>
        <v>0</v>
      </c>
      <c r="X20" s="508">
        <f>+PL推移!N19</f>
        <v>0</v>
      </c>
      <c r="Y20" s="341">
        <f t="shared" si="48"/>
        <v>0</v>
      </c>
      <c r="Z20" s="323" t="str">
        <f t="shared" si="14"/>
        <v>-</v>
      </c>
      <c r="AA20" s="302">
        <f>+収支計画!Y20/1000</f>
        <v>0</v>
      </c>
      <c r="AB20" s="351">
        <f>+PL推移!P19</f>
        <v>0</v>
      </c>
      <c r="AC20" s="341">
        <f t="shared" si="49"/>
        <v>0</v>
      </c>
      <c r="AD20" s="323" t="str">
        <f t="shared" si="15"/>
        <v>-</v>
      </c>
      <c r="AE20" s="302">
        <f>+収支計画!AA20/1000</f>
        <v>0</v>
      </c>
      <c r="AF20" s="351">
        <f>+PL推移!R19</f>
        <v>0</v>
      </c>
      <c r="AG20" s="341">
        <f t="shared" si="50"/>
        <v>0</v>
      </c>
      <c r="AH20" s="323" t="str">
        <f t="shared" si="16"/>
        <v>-</v>
      </c>
      <c r="AI20" s="302">
        <f>+収支計画!AC20/1000</f>
        <v>0</v>
      </c>
      <c r="AJ20" s="351">
        <f>+PL推移!T19</f>
        <v>0</v>
      </c>
      <c r="AK20" s="341">
        <f t="shared" si="51"/>
        <v>0</v>
      </c>
      <c r="AL20" s="361" t="str">
        <f t="shared" si="17"/>
        <v>-</v>
      </c>
      <c r="AM20" s="302">
        <f>+収支計画!AG20/1000</f>
        <v>0</v>
      </c>
      <c r="AN20" s="351">
        <f>+PL推移!V19</f>
        <v>0</v>
      </c>
      <c r="AO20" s="341">
        <f t="shared" si="18"/>
        <v>0</v>
      </c>
      <c r="AP20" s="361" t="str">
        <f t="shared" si="19"/>
        <v>-</v>
      </c>
      <c r="AQ20" s="302">
        <f>+収支計画!AG20/1000</f>
        <v>0</v>
      </c>
      <c r="AR20" s="351">
        <f>+PL推移!X19</f>
        <v>0</v>
      </c>
      <c r="AS20" s="341">
        <f t="shared" si="20"/>
        <v>0</v>
      </c>
      <c r="AT20" s="361" t="str">
        <f t="shared" si="21"/>
        <v>-</v>
      </c>
      <c r="AU20" s="302">
        <f>+収支計画!AI20/1000</f>
        <v>0</v>
      </c>
      <c r="AV20" s="351">
        <f>+PL推移!Z19</f>
        <v>0</v>
      </c>
      <c r="AW20" s="341">
        <f t="shared" si="22"/>
        <v>0</v>
      </c>
      <c r="AX20" s="361" t="str">
        <f t="shared" si="23"/>
        <v>-</v>
      </c>
      <c r="AY20" s="408">
        <f t="shared" si="24"/>
        <v>0</v>
      </c>
      <c r="AZ20" s="426">
        <f t="shared" si="25"/>
        <v>0</v>
      </c>
      <c r="BA20" s="303">
        <f t="shared" si="26"/>
        <v>0</v>
      </c>
      <c r="BB20" s="333" t="str">
        <f t="shared" si="27"/>
        <v>-</v>
      </c>
    </row>
    <row r="21" spans="1:54" hidden="1" outlineLevel="1">
      <c r="A21" s="175"/>
      <c r="B21" s="5">
        <f>+PL推移!C20</f>
        <v>0</v>
      </c>
      <c r="C21" s="408">
        <f>+収支計画!G21/1000</f>
        <v>0</v>
      </c>
      <c r="D21" s="426">
        <f>+PL推移!D20</f>
        <v>0</v>
      </c>
      <c r="E21" s="303">
        <f t="shared" si="28"/>
        <v>0</v>
      </c>
      <c r="F21" s="323" t="str">
        <f t="shared" si="9"/>
        <v>-</v>
      </c>
      <c r="G21" s="417">
        <f>+収支計画!H21/1000</f>
        <v>0</v>
      </c>
      <c r="H21" s="426">
        <f>+PL推移!F20</f>
        <v>0</v>
      </c>
      <c r="I21" s="303">
        <f t="shared" si="29"/>
        <v>0</v>
      </c>
      <c r="J21" s="361" t="str">
        <f t="shared" si="10"/>
        <v>-</v>
      </c>
      <c r="K21" s="302">
        <f>+収支計画!O21/1000</f>
        <v>0</v>
      </c>
      <c r="L21" s="508">
        <f>+PL推移!H20</f>
        <v>0</v>
      </c>
      <c r="M21" s="341">
        <f t="shared" si="30"/>
        <v>0</v>
      </c>
      <c r="N21" s="323" t="str">
        <f t="shared" si="11"/>
        <v>-</v>
      </c>
      <c r="O21" s="302">
        <f>+収支計画!S21/1000</f>
        <v>0</v>
      </c>
      <c r="P21" s="508">
        <f>+PL推移!J20</f>
        <v>0</v>
      </c>
      <c r="Q21" s="341">
        <f t="shared" si="46"/>
        <v>0</v>
      </c>
      <c r="R21" s="323" t="str">
        <f t="shared" si="12"/>
        <v>-</v>
      </c>
      <c r="S21" s="302">
        <f>+収支計画!U21/1000</f>
        <v>0</v>
      </c>
      <c r="T21" s="508">
        <f>+PL推移!L20</f>
        <v>0</v>
      </c>
      <c r="U21" s="341">
        <f t="shared" si="47"/>
        <v>0</v>
      </c>
      <c r="V21" s="323" t="str">
        <f t="shared" si="13"/>
        <v>-</v>
      </c>
      <c r="W21" s="302">
        <f>+収支計画!W21/1000</f>
        <v>0</v>
      </c>
      <c r="X21" s="508">
        <f>+PL推移!N20</f>
        <v>0</v>
      </c>
      <c r="Y21" s="341">
        <f t="shared" si="48"/>
        <v>0</v>
      </c>
      <c r="Z21" s="323" t="str">
        <f t="shared" si="14"/>
        <v>-</v>
      </c>
      <c r="AA21" s="302">
        <f>+収支計画!Y21/1000</f>
        <v>0</v>
      </c>
      <c r="AB21" s="351">
        <f>+PL推移!P20</f>
        <v>0</v>
      </c>
      <c r="AC21" s="341">
        <f t="shared" si="49"/>
        <v>0</v>
      </c>
      <c r="AD21" s="323" t="str">
        <f t="shared" si="15"/>
        <v>-</v>
      </c>
      <c r="AE21" s="302">
        <f>+収支計画!AA21/1000</f>
        <v>0</v>
      </c>
      <c r="AF21" s="351">
        <f>+PL推移!R20</f>
        <v>0</v>
      </c>
      <c r="AG21" s="341">
        <f t="shared" si="50"/>
        <v>0</v>
      </c>
      <c r="AH21" s="323" t="str">
        <f t="shared" si="16"/>
        <v>-</v>
      </c>
      <c r="AI21" s="302">
        <f>+収支計画!AC21/1000</f>
        <v>0</v>
      </c>
      <c r="AJ21" s="351">
        <f>+PL推移!T20</f>
        <v>0</v>
      </c>
      <c r="AK21" s="341">
        <f t="shared" si="51"/>
        <v>0</v>
      </c>
      <c r="AL21" s="361" t="str">
        <f t="shared" si="17"/>
        <v>-</v>
      </c>
      <c r="AM21" s="302">
        <f>+収支計画!AG21/1000</f>
        <v>0</v>
      </c>
      <c r="AN21" s="351">
        <f>+PL推移!V20</f>
        <v>0</v>
      </c>
      <c r="AO21" s="341">
        <f t="shared" si="18"/>
        <v>0</v>
      </c>
      <c r="AP21" s="361" t="str">
        <f t="shared" si="19"/>
        <v>-</v>
      </c>
      <c r="AQ21" s="302">
        <f>+収支計画!AG21/1000</f>
        <v>0</v>
      </c>
      <c r="AR21" s="351">
        <f>+PL推移!X20</f>
        <v>0</v>
      </c>
      <c r="AS21" s="341">
        <f t="shared" si="20"/>
        <v>0</v>
      </c>
      <c r="AT21" s="361" t="str">
        <f t="shared" si="21"/>
        <v>-</v>
      </c>
      <c r="AU21" s="302">
        <f>+収支計画!AI21/1000</f>
        <v>0</v>
      </c>
      <c r="AV21" s="351">
        <f>+PL推移!Z20</f>
        <v>0</v>
      </c>
      <c r="AW21" s="341">
        <f t="shared" si="22"/>
        <v>0</v>
      </c>
      <c r="AX21" s="361" t="str">
        <f t="shared" si="23"/>
        <v>-</v>
      </c>
      <c r="AY21" s="408">
        <f t="shared" si="24"/>
        <v>0</v>
      </c>
      <c r="AZ21" s="426">
        <f t="shared" si="25"/>
        <v>0</v>
      </c>
      <c r="BA21" s="303">
        <f t="shared" si="26"/>
        <v>0</v>
      </c>
      <c r="BB21" s="333" t="str">
        <f t="shared" si="27"/>
        <v>-</v>
      </c>
    </row>
    <row r="22" spans="1:54" hidden="1" outlineLevel="1">
      <c r="A22" s="175"/>
      <c r="B22" s="148">
        <f>+PL推移!C21</f>
        <v>0</v>
      </c>
      <c r="C22" s="411">
        <f>+収支計画!G22/1000</f>
        <v>0</v>
      </c>
      <c r="D22" s="429">
        <f>+PL推移!D21</f>
        <v>0</v>
      </c>
      <c r="E22" s="309">
        <f t="shared" si="28"/>
        <v>0</v>
      </c>
      <c r="F22" s="326" t="str">
        <f t="shared" si="9"/>
        <v>-</v>
      </c>
      <c r="G22" s="420">
        <f>+収支計画!H22/1000</f>
        <v>0</v>
      </c>
      <c r="H22" s="429">
        <f>+PL推移!F21</f>
        <v>0</v>
      </c>
      <c r="I22" s="309">
        <f t="shared" si="29"/>
        <v>0</v>
      </c>
      <c r="J22" s="364" t="str">
        <f t="shared" si="10"/>
        <v>-</v>
      </c>
      <c r="K22" s="308">
        <f>+収支計画!O22/1000</f>
        <v>0</v>
      </c>
      <c r="L22" s="511">
        <f>+PL推移!H21</f>
        <v>0</v>
      </c>
      <c r="M22" s="344">
        <f t="shared" si="30"/>
        <v>0</v>
      </c>
      <c r="N22" s="326" t="str">
        <f t="shared" si="11"/>
        <v>-</v>
      </c>
      <c r="O22" s="308">
        <f>+収支計画!S22/1000</f>
        <v>0</v>
      </c>
      <c r="P22" s="511">
        <f>+PL推移!J21</f>
        <v>0</v>
      </c>
      <c r="Q22" s="344">
        <f t="shared" si="46"/>
        <v>0</v>
      </c>
      <c r="R22" s="326" t="str">
        <f t="shared" si="12"/>
        <v>-</v>
      </c>
      <c r="S22" s="308">
        <f>+収支計画!U22/1000</f>
        <v>0</v>
      </c>
      <c r="T22" s="511">
        <f>+PL推移!L21</f>
        <v>0</v>
      </c>
      <c r="U22" s="344">
        <f t="shared" si="47"/>
        <v>0</v>
      </c>
      <c r="V22" s="326" t="str">
        <f t="shared" si="13"/>
        <v>-</v>
      </c>
      <c r="W22" s="308">
        <f>+収支計画!W22/1000</f>
        <v>0</v>
      </c>
      <c r="X22" s="511">
        <f>+PL推移!N21</f>
        <v>0</v>
      </c>
      <c r="Y22" s="344">
        <f t="shared" si="48"/>
        <v>0</v>
      </c>
      <c r="Z22" s="326" t="str">
        <f t="shared" si="14"/>
        <v>-</v>
      </c>
      <c r="AA22" s="308">
        <f>+収支計画!Y22/1000</f>
        <v>0</v>
      </c>
      <c r="AB22" s="354">
        <f>+PL推移!P21</f>
        <v>0</v>
      </c>
      <c r="AC22" s="344">
        <f t="shared" si="49"/>
        <v>0</v>
      </c>
      <c r="AD22" s="326" t="str">
        <f t="shared" si="15"/>
        <v>-</v>
      </c>
      <c r="AE22" s="308">
        <f>+収支計画!AA22/1000</f>
        <v>0</v>
      </c>
      <c r="AF22" s="354">
        <f>+PL推移!R21</f>
        <v>0</v>
      </c>
      <c r="AG22" s="344">
        <f t="shared" si="50"/>
        <v>0</v>
      </c>
      <c r="AH22" s="326" t="str">
        <f t="shared" si="16"/>
        <v>-</v>
      </c>
      <c r="AI22" s="308">
        <f>+収支計画!AC22/1000</f>
        <v>0</v>
      </c>
      <c r="AJ22" s="354">
        <f>+PL推移!T21</f>
        <v>0</v>
      </c>
      <c r="AK22" s="344">
        <f t="shared" si="51"/>
        <v>0</v>
      </c>
      <c r="AL22" s="364" t="str">
        <f t="shared" si="17"/>
        <v>-</v>
      </c>
      <c r="AM22" s="308">
        <f>+収支計画!AG22/1000</f>
        <v>0</v>
      </c>
      <c r="AN22" s="354">
        <f>+PL推移!V21</f>
        <v>0</v>
      </c>
      <c r="AO22" s="344">
        <f t="shared" si="18"/>
        <v>0</v>
      </c>
      <c r="AP22" s="364" t="str">
        <f t="shared" si="19"/>
        <v>-</v>
      </c>
      <c r="AQ22" s="308">
        <f>+収支計画!AG22/1000</f>
        <v>0</v>
      </c>
      <c r="AR22" s="354">
        <f>+PL推移!X21</f>
        <v>0</v>
      </c>
      <c r="AS22" s="344">
        <f t="shared" si="20"/>
        <v>0</v>
      </c>
      <c r="AT22" s="364" t="str">
        <f t="shared" si="21"/>
        <v>-</v>
      </c>
      <c r="AU22" s="308">
        <f>+収支計画!AI22/1000</f>
        <v>0</v>
      </c>
      <c r="AV22" s="354">
        <f>+PL推移!Z21</f>
        <v>0</v>
      </c>
      <c r="AW22" s="344">
        <f t="shared" si="22"/>
        <v>0</v>
      </c>
      <c r="AX22" s="364" t="str">
        <f t="shared" si="23"/>
        <v>-</v>
      </c>
      <c r="AY22" s="411">
        <f t="shared" si="24"/>
        <v>0</v>
      </c>
      <c r="AZ22" s="429">
        <f t="shared" si="25"/>
        <v>0</v>
      </c>
      <c r="BA22" s="309">
        <f t="shared" si="26"/>
        <v>0</v>
      </c>
      <c r="BB22" s="334" t="str">
        <f t="shared" si="27"/>
        <v>-</v>
      </c>
    </row>
    <row r="23" spans="1:54" s="490" customFormat="1" collapsed="1">
      <c r="A23" s="490" t="s">
        <v>131</v>
      </c>
      <c r="C23" s="495">
        <f>+C11-C17</f>
        <v>622.83299999999997</v>
      </c>
      <c r="D23" s="496">
        <f>+D11-D17</f>
        <v>622.83299999999997</v>
      </c>
      <c r="E23" s="497">
        <f>+E11-E17</f>
        <v>0</v>
      </c>
      <c r="F23" s="498">
        <f t="shared" si="9"/>
        <v>1</v>
      </c>
      <c r="G23" s="499">
        <f>+収支計画!H25/1000</f>
        <v>559.84199999999998</v>
      </c>
      <c r="H23" s="496">
        <f>+PL推移!F22</f>
        <v>559.84199999999998</v>
      </c>
      <c r="I23" s="497">
        <f>+I11-I17</f>
        <v>0</v>
      </c>
      <c r="J23" s="500">
        <f t="shared" si="10"/>
        <v>1</v>
      </c>
      <c r="K23" s="501">
        <f>SUM(K24:K28)</f>
        <v>621.88127919999999</v>
      </c>
      <c r="L23" s="512">
        <f>+PL推移!H22</f>
        <v>571.65599999999995</v>
      </c>
      <c r="M23" s="503">
        <f>+M11-M17</f>
        <v>-50.225279200000045</v>
      </c>
      <c r="N23" s="498">
        <f t="shared" si="11"/>
        <v>0.91923654742491878</v>
      </c>
      <c r="O23" s="501">
        <f>SUM(O24:O28)</f>
        <v>576.50029840000002</v>
      </c>
      <c r="P23" s="512">
        <f>+PL推移!J22</f>
        <v>571.67999999999995</v>
      </c>
      <c r="Q23" s="503">
        <f>+Q11-Q17</f>
        <v>-4.8202984000000697</v>
      </c>
      <c r="R23" s="498">
        <f t="shared" si="12"/>
        <v>0.99163868880314865</v>
      </c>
      <c r="S23" s="501">
        <f>SUM(S24:S28)</f>
        <v>553.80980800000009</v>
      </c>
      <c r="T23" s="512">
        <f>+T11-T17</f>
        <v>482.54199999999997</v>
      </c>
      <c r="U23" s="503">
        <f>+U11-U17</f>
        <v>-71.267808000000116</v>
      </c>
      <c r="V23" s="498">
        <f t="shared" si="13"/>
        <v>0.87131356835774909</v>
      </c>
      <c r="W23" s="501">
        <f>SUM(W24:W28)</f>
        <v>576.50029840000002</v>
      </c>
      <c r="X23" s="512">
        <f>+X11-X17</f>
        <v>568.07500000000005</v>
      </c>
      <c r="Y23" s="503">
        <f>+Y11-Y17</f>
        <v>-8.4252983999999742</v>
      </c>
      <c r="Z23" s="498">
        <f t="shared" si="14"/>
        <v>0.9853854396547872</v>
      </c>
      <c r="AA23" s="501">
        <f>+AA11-AA17</f>
        <v>599.19078879999995</v>
      </c>
      <c r="AB23" s="502">
        <f>+AB11-AB17</f>
        <v>573.04499999999996</v>
      </c>
      <c r="AC23" s="503">
        <f>+AC11-AC17</f>
        <v>-26.145788799999991</v>
      </c>
      <c r="AD23" s="498">
        <f t="shared" si="15"/>
        <v>0.95636483522658589</v>
      </c>
      <c r="AE23" s="501">
        <f>SUM(AE24:AE28)</f>
        <v>599.19078879999995</v>
      </c>
      <c r="AF23" s="502">
        <f>+PL推移!R22</f>
        <v>566.15800000000002</v>
      </c>
      <c r="AG23" s="503">
        <f>+AG11-AG17</f>
        <v>-33.032788799999935</v>
      </c>
      <c r="AH23" s="498">
        <f t="shared" si="16"/>
        <v>0.94487100032669935</v>
      </c>
      <c r="AI23" s="501">
        <f>SUM(AI24:AI28)</f>
        <v>599.19078879999995</v>
      </c>
      <c r="AJ23" s="502">
        <f>+AJ11-AJ17</f>
        <v>643.46699999999998</v>
      </c>
      <c r="AK23" s="503">
        <f>+AK11-AK17</f>
        <v>44.276211200000034</v>
      </c>
      <c r="AL23" s="500">
        <f t="shared" si="17"/>
        <v>1.0738933442028908</v>
      </c>
      <c r="AM23" s="501">
        <f>+AM11-AM17</f>
        <v>793.19600000000003</v>
      </c>
      <c r="AN23" s="502">
        <f>+AN11-AN17</f>
        <v>1030.617</v>
      </c>
      <c r="AO23" s="503">
        <f t="shared" si="18"/>
        <v>237.42099999999994</v>
      </c>
      <c r="AP23" s="500">
        <f t="shared" si="19"/>
        <v>1.2993219834694072</v>
      </c>
      <c r="AQ23" s="501">
        <f>+AQ11-AQ17</f>
        <v>761.68700000000001</v>
      </c>
      <c r="AR23" s="502">
        <f>+AR11-AR17</f>
        <v>890.404</v>
      </c>
      <c r="AS23" s="503">
        <f t="shared" si="20"/>
        <v>128.71699999999998</v>
      </c>
      <c r="AT23" s="500">
        <f t="shared" si="21"/>
        <v>1.1689893617719613</v>
      </c>
      <c r="AU23" s="501">
        <f>+AU11-AU17</f>
        <v>793.19600000000003</v>
      </c>
      <c r="AV23" s="502">
        <f>+AV11-AV17</f>
        <v>988.47500000000002</v>
      </c>
      <c r="AW23" s="503">
        <f t="shared" si="22"/>
        <v>195.279</v>
      </c>
      <c r="AX23" s="500">
        <f t="shared" si="23"/>
        <v>1.2461926182179437</v>
      </c>
      <c r="AY23" s="495">
        <f t="shared" si="24"/>
        <v>7657.0180503999991</v>
      </c>
      <c r="AZ23" s="496">
        <f t="shared" si="25"/>
        <v>8068.7939999999999</v>
      </c>
      <c r="BA23" s="497">
        <f t="shared" si="26"/>
        <v>411.77594960000079</v>
      </c>
      <c r="BB23" s="504">
        <f t="shared" si="27"/>
        <v>1.0537775863775702</v>
      </c>
    </row>
    <row r="24" spans="1:54" hidden="1" outlineLevel="1">
      <c r="A24" s="175"/>
      <c r="B24" s="8"/>
      <c r="C24" s="407"/>
      <c r="D24" s="425">
        <f>+PL推移!D23</f>
        <v>0</v>
      </c>
      <c r="E24" s="301">
        <f t="shared" si="28"/>
        <v>0</v>
      </c>
      <c r="F24" s="322" t="str">
        <f t="shared" si="9"/>
        <v>-</v>
      </c>
      <c r="G24" s="416"/>
      <c r="H24" s="425"/>
      <c r="I24" s="301">
        <f t="shared" si="29"/>
        <v>0</v>
      </c>
      <c r="J24" s="360" t="str">
        <f t="shared" si="10"/>
        <v>-</v>
      </c>
      <c r="K24" s="300">
        <f>+K12-K18</f>
        <v>621.88127919999999</v>
      </c>
      <c r="L24" s="507">
        <f>+PL推移!H23</f>
        <v>571.65599999999995</v>
      </c>
      <c r="M24" s="340">
        <f t="shared" si="30"/>
        <v>-50.225279200000045</v>
      </c>
      <c r="N24" s="322">
        <f t="shared" si="11"/>
        <v>0.91923654742491878</v>
      </c>
      <c r="O24" s="300">
        <f>+O12-O18</f>
        <v>576.50029840000002</v>
      </c>
      <c r="P24" s="507">
        <f>+PL推移!J23</f>
        <v>571.67999999999995</v>
      </c>
      <c r="Q24" s="340">
        <f t="shared" ref="Q24:Q28" si="52">+P24-O24</f>
        <v>-4.8202984000000697</v>
      </c>
      <c r="R24" s="322">
        <f t="shared" si="12"/>
        <v>0.99163868880314865</v>
      </c>
      <c r="S24" s="300">
        <f>+S12-S18</f>
        <v>553.80980800000009</v>
      </c>
      <c r="T24" s="507">
        <f>+T12-T18</f>
        <v>482.54199999999997</v>
      </c>
      <c r="U24" s="340">
        <f t="shared" ref="U24:U28" si="53">+T24-S24</f>
        <v>-71.267808000000116</v>
      </c>
      <c r="V24" s="322">
        <f t="shared" si="13"/>
        <v>0.87131356835774909</v>
      </c>
      <c r="W24" s="300">
        <f>+W12-W18</f>
        <v>576.50029840000002</v>
      </c>
      <c r="X24" s="507">
        <f>+X12-X18</f>
        <v>568.07500000000005</v>
      </c>
      <c r="Y24" s="371">
        <f t="shared" ref="Y24:Y28" si="54">+X24-W24</f>
        <v>-8.4252983999999742</v>
      </c>
      <c r="Z24" s="322">
        <f t="shared" si="14"/>
        <v>0.9853854396547872</v>
      </c>
      <c r="AA24" s="300">
        <f>+AA12-AA18</f>
        <v>599.19078879999995</v>
      </c>
      <c r="AB24" s="350">
        <f>+AB12-AB18</f>
        <v>573.04499999999996</v>
      </c>
      <c r="AC24" s="371">
        <f t="shared" ref="AC24:AC28" si="55">+AB24-AA24</f>
        <v>-26.145788799999991</v>
      </c>
      <c r="AD24" s="322">
        <f t="shared" si="15"/>
        <v>0.95636483522658589</v>
      </c>
      <c r="AE24" s="300">
        <f>+AE12-AE18</f>
        <v>599.19078879999995</v>
      </c>
      <c r="AF24" s="350">
        <f>+PL推移!R23</f>
        <v>566.15800000000002</v>
      </c>
      <c r="AG24" s="371">
        <f t="shared" ref="AG24:AG28" si="56">+AF24-AE24</f>
        <v>-33.032788799999935</v>
      </c>
      <c r="AH24" s="322">
        <f t="shared" si="16"/>
        <v>0.94487100032669935</v>
      </c>
      <c r="AI24" s="300">
        <f>+AI12-AI18</f>
        <v>599.19078879999995</v>
      </c>
      <c r="AJ24" s="350">
        <f>+AJ12-AJ18</f>
        <v>643.46699999999998</v>
      </c>
      <c r="AK24" s="371">
        <f t="shared" ref="AK24:AK28" si="57">+AJ24-AI24</f>
        <v>44.276211200000034</v>
      </c>
      <c r="AL24" s="360">
        <f t="shared" si="17"/>
        <v>1.0738933442028908</v>
      </c>
      <c r="AM24" s="300">
        <f>+AM12-AM18</f>
        <v>793.19600000000003</v>
      </c>
      <c r="AN24" s="350">
        <f>+AN12-AN18</f>
        <v>1030.617</v>
      </c>
      <c r="AO24" s="371">
        <f t="shared" si="18"/>
        <v>237.42099999999994</v>
      </c>
      <c r="AP24" s="360">
        <f t="shared" si="19"/>
        <v>1.2993219834694072</v>
      </c>
      <c r="AQ24" s="300">
        <f>+AQ12-AQ18</f>
        <v>761.68700000000001</v>
      </c>
      <c r="AR24" s="350">
        <f>+AR12-AR18</f>
        <v>890.404</v>
      </c>
      <c r="AS24" s="371">
        <f t="shared" si="20"/>
        <v>128.71699999999998</v>
      </c>
      <c r="AT24" s="360">
        <f t="shared" si="21"/>
        <v>1.1689893617719613</v>
      </c>
      <c r="AU24" s="300">
        <f>+AU12-AU18</f>
        <v>793.19600000000003</v>
      </c>
      <c r="AV24" s="350">
        <f>+AV12-AV18</f>
        <v>0</v>
      </c>
      <c r="AW24" s="371">
        <f t="shared" si="22"/>
        <v>-793.19600000000003</v>
      </c>
      <c r="AX24" s="360">
        <f t="shared" si="23"/>
        <v>0</v>
      </c>
      <c r="AY24" s="407">
        <f t="shared" si="24"/>
        <v>6474.3430503999998</v>
      </c>
      <c r="AZ24" s="425">
        <f t="shared" si="25"/>
        <v>5897.6440000000002</v>
      </c>
      <c r="BA24" s="301">
        <f t="shared" si="26"/>
        <v>-576.69905039999958</v>
      </c>
      <c r="BB24" s="332">
        <f t="shared" si="27"/>
        <v>0.9109254721427883</v>
      </c>
    </row>
    <row r="25" spans="1:54" hidden="1" outlineLevel="1">
      <c r="A25" s="175"/>
      <c r="B25" s="5"/>
      <c r="C25" s="408"/>
      <c r="D25" s="426">
        <f>+PL推移!D24</f>
        <v>0</v>
      </c>
      <c r="E25" s="303">
        <f t="shared" ref="E25:E28" si="58">+D25-C25</f>
        <v>0</v>
      </c>
      <c r="F25" s="323" t="str">
        <f t="shared" si="9"/>
        <v>-</v>
      </c>
      <c r="G25" s="417"/>
      <c r="H25" s="426"/>
      <c r="I25" s="303">
        <f t="shared" si="29"/>
        <v>0</v>
      </c>
      <c r="J25" s="361" t="str">
        <f t="shared" si="10"/>
        <v>-</v>
      </c>
      <c r="K25" s="302">
        <f t="shared" ref="K25:K28" si="59">+K13-K19</f>
        <v>0</v>
      </c>
      <c r="L25" s="508">
        <f>+PL推移!H24</f>
        <v>0</v>
      </c>
      <c r="M25" s="341">
        <f t="shared" si="30"/>
        <v>0</v>
      </c>
      <c r="N25" s="323" t="str">
        <f t="shared" si="11"/>
        <v>-</v>
      </c>
      <c r="O25" s="302">
        <f t="shared" ref="O25:O28" si="60">+O13-O19</f>
        <v>0</v>
      </c>
      <c r="P25" s="508">
        <f>+PL推移!J24</f>
        <v>0</v>
      </c>
      <c r="Q25" s="341">
        <f t="shared" si="52"/>
        <v>0</v>
      </c>
      <c r="R25" s="323" t="str">
        <f t="shared" si="12"/>
        <v>-</v>
      </c>
      <c r="S25" s="302">
        <f t="shared" ref="S25:T28" si="61">+S13-S19</f>
        <v>0</v>
      </c>
      <c r="T25" s="508">
        <f t="shared" si="61"/>
        <v>0</v>
      </c>
      <c r="U25" s="341">
        <f t="shared" si="53"/>
        <v>0</v>
      </c>
      <c r="V25" s="323" t="str">
        <f t="shared" si="13"/>
        <v>-</v>
      </c>
      <c r="W25" s="302">
        <f t="shared" ref="W25:X25" si="62">+W13-W19</f>
        <v>0</v>
      </c>
      <c r="X25" s="508">
        <f t="shared" si="62"/>
        <v>0</v>
      </c>
      <c r="Y25" s="369">
        <f t="shared" si="54"/>
        <v>0</v>
      </c>
      <c r="Z25" s="323" t="str">
        <f t="shared" si="14"/>
        <v>-</v>
      </c>
      <c r="AA25" s="302">
        <f t="shared" ref="AA25:AB25" si="63">+AA13-AA19</f>
        <v>0</v>
      </c>
      <c r="AB25" s="351">
        <f t="shared" si="63"/>
        <v>0</v>
      </c>
      <c r="AC25" s="369">
        <f t="shared" si="55"/>
        <v>0</v>
      </c>
      <c r="AD25" s="323" t="str">
        <f t="shared" si="15"/>
        <v>-</v>
      </c>
      <c r="AE25" s="302">
        <f t="shared" ref="AE25" si="64">+AE13-AE19</f>
        <v>0</v>
      </c>
      <c r="AF25" s="351">
        <f>+PL推移!R24</f>
        <v>0</v>
      </c>
      <c r="AG25" s="369">
        <f t="shared" si="56"/>
        <v>0</v>
      </c>
      <c r="AH25" s="323" t="str">
        <f t="shared" si="16"/>
        <v>-</v>
      </c>
      <c r="AI25" s="302">
        <f t="shared" ref="AI25:AI28" si="65">+AI13-AI19</f>
        <v>0</v>
      </c>
      <c r="AJ25" s="351">
        <f t="shared" ref="AJ25" si="66">+AJ13-AJ19</f>
        <v>0</v>
      </c>
      <c r="AK25" s="369">
        <f t="shared" si="57"/>
        <v>0</v>
      </c>
      <c r="AL25" s="361" t="str">
        <f t="shared" si="17"/>
        <v>-</v>
      </c>
      <c r="AM25" s="302">
        <f t="shared" ref="AM25:AN28" si="67">+AM13-AM19</f>
        <v>0</v>
      </c>
      <c r="AN25" s="351">
        <f t="shared" si="67"/>
        <v>0</v>
      </c>
      <c r="AO25" s="369">
        <f t="shared" si="18"/>
        <v>0</v>
      </c>
      <c r="AP25" s="361" t="str">
        <f t="shared" si="19"/>
        <v>-</v>
      </c>
      <c r="AQ25" s="302">
        <f t="shared" ref="AQ25:AR25" si="68">+AQ13-AQ19</f>
        <v>0</v>
      </c>
      <c r="AR25" s="351">
        <f t="shared" si="68"/>
        <v>0</v>
      </c>
      <c r="AS25" s="369">
        <f t="shared" si="20"/>
        <v>0</v>
      </c>
      <c r="AT25" s="361" t="str">
        <f t="shared" si="21"/>
        <v>-</v>
      </c>
      <c r="AU25" s="302">
        <f t="shared" ref="AU25:AV25" si="69">+AU13-AU19</f>
        <v>0</v>
      </c>
      <c r="AV25" s="351">
        <f t="shared" si="69"/>
        <v>0</v>
      </c>
      <c r="AW25" s="369">
        <f t="shared" si="22"/>
        <v>0</v>
      </c>
      <c r="AX25" s="361" t="str">
        <f t="shared" si="23"/>
        <v>-</v>
      </c>
      <c r="AY25" s="408">
        <f t="shared" si="24"/>
        <v>0</v>
      </c>
      <c r="AZ25" s="426">
        <f t="shared" si="25"/>
        <v>0</v>
      </c>
      <c r="BA25" s="303">
        <f t="shared" si="26"/>
        <v>0</v>
      </c>
      <c r="BB25" s="333" t="str">
        <f t="shared" si="27"/>
        <v>-</v>
      </c>
    </row>
    <row r="26" spans="1:54" hidden="1" outlineLevel="1">
      <c r="A26" s="175"/>
      <c r="B26" s="5"/>
      <c r="C26" s="408"/>
      <c r="D26" s="426">
        <f>+PL推移!D25</f>
        <v>0</v>
      </c>
      <c r="E26" s="303">
        <f t="shared" si="58"/>
        <v>0</v>
      </c>
      <c r="F26" s="323" t="str">
        <f t="shared" si="9"/>
        <v>-</v>
      </c>
      <c r="G26" s="417"/>
      <c r="H26" s="426"/>
      <c r="I26" s="303">
        <f t="shared" si="29"/>
        <v>0</v>
      </c>
      <c r="J26" s="361" t="str">
        <f t="shared" si="10"/>
        <v>-</v>
      </c>
      <c r="K26" s="302">
        <f t="shared" si="59"/>
        <v>0</v>
      </c>
      <c r="L26" s="508">
        <f>+PL推移!H25</f>
        <v>0</v>
      </c>
      <c r="M26" s="341">
        <f t="shared" si="30"/>
        <v>0</v>
      </c>
      <c r="N26" s="323" t="str">
        <f t="shared" si="11"/>
        <v>-</v>
      </c>
      <c r="O26" s="302">
        <f t="shared" si="60"/>
        <v>0</v>
      </c>
      <c r="P26" s="508">
        <f>+PL推移!J25</f>
        <v>0</v>
      </c>
      <c r="Q26" s="341">
        <f t="shared" si="52"/>
        <v>0</v>
      </c>
      <c r="R26" s="323" t="str">
        <f t="shared" si="12"/>
        <v>-</v>
      </c>
      <c r="S26" s="302">
        <f t="shared" si="61"/>
        <v>0</v>
      </c>
      <c r="T26" s="508">
        <f t="shared" si="61"/>
        <v>0</v>
      </c>
      <c r="U26" s="341">
        <f t="shared" si="53"/>
        <v>0</v>
      </c>
      <c r="V26" s="323" t="str">
        <f t="shared" si="13"/>
        <v>-</v>
      </c>
      <c r="W26" s="302">
        <f t="shared" ref="W26:X26" si="70">+W14-W20</f>
        <v>0</v>
      </c>
      <c r="X26" s="508">
        <f t="shared" si="70"/>
        <v>0</v>
      </c>
      <c r="Y26" s="369">
        <f t="shared" si="54"/>
        <v>0</v>
      </c>
      <c r="Z26" s="323" t="str">
        <f t="shared" si="14"/>
        <v>-</v>
      </c>
      <c r="AA26" s="302">
        <f t="shared" ref="AA26:AB26" si="71">+AA14-AA20</f>
        <v>0</v>
      </c>
      <c r="AB26" s="351">
        <f t="shared" si="71"/>
        <v>0</v>
      </c>
      <c r="AC26" s="369">
        <f t="shared" si="55"/>
        <v>0</v>
      </c>
      <c r="AD26" s="323" t="str">
        <f t="shared" si="15"/>
        <v>-</v>
      </c>
      <c r="AE26" s="302">
        <f t="shared" ref="AE26" si="72">+AE14-AE20</f>
        <v>0</v>
      </c>
      <c r="AF26" s="351">
        <f>+PL推移!R25</f>
        <v>0</v>
      </c>
      <c r="AG26" s="368">
        <f t="shared" si="56"/>
        <v>0</v>
      </c>
      <c r="AH26" s="323" t="str">
        <f t="shared" si="16"/>
        <v>-</v>
      </c>
      <c r="AI26" s="302">
        <f t="shared" si="65"/>
        <v>0</v>
      </c>
      <c r="AJ26" s="351">
        <f t="shared" ref="AJ26" si="73">+AJ14-AJ20</f>
        <v>0</v>
      </c>
      <c r="AK26" s="368">
        <f t="shared" si="57"/>
        <v>0</v>
      </c>
      <c r="AL26" s="361" t="str">
        <f t="shared" si="17"/>
        <v>-</v>
      </c>
      <c r="AM26" s="302">
        <f t="shared" si="67"/>
        <v>0</v>
      </c>
      <c r="AN26" s="351">
        <f t="shared" si="67"/>
        <v>0</v>
      </c>
      <c r="AO26" s="369">
        <f t="shared" si="18"/>
        <v>0</v>
      </c>
      <c r="AP26" s="361" t="str">
        <f t="shared" si="19"/>
        <v>-</v>
      </c>
      <c r="AQ26" s="302">
        <f t="shared" ref="AQ26:AR26" si="74">+AQ14-AQ20</f>
        <v>0</v>
      </c>
      <c r="AR26" s="351">
        <f t="shared" si="74"/>
        <v>0</v>
      </c>
      <c r="AS26" s="369">
        <f t="shared" si="20"/>
        <v>0</v>
      </c>
      <c r="AT26" s="361" t="str">
        <f t="shared" si="21"/>
        <v>-</v>
      </c>
      <c r="AU26" s="302">
        <f t="shared" ref="AU26:AV26" si="75">+AU14-AU20</f>
        <v>0</v>
      </c>
      <c r="AV26" s="351">
        <f t="shared" si="75"/>
        <v>0</v>
      </c>
      <c r="AW26" s="369">
        <f t="shared" si="22"/>
        <v>0</v>
      </c>
      <c r="AX26" s="361" t="str">
        <f t="shared" si="23"/>
        <v>-</v>
      </c>
      <c r="AY26" s="408">
        <f t="shared" si="24"/>
        <v>0</v>
      </c>
      <c r="AZ26" s="426">
        <f t="shared" si="25"/>
        <v>0</v>
      </c>
      <c r="BA26" s="303">
        <f t="shared" si="26"/>
        <v>0</v>
      </c>
      <c r="BB26" s="333" t="str">
        <f t="shared" si="27"/>
        <v>-</v>
      </c>
    </row>
    <row r="27" spans="1:54" hidden="1" outlineLevel="1">
      <c r="A27" s="175"/>
      <c r="B27" s="5"/>
      <c r="C27" s="408"/>
      <c r="D27" s="426">
        <f>+PL推移!D26</f>
        <v>0</v>
      </c>
      <c r="E27" s="303">
        <f t="shared" si="58"/>
        <v>0</v>
      </c>
      <c r="F27" s="323" t="str">
        <f t="shared" si="9"/>
        <v>-</v>
      </c>
      <c r="G27" s="417"/>
      <c r="H27" s="426"/>
      <c r="I27" s="303">
        <f t="shared" si="29"/>
        <v>0</v>
      </c>
      <c r="J27" s="361" t="str">
        <f t="shared" si="10"/>
        <v>-</v>
      </c>
      <c r="K27" s="302">
        <f t="shared" si="59"/>
        <v>0</v>
      </c>
      <c r="L27" s="508">
        <f>+PL推移!H26</f>
        <v>0</v>
      </c>
      <c r="M27" s="341">
        <f t="shared" si="30"/>
        <v>0</v>
      </c>
      <c r="N27" s="323" t="str">
        <f t="shared" si="11"/>
        <v>-</v>
      </c>
      <c r="O27" s="302">
        <f t="shared" si="60"/>
        <v>0</v>
      </c>
      <c r="P27" s="508">
        <f>+PL推移!J26</f>
        <v>0</v>
      </c>
      <c r="Q27" s="341">
        <f t="shared" si="52"/>
        <v>0</v>
      </c>
      <c r="R27" s="323" t="str">
        <f t="shared" si="12"/>
        <v>-</v>
      </c>
      <c r="S27" s="302">
        <f t="shared" si="61"/>
        <v>0</v>
      </c>
      <c r="T27" s="508">
        <f t="shared" si="61"/>
        <v>0</v>
      </c>
      <c r="U27" s="341">
        <f t="shared" si="53"/>
        <v>0</v>
      </c>
      <c r="V27" s="323" t="str">
        <f t="shared" si="13"/>
        <v>-</v>
      </c>
      <c r="W27" s="302">
        <f t="shared" ref="W27:X27" si="76">+W15-W21</f>
        <v>0</v>
      </c>
      <c r="X27" s="508">
        <f t="shared" si="76"/>
        <v>0</v>
      </c>
      <c r="Y27" s="341">
        <f t="shared" si="54"/>
        <v>0</v>
      </c>
      <c r="Z27" s="323" t="str">
        <f t="shared" si="14"/>
        <v>-</v>
      </c>
      <c r="AA27" s="302">
        <f t="shared" ref="AA27:AB27" si="77">+AA15-AA21</f>
        <v>0</v>
      </c>
      <c r="AB27" s="351">
        <f t="shared" si="77"/>
        <v>0</v>
      </c>
      <c r="AC27" s="341">
        <f t="shared" si="55"/>
        <v>0</v>
      </c>
      <c r="AD27" s="323" t="str">
        <f t="shared" si="15"/>
        <v>-</v>
      </c>
      <c r="AE27" s="302">
        <f t="shared" ref="AE27" si="78">+AE15-AE21</f>
        <v>0</v>
      </c>
      <c r="AF27" s="351">
        <f>+PL推移!R26</f>
        <v>0</v>
      </c>
      <c r="AG27" s="341">
        <f t="shared" si="56"/>
        <v>0</v>
      </c>
      <c r="AH27" s="323" t="str">
        <f t="shared" si="16"/>
        <v>-</v>
      </c>
      <c r="AI27" s="302">
        <f t="shared" si="65"/>
        <v>0</v>
      </c>
      <c r="AJ27" s="351">
        <f t="shared" ref="AJ27" si="79">+AJ15-AJ21</f>
        <v>0</v>
      </c>
      <c r="AK27" s="341">
        <f t="shared" si="57"/>
        <v>0</v>
      </c>
      <c r="AL27" s="361" t="str">
        <f t="shared" si="17"/>
        <v>-</v>
      </c>
      <c r="AM27" s="302">
        <f t="shared" si="67"/>
        <v>0</v>
      </c>
      <c r="AN27" s="351">
        <f t="shared" si="67"/>
        <v>0</v>
      </c>
      <c r="AO27" s="341">
        <f t="shared" si="18"/>
        <v>0</v>
      </c>
      <c r="AP27" s="361" t="str">
        <f t="shared" si="19"/>
        <v>-</v>
      </c>
      <c r="AQ27" s="302">
        <f t="shared" ref="AQ27:AR27" si="80">+AQ15-AQ21</f>
        <v>0</v>
      </c>
      <c r="AR27" s="351">
        <f t="shared" si="80"/>
        <v>0</v>
      </c>
      <c r="AS27" s="341">
        <f t="shared" si="20"/>
        <v>0</v>
      </c>
      <c r="AT27" s="361" t="str">
        <f t="shared" si="21"/>
        <v>-</v>
      </c>
      <c r="AU27" s="302">
        <f t="shared" ref="AU27:AV27" si="81">+AU15-AU21</f>
        <v>0</v>
      </c>
      <c r="AV27" s="351">
        <f t="shared" si="81"/>
        <v>0</v>
      </c>
      <c r="AW27" s="341">
        <f t="shared" si="22"/>
        <v>0</v>
      </c>
      <c r="AX27" s="361" t="str">
        <f t="shared" si="23"/>
        <v>-</v>
      </c>
      <c r="AY27" s="408">
        <f t="shared" si="24"/>
        <v>0</v>
      </c>
      <c r="AZ27" s="426">
        <f t="shared" si="25"/>
        <v>0</v>
      </c>
      <c r="BA27" s="303">
        <f t="shared" si="26"/>
        <v>0</v>
      </c>
      <c r="BB27" s="333" t="str">
        <f t="shared" si="27"/>
        <v>-</v>
      </c>
    </row>
    <row r="28" spans="1:54" hidden="1" outlineLevel="1">
      <c r="A28" s="175"/>
      <c r="B28" s="148"/>
      <c r="C28" s="411"/>
      <c r="D28" s="429">
        <f>+PL推移!D27</f>
        <v>0</v>
      </c>
      <c r="E28" s="309">
        <f t="shared" si="58"/>
        <v>0</v>
      </c>
      <c r="F28" s="326" t="str">
        <f t="shared" si="9"/>
        <v>-</v>
      </c>
      <c r="G28" s="420"/>
      <c r="H28" s="429"/>
      <c r="I28" s="309">
        <f t="shared" si="29"/>
        <v>0</v>
      </c>
      <c r="J28" s="364" t="str">
        <f t="shared" si="10"/>
        <v>-</v>
      </c>
      <c r="K28" s="308">
        <f t="shared" si="59"/>
        <v>0</v>
      </c>
      <c r="L28" s="511">
        <f>+PL推移!H27</f>
        <v>0</v>
      </c>
      <c r="M28" s="344">
        <f t="shared" si="30"/>
        <v>0</v>
      </c>
      <c r="N28" s="326" t="str">
        <f t="shared" si="11"/>
        <v>-</v>
      </c>
      <c r="O28" s="308">
        <f t="shared" si="60"/>
        <v>0</v>
      </c>
      <c r="P28" s="511">
        <f>+PL推移!J27</f>
        <v>0</v>
      </c>
      <c r="Q28" s="344">
        <f t="shared" si="52"/>
        <v>0</v>
      </c>
      <c r="R28" s="326" t="str">
        <f t="shared" si="12"/>
        <v>-</v>
      </c>
      <c r="S28" s="308">
        <f t="shared" si="61"/>
        <v>0</v>
      </c>
      <c r="T28" s="511">
        <f t="shared" si="61"/>
        <v>0</v>
      </c>
      <c r="U28" s="344">
        <f t="shared" si="53"/>
        <v>0</v>
      </c>
      <c r="V28" s="326" t="str">
        <f t="shared" si="13"/>
        <v>-</v>
      </c>
      <c r="W28" s="308">
        <f t="shared" ref="W28:X28" si="82">+W16-W22</f>
        <v>0</v>
      </c>
      <c r="X28" s="511">
        <f t="shared" si="82"/>
        <v>0</v>
      </c>
      <c r="Y28" s="344">
        <f t="shared" si="54"/>
        <v>0</v>
      </c>
      <c r="Z28" s="326" t="str">
        <f t="shared" si="14"/>
        <v>-</v>
      </c>
      <c r="AA28" s="308">
        <f t="shared" ref="AA28:AB28" si="83">+AA16-AA22</f>
        <v>0</v>
      </c>
      <c r="AB28" s="354">
        <f t="shared" si="83"/>
        <v>0</v>
      </c>
      <c r="AC28" s="344">
        <f t="shared" si="55"/>
        <v>0</v>
      </c>
      <c r="AD28" s="326" t="str">
        <f t="shared" si="15"/>
        <v>-</v>
      </c>
      <c r="AE28" s="308">
        <f t="shared" ref="AE28" si="84">+AE16-AE22</f>
        <v>0</v>
      </c>
      <c r="AF28" s="354">
        <f>+PL推移!R27</f>
        <v>0</v>
      </c>
      <c r="AG28" s="344">
        <f t="shared" si="56"/>
        <v>0</v>
      </c>
      <c r="AH28" s="326" t="str">
        <f t="shared" si="16"/>
        <v>-</v>
      </c>
      <c r="AI28" s="308">
        <f t="shared" si="65"/>
        <v>0</v>
      </c>
      <c r="AJ28" s="354">
        <f t="shared" ref="AJ28" si="85">+AJ16-AJ22</f>
        <v>0</v>
      </c>
      <c r="AK28" s="344">
        <f t="shared" si="57"/>
        <v>0</v>
      </c>
      <c r="AL28" s="364" t="str">
        <f t="shared" si="17"/>
        <v>-</v>
      </c>
      <c r="AM28" s="308">
        <f t="shared" si="67"/>
        <v>0</v>
      </c>
      <c r="AN28" s="354">
        <f t="shared" si="67"/>
        <v>0</v>
      </c>
      <c r="AO28" s="344">
        <f t="shared" si="18"/>
        <v>0</v>
      </c>
      <c r="AP28" s="364" t="str">
        <f t="shared" si="19"/>
        <v>-</v>
      </c>
      <c r="AQ28" s="308">
        <f t="shared" ref="AQ28:AR28" si="86">+AQ16-AQ22</f>
        <v>0</v>
      </c>
      <c r="AR28" s="354">
        <f t="shared" si="86"/>
        <v>0</v>
      </c>
      <c r="AS28" s="344">
        <f t="shared" si="20"/>
        <v>0</v>
      </c>
      <c r="AT28" s="364" t="str">
        <f t="shared" si="21"/>
        <v>-</v>
      </c>
      <c r="AU28" s="308">
        <f t="shared" ref="AU28:AV28" si="87">+AU16-AU22</f>
        <v>0</v>
      </c>
      <c r="AV28" s="354">
        <f t="shared" si="87"/>
        <v>0</v>
      </c>
      <c r="AW28" s="344">
        <f t="shared" si="22"/>
        <v>0</v>
      </c>
      <c r="AX28" s="364" t="str">
        <f t="shared" si="23"/>
        <v>-</v>
      </c>
      <c r="AY28" s="411">
        <f t="shared" si="24"/>
        <v>0</v>
      </c>
      <c r="AZ28" s="429">
        <f t="shared" si="25"/>
        <v>0</v>
      </c>
      <c r="BA28" s="309">
        <f t="shared" si="26"/>
        <v>0</v>
      </c>
      <c r="BB28" s="334" t="str">
        <f t="shared" si="27"/>
        <v>-</v>
      </c>
    </row>
    <row r="29" spans="1:54" s="490" customFormat="1" collapsed="1">
      <c r="A29" s="490" t="s">
        <v>132</v>
      </c>
      <c r="C29" s="495">
        <f>SUM(C30:C50)</f>
        <v>898.2030000000002</v>
      </c>
      <c r="D29" s="496">
        <f t="shared" ref="D29:E29" si="88">SUM(D30:D50)</f>
        <v>898.20300000000009</v>
      </c>
      <c r="E29" s="497">
        <f t="shared" si="88"/>
        <v>0</v>
      </c>
      <c r="F29" s="498">
        <f t="shared" si="9"/>
        <v>0.99999999999999989</v>
      </c>
      <c r="G29" s="499">
        <f>SUM(G30:G50)</f>
        <v>567.923</v>
      </c>
      <c r="H29" s="496">
        <f>+PL推移!F28</f>
        <v>567.923</v>
      </c>
      <c r="I29" s="497">
        <f t="shared" ref="I29" si="89">SUM(I30:I50)</f>
        <v>0</v>
      </c>
      <c r="J29" s="500">
        <f t="shared" si="10"/>
        <v>1</v>
      </c>
      <c r="K29" s="501">
        <f>SUM(K30:K50)</f>
        <v>690.13499999999999</v>
      </c>
      <c r="L29" s="512">
        <f>+PL推移!H28</f>
        <v>654.4</v>
      </c>
      <c r="M29" s="503">
        <f t="shared" ref="M29" si="90">SUM(M30:M50)</f>
        <v>-35.734999999999999</v>
      </c>
      <c r="N29" s="498">
        <f t="shared" si="11"/>
        <v>0.94822027574315171</v>
      </c>
      <c r="O29" s="501">
        <f>SUM(O30:O50)</f>
        <v>570.13499999999999</v>
      </c>
      <c r="P29" s="512">
        <f>+PL推移!J28</f>
        <v>724.99099999999987</v>
      </c>
      <c r="Q29" s="503">
        <f t="shared" ref="Q29" si="91">SUM(Q30:Q50)</f>
        <v>154.85599999999999</v>
      </c>
      <c r="R29" s="498">
        <f t="shared" si="12"/>
        <v>1.2716128636200197</v>
      </c>
      <c r="S29" s="501">
        <f>SUM(S30:S50)</f>
        <v>570.13499999999999</v>
      </c>
      <c r="T29" s="512">
        <f>+PL推移!L28</f>
        <v>525.20299999999997</v>
      </c>
      <c r="U29" s="503">
        <f t="shared" ref="U29" si="92">SUM(U30:U50)</f>
        <v>-44.932000000000002</v>
      </c>
      <c r="V29" s="498">
        <f t="shared" si="13"/>
        <v>0.92119059520990643</v>
      </c>
      <c r="W29" s="501">
        <f>+収支計画!L56/1000</f>
        <v>570.13499999999999</v>
      </c>
      <c r="X29" s="512">
        <f>+PL推移!P28</f>
        <v>674.11500000000001</v>
      </c>
      <c r="Y29" s="503">
        <f t="shared" ref="Y29" si="93">SUM(Y30:Y50)</f>
        <v>151.39299999999997</v>
      </c>
      <c r="Z29" s="498">
        <f t="shared" si="14"/>
        <v>1.1823778578757662</v>
      </c>
      <c r="AA29" s="501">
        <f>+収支計画!M56/1000</f>
        <v>503.46899999999999</v>
      </c>
      <c r="AB29" s="502">
        <f>+PL推移!P28</f>
        <v>674.11500000000001</v>
      </c>
      <c r="AC29" s="503">
        <f t="shared" ref="AC29" si="94">SUM(AC30:AC50)</f>
        <v>197.196</v>
      </c>
      <c r="AD29" s="498">
        <f t="shared" si="15"/>
        <v>1.3389404312877258</v>
      </c>
      <c r="AE29" s="501">
        <f>+収支計画!N56/1000</f>
        <v>503.46899999999999</v>
      </c>
      <c r="AF29" s="502">
        <f>+PL推移!R28</f>
        <v>624.40699999999993</v>
      </c>
      <c r="AG29" s="503">
        <f t="shared" ref="AG29" si="95">SUM(AG30:AG50)</f>
        <v>197.488</v>
      </c>
      <c r="AH29" s="498">
        <f t="shared" si="16"/>
        <v>1.2402094269955051</v>
      </c>
      <c r="AI29" s="501">
        <f>+収支計画!O56/1000</f>
        <v>503.46899999999999</v>
      </c>
      <c r="AJ29" s="502">
        <f>+PL推移!T28</f>
        <v>654.59799999999984</v>
      </c>
      <c r="AK29" s="503">
        <f t="shared" ref="AK29" si="96">SUM(AK30:AK50)</f>
        <v>177.67899999999997</v>
      </c>
      <c r="AL29" s="500">
        <f t="shared" si="17"/>
        <v>1.3001753831914176</v>
      </c>
      <c r="AM29" s="501">
        <f>+収支計画!P56/1000</f>
        <v>529.96900000000005</v>
      </c>
      <c r="AN29" s="502">
        <f>+PL推移!V28</f>
        <v>601.29099999999994</v>
      </c>
      <c r="AO29" s="503">
        <f t="shared" si="18"/>
        <v>71.321999999999889</v>
      </c>
      <c r="AP29" s="500">
        <f t="shared" si="19"/>
        <v>1.1345776828456002</v>
      </c>
      <c r="AQ29" s="501">
        <f>+収支計画!Q56/1000</f>
        <v>529.96900000000005</v>
      </c>
      <c r="AR29" s="502">
        <f>+PL推移!X28</f>
        <v>676.18900000000008</v>
      </c>
      <c r="AS29" s="503">
        <f t="shared" si="20"/>
        <v>146.22000000000003</v>
      </c>
      <c r="AT29" s="500">
        <f t="shared" si="21"/>
        <v>1.2759029301713873</v>
      </c>
      <c r="AU29" s="501">
        <f>+収支計画!R56/1000</f>
        <v>529.91899999999998</v>
      </c>
      <c r="AV29" s="502">
        <f>+PL推移!Z28</f>
        <v>661.64100000000019</v>
      </c>
      <c r="AW29" s="503">
        <f t="shared" si="22"/>
        <v>131.72200000000021</v>
      </c>
      <c r="AX29" s="500">
        <f t="shared" si="23"/>
        <v>1.2485700644815532</v>
      </c>
      <c r="AY29" s="495">
        <f t="shared" si="24"/>
        <v>6966.9300000000012</v>
      </c>
      <c r="AZ29" s="496">
        <f t="shared" si="25"/>
        <v>7937.0760000000009</v>
      </c>
      <c r="BA29" s="497">
        <f t="shared" si="26"/>
        <v>970.14599999999973</v>
      </c>
      <c r="BB29" s="504">
        <f t="shared" si="27"/>
        <v>1.1392501431764062</v>
      </c>
    </row>
    <row r="30" spans="1:54">
      <c r="B30" s="8" t="s">
        <v>133</v>
      </c>
      <c r="C30" s="407">
        <f>+収支計画!G34/1000</f>
        <v>535.45600000000002</v>
      </c>
      <c r="D30" s="425">
        <f>+PL推移!D29</f>
        <v>535.45600000000002</v>
      </c>
      <c r="E30" s="301">
        <f>+D30-C30</f>
        <v>0</v>
      </c>
      <c r="F30" s="322">
        <f t="shared" si="9"/>
        <v>1</v>
      </c>
      <c r="G30" s="416">
        <f>+収支計画!H34/1000</f>
        <v>331.81900000000002</v>
      </c>
      <c r="H30" s="425">
        <f>+PL推移!F29</f>
        <v>331.81900000000002</v>
      </c>
      <c r="I30" s="301">
        <f>+H30-G30</f>
        <v>0</v>
      </c>
      <c r="J30" s="360">
        <f t="shared" si="10"/>
        <v>1</v>
      </c>
      <c r="K30" s="300">
        <f>+収支計画!I34/1000</f>
        <v>331.81900000000002</v>
      </c>
      <c r="L30" s="507">
        <f>+PL推移!H29</f>
        <v>331.81900000000002</v>
      </c>
      <c r="M30" s="340">
        <f>+L30-K30</f>
        <v>0</v>
      </c>
      <c r="N30" s="322">
        <f t="shared" si="11"/>
        <v>1</v>
      </c>
      <c r="O30" s="300">
        <f>+収支計画!J34/1000</f>
        <v>331.81900000000002</v>
      </c>
      <c r="P30" s="507">
        <f>+PL推移!J29</f>
        <v>331.81900000000002</v>
      </c>
      <c r="Q30" s="340">
        <f>+P30-O30</f>
        <v>0</v>
      </c>
      <c r="R30" s="322">
        <f t="shared" si="12"/>
        <v>1</v>
      </c>
      <c r="S30" s="300">
        <f>+収支計画!K34/1000</f>
        <v>331.81900000000002</v>
      </c>
      <c r="T30" s="507">
        <f>+PL推移!L29</f>
        <v>331.81900000000002</v>
      </c>
      <c r="U30" s="340">
        <f>+T30-S30</f>
        <v>0</v>
      </c>
      <c r="V30" s="322">
        <f t="shared" si="13"/>
        <v>1</v>
      </c>
      <c r="W30" s="300">
        <f>+収支計画!L34/1000</f>
        <v>331.81900000000002</v>
      </c>
      <c r="X30" s="507">
        <f>+PL推移!N29</f>
        <v>331.81900000000002</v>
      </c>
      <c r="Y30" s="340">
        <f>+X30-W30</f>
        <v>0</v>
      </c>
      <c r="Z30" s="322">
        <f t="shared" si="14"/>
        <v>1</v>
      </c>
      <c r="AA30" s="300">
        <f>+収支計画!M34/1000</f>
        <v>331.81900000000002</v>
      </c>
      <c r="AB30" s="350">
        <f>+PL推移!P29</f>
        <v>331.81900000000002</v>
      </c>
      <c r="AC30" s="340">
        <f>+AB30-AA30</f>
        <v>0</v>
      </c>
      <c r="AD30" s="322">
        <f t="shared" si="15"/>
        <v>1</v>
      </c>
      <c r="AE30" s="300">
        <f>+収支計画!N34/1000</f>
        <v>331.81900000000002</v>
      </c>
      <c r="AF30" s="350">
        <f>+PL推移!R29</f>
        <v>331.81900000000002</v>
      </c>
      <c r="AG30" s="371">
        <f>+AF30-AE30</f>
        <v>0</v>
      </c>
      <c r="AH30" s="322">
        <f t="shared" si="16"/>
        <v>1</v>
      </c>
      <c r="AI30" s="300">
        <f>+収支計画!O34/1000</f>
        <v>331.81900000000002</v>
      </c>
      <c r="AJ30" s="350">
        <f>+PL推移!T29</f>
        <v>331.81900000000002</v>
      </c>
      <c r="AK30" s="371">
        <f>+AJ30-AI30</f>
        <v>0</v>
      </c>
      <c r="AL30" s="360">
        <f t="shared" si="17"/>
        <v>1</v>
      </c>
      <c r="AM30" s="300">
        <f>+収支計画!P34/1000</f>
        <v>331.81900000000002</v>
      </c>
      <c r="AN30" s="350">
        <f>+PL推移!V29</f>
        <v>331.81900000000002</v>
      </c>
      <c r="AO30" s="370">
        <f t="shared" si="18"/>
        <v>0</v>
      </c>
      <c r="AP30" s="360">
        <f t="shared" si="19"/>
        <v>1</v>
      </c>
      <c r="AQ30" s="300">
        <f>+収支計画!Q34/1000</f>
        <v>331.81900000000002</v>
      </c>
      <c r="AR30" s="350">
        <f>+PL推移!X29</f>
        <v>331.81900000000002</v>
      </c>
      <c r="AS30" s="371">
        <f t="shared" si="20"/>
        <v>0</v>
      </c>
      <c r="AT30" s="360">
        <f t="shared" si="21"/>
        <v>1</v>
      </c>
      <c r="AU30" s="300">
        <f>+収支計画!R34/1000</f>
        <v>331.81900000000002</v>
      </c>
      <c r="AV30" s="350">
        <f>+PL推移!Z29</f>
        <v>331.81900000000002</v>
      </c>
      <c r="AW30" s="371">
        <f t="shared" si="22"/>
        <v>0</v>
      </c>
      <c r="AX30" s="360">
        <f t="shared" si="23"/>
        <v>1</v>
      </c>
      <c r="AY30" s="407">
        <f t="shared" si="24"/>
        <v>4185.4650000000001</v>
      </c>
      <c r="AZ30" s="425">
        <f t="shared" si="25"/>
        <v>4185.4650000000001</v>
      </c>
      <c r="BA30" s="301">
        <f t="shared" si="26"/>
        <v>0</v>
      </c>
      <c r="BB30" s="332">
        <f t="shared" si="27"/>
        <v>1</v>
      </c>
    </row>
    <row r="31" spans="1:54">
      <c r="B31" s="5" t="s">
        <v>199</v>
      </c>
      <c r="C31" s="408">
        <f>+収支計画!G35/1000</f>
        <v>9.7200000000000006</v>
      </c>
      <c r="D31" s="426">
        <f>+PL推移!D30</f>
        <v>9.7200000000000006</v>
      </c>
      <c r="E31" s="303">
        <f t="shared" ref="E31:E50" si="97">+D31-C31</f>
        <v>0</v>
      </c>
      <c r="F31" s="323">
        <f t="shared" si="9"/>
        <v>1</v>
      </c>
      <c r="G31" s="417">
        <f>+収支計画!H35/1000</f>
        <v>5.3710000000000004</v>
      </c>
      <c r="H31" s="426">
        <f>+PL推移!F30</f>
        <v>5.3710000000000004</v>
      </c>
      <c r="I31" s="303">
        <f t="shared" ref="I31:I50" si="98">+H31-G31</f>
        <v>0</v>
      </c>
      <c r="J31" s="361">
        <f t="shared" si="10"/>
        <v>1</v>
      </c>
      <c r="K31" s="302">
        <f>+収支計画!I35/1000</f>
        <v>50</v>
      </c>
      <c r="L31" s="508">
        <f>+PL推移!H30</f>
        <v>8.9659999999999993</v>
      </c>
      <c r="M31" s="341">
        <f t="shared" ref="M31:M50" si="99">+L31-K31</f>
        <v>-41.033999999999999</v>
      </c>
      <c r="N31" s="323">
        <f t="shared" si="11"/>
        <v>0.17931999999999998</v>
      </c>
      <c r="O31" s="302">
        <f>+収支計画!J35/1000</f>
        <v>50</v>
      </c>
      <c r="P31" s="508">
        <f>+PL推移!J30</f>
        <v>74.103999999999999</v>
      </c>
      <c r="Q31" s="341">
        <f t="shared" ref="Q31:Q50" si="100">+P31-O31</f>
        <v>24.103999999999999</v>
      </c>
      <c r="R31" s="323">
        <f t="shared" si="12"/>
        <v>1.4820800000000001</v>
      </c>
      <c r="S31" s="302">
        <f>+収支計画!K35/1000</f>
        <v>50</v>
      </c>
      <c r="T31" s="508">
        <f>+PL推移!L30</f>
        <v>6.6929999999999996</v>
      </c>
      <c r="U31" s="341">
        <f t="shared" ref="U31:U50" si="101">+T31-S31</f>
        <v>-43.307000000000002</v>
      </c>
      <c r="V31" s="323">
        <f t="shared" si="13"/>
        <v>0.13385999999999998</v>
      </c>
      <c r="W31" s="302">
        <f>+収支計画!L35/1000</f>
        <v>50</v>
      </c>
      <c r="X31" s="508">
        <f>+PL推移!N30</f>
        <v>1.9279999999999999</v>
      </c>
      <c r="Y31" s="341">
        <f t="shared" ref="Y31:Y49" si="102">+X31-W31</f>
        <v>-48.072000000000003</v>
      </c>
      <c r="Z31" s="323">
        <f t="shared" si="14"/>
        <v>3.8559999999999997E-2</v>
      </c>
      <c r="AA31" s="302">
        <f>+収支計画!M35/1000</f>
        <v>50</v>
      </c>
      <c r="AB31" s="351">
        <f>+PL推移!P30</f>
        <v>101.04300000000001</v>
      </c>
      <c r="AC31" s="341">
        <f t="shared" ref="AC31:AC49" si="103">+AB31-AA31</f>
        <v>51.043000000000006</v>
      </c>
      <c r="AD31" s="323">
        <f t="shared" si="15"/>
        <v>2.0208600000000003</v>
      </c>
      <c r="AE31" s="302">
        <f>+収支計画!N35/1000</f>
        <v>50</v>
      </c>
      <c r="AF31" s="351">
        <f>+PL推移!R30</f>
        <v>5.5469999999999997</v>
      </c>
      <c r="AG31" s="341">
        <f t="shared" ref="AG31:AG49" si="104">+AF31-AE31</f>
        <v>-44.453000000000003</v>
      </c>
      <c r="AH31" s="323">
        <f t="shared" si="16"/>
        <v>0.11094</v>
      </c>
      <c r="AI31" s="302">
        <f>+収支計画!O35/1000</f>
        <v>50</v>
      </c>
      <c r="AJ31" s="351">
        <f>+PL推移!T30</f>
        <v>1.091</v>
      </c>
      <c r="AK31" s="369">
        <f t="shared" ref="AK31:AK49" si="105">+AJ31-AI31</f>
        <v>-48.908999999999999</v>
      </c>
      <c r="AL31" s="361">
        <f t="shared" si="17"/>
        <v>2.1819999999999999E-2</v>
      </c>
      <c r="AM31" s="302">
        <f>+収支計画!P35/1000</f>
        <v>50</v>
      </c>
      <c r="AN31" s="351">
        <f>+PL推移!V30</f>
        <v>0</v>
      </c>
      <c r="AO31" s="341">
        <f t="shared" si="18"/>
        <v>-50</v>
      </c>
      <c r="AP31" s="361">
        <f t="shared" si="19"/>
        <v>0</v>
      </c>
      <c r="AQ31" s="302">
        <f>+収支計画!Q35/1000</f>
        <v>50</v>
      </c>
      <c r="AR31" s="351">
        <f>+PL推移!X30</f>
        <v>57.463999999999999</v>
      </c>
      <c r="AS31" s="341">
        <f t="shared" si="20"/>
        <v>7.4639999999999986</v>
      </c>
      <c r="AT31" s="361">
        <f t="shared" si="21"/>
        <v>1.1492800000000001</v>
      </c>
      <c r="AU31" s="302">
        <f>+収支計画!R35/1000</f>
        <v>50</v>
      </c>
      <c r="AV31" s="351">
        <f>+PL推移!Z30</f>
        <v>24.861999999999998</v>
      </c>
      <c r="AW31" s="341">
        <f t="shared" si="22"/>
        <v>-25.138000000000002</v>
      </c>
      <c r="AX31" s="361">
        <f t="shared" si="23"/>
        <v>0.49723999999999996</v>
      </c>
      <c r="AY31" s="408">
        <f t="shared" si="24"/>
        <v>515.09100000000001</v>
      </c>
      <c r="AZ31" s="426">
        <f t="shared" si="25"/>
        <v>296.78900000000004</v>
      </c>
      <c r="BA31" s="303">
        <f t="shared" si="26"/>
        <v>-218.30199999999996</v>
      </c>
      <c r="BB31" s="333">
        <f t="shared" si="27"/>
        <v>0.57618750861498269</v>
      </c>
    </row>
    <row r="32" spans="1:54">
      <c r="B32" s="5" t="s">
        <v>200</v>
      </c>
      <c r="C32" s="408">
        <f>+収支計画!G36/1000</f>
        <v>1.2</v>
      </c>
      <c r="D32" s="426">
        <f>+PL推移!D31</f>
        <v>1.2</v>
      </c>
      <c r="E32" s="303">
        <f t="shared" si="97"/>
        <v>0</v>
      </c>
      <c r="F32" s="323">
        <f t="shared" si="9"/>
        <v>1</v>
      </c>
      <c r="G32" s="417">
        <f>+収支計画!H36/1000</f>
        <v>55.56</v>
      </c>
      <c r="H32" s="426">
        <f>+PL推移!F31</f>
        <v>55.56</v>
      </c>
      <c r="I32" s="303">
        <f t="shared" si="98"/>
        <v>0</v>
      </c>
      <c r="J32" s="361">
        <f t="shared" si="10"/>
        <v>1</v>
      </c>
      <c r="K32" s="302">
        <f>+収支計画!I36/1000</f>
        <v>0.6</v>
      </c>
      <c r="L32" s="508">
        <f>+PL推移!H31</f>
        <v>54.96</v>
      </c>
      <c r="M32" s="341">
        <f t="shared" si="99"/>
        <v>54.36</v>
      </c>
      <c r="N32" s="323">
        <f t="shared" si="11"/>
        <v>91.600000000000009</v>
      </c>
      <c r="O32" s="302">
        <f>+収支計画!J36/1000</f>
        <v>0.6</v>
      </c>
      <c r="P32" s="508">
        <f>+PL推移!J31</f>
        <v>1.2</v>
      </c>
      <c r="Q32" s="341">
        <f t="shared" si="100"/>
        <v>0.6</v>
      </c>
      <c r="R32" s="323">
        <f t="shared" si="12"/>
        <v>2</v>
      </c>
      <c r="S32" s="302">
        <f>+収支計画!K36/1000</f>
        <v>0.6</v>
      </c>
      <c r="T32" s="508">
        <f>+PL推移!L31</f>
        <v>1.2</v>
      </c>
      <c r="U32" s="341">
        <f t="shared" si="101"/>
        <v>0.6</v>
      </c>
      <c r="V32" s="323">
        <f t="shared" si="13"/>
        <v>2</v>
      </c>
      <c r="W32" s="302">
        <f>+収支計画!L36/1000</f>
        <v>0.6</v>
      </c>
      <c r="X32" s="508">
        <f>+PL推移!N31</f>
        <v>78.959999999999994</v>
      </c>
      <c r="Y32" s="341">
        <f t="shared" si="102"/>
        <v>78.36</v>
      </c>
      <c r="Z32" s="323">
        <f t="shared" si="14"/>
        <v>131.6</v>
      </c>
      <c r="AA32" s="302">
        <f>+収支計画!M36/1000</f>
        <v>0.6</v>
      </c>
      <c r="AB32" s="351">
        <f>+PL推移!P31</f>
        <v>3.8370000000000002</v>
      </c>
      <c r="AC32" s="341">
        <f t="shared" si="103"/>
        <v>3.2370000000000001</v>
      </c>
      <c r="AD32" s="323">
        <f t="shared" si="15"/>
        <v>6.3950000000000005</v>
      </c>
      <c r="AE32" s="302">
        <f>+収支計画!N36/1000</f>
        <v>0.6</v>
      </c>
      <c r="AF32" s="351">
        <f>+PL推移!R31</f>
        <v>57.597000000000001</v>
      </c>
      <c r="AG32" s="341">
        <f t="shared" si="104"/>
        <v>56.997</v>
      </c>
      <c r="AH32" s="323">
        <f t="shared" si="16"/>
        <v>95.995000000000005</v>
      </c>
      <c r="AI32" s="302">
        <f>+収支計画!O36/1000</f>
        <v>0.6</v>
      </c>
      <c r="AJ32" s="351">
        <f>+PL推移!T31</f>
        <v>18.513000000000002</v>
      </c>
      <c r="AK32" s="369">
        <f t="shared" si="105"/>
        <v>17.913</v>
      </c>
      <c r="AL32" s="361">
        <f t="shared" si="17"/>
        <v>30.855000000000004</v>
      </c>
      <c r="AM32" s="302">
        <f>+収支計画!P36/1000</f>
        <v>0.6</v>
      </c>
      <c r="AN32" s="351">
        <f>+PL推移!V31</f>
        <v>27.326000000000001</v>
      </c>
      <c r="AO32" s="341">
        <f t="shared" si="18"/>
        <v>26.725999999999999</v>
      </c>
      <c r="AP32" s="361">
        <f t="shared" si="19"/>
        <v>45.543333333333337</v>
      </c>
      <c r="AQ32" s="302">
        <f>+収支計画!Q36/1000</f>
        <v>0.6</v>
      </c>
      <c r="AR32" s="351">
        <f>+PL推移!X31</f>
        <v>71.599000000000004</v>
      </c>
      <c r="AS32" s="341">
        <f t="shared" si="20"/>
        <v>70.999000000000009</v>
      </c>
      <c r="AT32" s="361">
        <f t="shared" si="21"/>
        <v>119.33166666666668</v>
      </c>
      <c r="AU32" s="302">
        <f>+収支計画!R36/1000</f>
        <v>0.6</v>
      </c>
      <c r="AV32" s="351">
        <f>+PL推移!Z31</f>
        <v>62.331000000000003</v>
      </c>
      <c r="AW32" s="341">
        <f t="shared" si="22"/>
        <v>61.731000000000002</v>
      </c>
      <c r="AX32" s="361">
        <f t="shared" si="23"/>
        <v>103.88500000000001</v>
      </c>
      <c r="AY32" s="408">
        <f t="shared" si="24"/>
        <v>62.760000000000019</v>
      </c>
      <c r="AZ32" s="426">
        <f t="shared" si="25"/>
        <v>434.28300000000002</v>
      </c>
      <c r="BA32" s="303">
        <f t="shared" si="26"/>
        <v>371.52300000000002</v>
      </c>
      <c r="BB32" s="333">
        <f t="shared" si="27"/>
        <v>6.9197418738049699</v>
      </c>
    </row>
    <row r="33" spans="2:54" outlineLevel="1">
      <c r="B33" s="5" t="s">
        <v>201</v>
      </c>
      <c r="C33" s="408">
        <f>+収支計画!G37/1000</f>
        <v>0</v>
      </c>
      <c r="D33" s="426">
        <f>+PL推移!D32</f>
        <v>140</v>
      </c>
      <c r="E33" s="303">
        <f t="shared" si="97"/>
        <v>140</v>
      </c>
      <c r="F33" s="323" t="str">
        <f t="shared" si="9"/>
        <v>-</v>
      </c>
      <c r="G33" s="417">
        <f>+収支計画!H37/1000</f>
        <v>0</v>
      </c>
      <c r="H33" s="426">
        <f>+PL推移!F32</f>
        <v>14.004</v>
      </c>
      <c r="I33" s="303">
        <f t="shared" si="98"/>
        <v>14.004</v>
      </c>
      <c r="J33" s="361" t="str">
        <f t="shared" si="10"/>
        <v>-</v>
      </c>
      <c r="K33" s="302">
        <f>+収支計画!I37/1000</f>
        <v>0</v>
      </c>
      <c r="L33" s="508">
        <f>+PL推移!H32</f>
        <v>42.383000000000003</v>
      </c>
      <c r="M33" s="341">
        <f t="shared" si="99"/>
        <v>42.383000000000003</v>
      </c>
      <c r="N33" s="323" t="str">
        <f t="shared" si="11"/>
        <v>-</v>
      </c>
      <c r="O33" s="302">
        <f>+収支計画!J37/1000</f>
        <v>0</v>
      </c>
      <c r="P33" s="508">
        <f>+PL推移!J32</f>
        <v>0</v>
      </c>
      <c r="Q33" s="341">
        <f t="shared" si="100"/>
        <v>0</v>
      </c>
      <c r="R33" s="323" t="str">
        <f t="shared" si="12"/>
        <v>-</v>
      </c>
      <c r="S33" s="302">
        <f>+収支計画!K37/1000</f>
        <v>0</v>
      </c>
      <c r="T33" s="508">
        <f>+PL推移!L32</f>
        <v>0</v>
      </c>
      <c r="U33" s="341">
        <f t="shared" si="101"/>
        <v>0</v>
      </c>
      <c r="V33" s="323" t="str">
        <f t="shared" si="13"/>
        <v>-</v>
      </c>
      <c r="W33" s="302">
        <f>+収支計画!L37/1000</f>
        <v>0</v>
      </c>
      <c r="X33" s="508">
        <f>+PL推移!N32</f>
        <v>0</v>
      </c>
      <c r="Y33" s="341">
        <f t="shared" si="102"/>
        <v>0</v>
      </c>
      <c r="Z33" s="323" t="str">
        <f t="shared" si="14"/>
        <v>-</v>
      </c>
      <c r="AA33" s="302">
        <f>+収支計画!M37/1000</f>
        <v>0</v>
      </c>
      <c r="AB33" s="351">
        <f>+PL推移!P32</f>
        <v>0</v>
      </c>
      <c r="AC33" s="341">
        <f t="shared" si="103"/>
        <v>0</v>
      </c>
      <c r="AD33" s="323" t="str">
        <f t="shared" si="15"/>
        <v>-</v>
      </c>
      <c r="AE33" s="302">
        <f>+収支計画!AA43/1000</f>
        <v>0</v>
      </c>
      <c r="AF33" s="351">
        <f>+PL推移!R32</f>
        <v>0</v>
      </c>
      <c r="AG33" s="341">
        <f t="shared" si="104"/>
        <v>0</v>
      </c>
      <c r="AH33" s="323" t="str">
        <f t="shared" si="16"/>
        <v>-</v>
      </c>
      <c r="AI33" s="302">
        <f>+収支計画!O37/1000</f>
        <v>0</v>
      </c>
      <c r="AJ33" s="351">
        <f>+PL推移!T32</f>
        <v>0</v>
      </c>
      <c r="AK33" s="369">
        <f t="shared" si="105"/>
        <v>0</v>
      </c>
      <c r="AL33" s="361" t="str">
        <f t="shared" si="17"/>
        <v>-</v>
      </c>
      <c r="AM33" s="302">
        <f>+収支計画!P37/1000</f>
        <v>0</v>
      </c>
      <c r="AN33" s="351">
        <f>+PL推移!V32</f>
        <v>0</v>
      </c>
      <c r="AO33" s="341">
        <f t="shared" si="18"/>
        <v>0</v>
      </c>
      <c r="AP33" s="361" t="str">
        <f t="shared" si="19"/>
        <v>-</v>
      </c>
      <c r="AQ33" s="302">
        <f>+収支計画!Q37/1000</f>
        <v>0</v>
      </c>
      <c r="AR33" s="351">
        <f>+PL推移!X32</f>
        <v>0</v>
      </c>
      <c r="AS33" s="341">
        <f t="shared" si="20"/>
        <v>0</v>
      </c>
      <c r="AT33" s="361" t="str">
        <f t="shared" si="21"/>
        <v>-</v>
      </c>
      <c r="AU33" s="302">
        <f>+収支計画!R37/1000</f>
        <v>0</v>
      </c>
      <c r="AV33" s="351">
        <f>+PL推移!Z32</f>
        <v>0</v>
      </c>
      <c r="AW33" s="341">
        <f t="shared" si="22"/>
        <v>0</v>
      </c>
      <c r="AX33" s="361" t="str">
        <f t="shared" si="23"/>
        <v>-</v>
      </c>
      <c r="AY33" s="408">
        <f t="shared" si="24"/>
        <v>0</v>
      </c>
      <c r="AZ33" s="426">
        <f t="shared" si="25"/>
        <v>196.387</v>
      </c>
      <c r="BA33" s="303">
        <f t="shared" si="26"/>
        <v>196.387</v>
      </c>
      <c r="BB33" s="333" t="str">
        <f t="shared" si="27"/>
        <v>-</v>
      </c>
    </row>
    <row r="34" spans="2:54" outlineLevel="1">
      <c r="B34" s="5" t="s">
        <v>202</v>
      </c>
      <c r="C34" s="408">
        <f>+収支計画!G38/1000</f>
        <v>13.438000000000001</v>
      </c>
      <c r="D34" s="426">
        <f>+PL推移!D33</f>
        <v>13.438000000000001</v>
      </c>
      <c r="E34" s="303">
        <f t="shared" si="97"/>
        <v>0</v>
      </c>
      <c r="F34" s="323">
        <f t="shared" si="9"/>
        <v>1</v>
      </c>
      <c r="G34" s="417">
        <f>+収支計画!H38/1000</f>
        <v>50.137</v>
      </c>
      <c r="H34" s="426">
        <f>+PL推移!F33</f>
        <v>50.137</v>
      </c>
      <c r="I34" s="303">
        <f t="shared" si="98"/>
        <v>0</v>
      </c>
      <c r="J34" s="361">
        <f t="shared" si="10"/>
        <v>1</v>
      </c>
      <c r="K34" s="302">
        <f>+収支計画!I38/1000</f>
        <v>50</v>
      </c>
      <c r="L34" s="508">
        <f>+PL推移!H33</f>
        <v>103.9</v>
      </c>
      <c r="M34" s="341">
        <f t="shared" si="99"/>
        <v>53.900000000000006</v>
      </c>
      <c r="N34" s="323">
        <f t="shared" si="11"/>
        <v>2.0780000000000003</v>
      </c>
      <c r="O34" s="302">
        <f>+収支計画!J38/1000</f>
        <v>50</v>
      </c>
      <c r="P34" s="508">
        <f>+PL推移!J33</f>
        <v>12.119</v>
      </c>
      <c r="Q34" s="341">
        <f t="shared" si="100"/>
        <v>-37.881</v>
      </c>
      <c r="R34" s="323">
        <f t="shared" si="12"/>
        <v>0.24237999999999998</v>
      </c>
      <c r="S34" s="302">
        <f>+収支計画!K38/1000</f>
        <v>50</v>
      </c>
      <c r="T34" s="508">
        <f>+PL推移!L33</f>
        <v>30</v>
      </c>
      <c r="U34" s="341">
        <f t="shared" si="101"/>
        <v>-20</v>
      </c>
      <c r="V34" s="323">
        <f t="shared" si="13"/>
        <v>0.6</v>
      </c>
      <c r="W34" s="302">
        <f>+収支計画!L38/1000</f>
        <v>50</v>
      </c>
      <c r="X34" s="508">
        <f>+PL推移!N33</f>
        <v>158.37100000000001</v>
      </c>
      <c r="Y34" s="341">
        <f t="shared" si="102"/>
        <v>108.37100000000001</v>
      </c>
      <c r="Z34" s="323">
        <f t="shared" si="14"/>
        <v>3.1674200000000003</v>
      </c>
      <c r="AA34" s="302">
        <f>+収支計画!M38/1000</f>
        <v>50</v>
      </c>
      <c r="AB34" s="351">
        <f>+PL推移!P33</f>
        <v>87.515000000000001</v>
      </c>
      <c r="AC34" s="341">
        <f t="shared" si="103"/>
        <v>37.515000000000001</v>
      </c>
      <c r="AD34" s="323">
        <f t="shared" si="15"/>
        <v>1.7503</v>
      </c>
      <c r="AE34" s="302">
        <f>+収支計画!AA44/1000</f>
        <v>0</v>
      </c>
      <c r="AF34" s="351">
        <f>+PL推移!R33</f>
        <v>113.663</v>
      </c>
      <c r="AG34" s="341">
        <f t="shared" si="104"/>
        <v>113.663</v>
      </c>
      <c r="AH34" s="323" t="str">
        <f t="shared" si="16"/>
        <v>-</v>
      </c>
      <c r="AI34" s="302">
        <f>+収支計画!O38/1000</f>
        <v>50</v>
      </c>
      <c r="AJ34" s="351">
        <f>+PL推移!T33</f>
        <v>172.61799999999999</v>
      </c>
      <c r="AK34" s="369">
        <f t="shared" si="105"/>
        <v>122.61799999999999</v>
      </c>
      <c r="AL34" s="361">
        <f t="shared" si="17"/>
        <v>3.4523600000000001</v>
      </c>
      <c r="AM34" s="302">
        <f>+収支計画!P38/1000</f>
        <v>50</v>
      </c>
      <c r="AN34" s="351">
        <f>+PL推移!V33</f>
        <v>89.768000000000001</v>
      </c>
      <c r="AO34" s="341">
        <f t="shared" si="18"/>
        <v>39.768000000000001</v>
      </c>
      <c r="AP34" s="361">
        <f t="shared" si="19"/>
        <v>1.7953600000000001</v>
      </c>
      <c r="AQ34" s="302">
        <f>+収支計画!Q38/1000</f>
        <v>50</v>
      </c>
      <c r="AR34" s="351">
        <f>+PL推移!X33</f>
        <v>95.001999999999995</v>
      </c>
      <c r="AS34" s="341">
        <f t="shared" si="20"/>
        <v>45.001999999999995</v>
      </c>
      <c r="AT34" s="361">
        <f t="shared" si="21"/>
        <v>1.90004</v>
      </c>
      <c r="AU34" s="302">
        <f>+収支計画!R38/1000</f>
        <v>50</v>
      </c>
      <c r="AV34" s="351">
        <f>+PL推移!Z33</f>
        <v>111.724</v>
      </c>
      <c r="AW34" s="341">
        <f t="shared" si="22"/>
        <v>61.724000000000004</v>
      </c>
      <c r="AX34" s="361">
        <f t="shared" si="23"/>
        <v>2.23448</v>
      </c>
      <c r="AY34" s="408">
        <f t="shared" si="24"/>
        <v>513.57500000000005</v>
      </c>
      <c r="AZ34" s="426">
        <f t="shared" si="25"/>
        <v>1038.2549999999999</v>
      </c>
      <c r="BA34" s="303">
        <f t="shared" si="26"/>
        <v>524.67999999999984</v>
      </c>
      <c r="BB34" s="333">
        <f t="shared" si="27"/>
        <v>2.0216229372535652</v>
      </c>
    </row>
    <row r="35" spans="2:54" outlineLevel="1">
      <c r="B35" s="5" t="s">
        <v>203</v>
      </c>
      <c r="C35" s="408">
        <f>+収支計画!G39/1000</f>
        <v>0</v>
      </c>
      <c r="D35" s="426">
        <f>+PL推移!D34</f>
        <v>84.497</v>
      </c>
      <c r="E35" s="303">
        <f t="shared" si="97"/>
        <v>84.497</v>
      </c>
      <c r="F35" s="323" t="str">
        <f t="shared" si="9"/>
        <v>-</v>
      </c>
      <c r="G35" s="417">
        <f>+収支計画!H39/1000</f>
        <v>0</v>
      </c>
      <c r="H35" s="426">
        <f>+PL推移!F34</f>
        <v>10.446999999999999</v>
      </c>
      <c r="I35" s="303">
        <f t="shared" si="98"/>
        <v>10.446999999999999</v>
      </c>
      <c r="J35" s="361" t="str">
        <f t="shared" si="10"/>
        <v>-</v>
      </c>
      <c r="K35" s="302">
        <f>+収支計画!I39/1000</f>
        <v>0</v>
      </c>
      <c r="L35" s="508">
        <f>+PL推移!H34</f>
        <v>11.637</v>
      </c>
      <c r="M35" s="341">
        <f t="shared" si="99"/>
        <v>11.637</v>
      </c>
      <c r="N35" s="323" t="str">
        <f t="shared" si="11"/>
        <v>-</v>
      </c>
      <c r="O35" s="302">
        <f>+収支計画!J39/1000</f>
        <v>0</v>
      </c>
      <c r="P35" s="508">
        <f>+PL推移!J34</f>
        <v>67.567999999999998</v>
      </c>
      <c r="Q35" s="341">
        <f t="shared" si="100"/>
        <v>67.567999999999998</v>
      </c>
      <c r="R35" s="323" t="str">
        <f t="shared" si="12"/>
        <v>-</v>
      </c>
      <c r="S35" s="302">
        <f>+収支計画!K39/1000</f>
        <v>0</v>
      </c>
      <c r="T35" s="508">
        <f>+PL推移!L34</f>
        <v>49.290999999999997</v>
      </c>
      <c r="U35" s="341">
        <f t="shared" si="101"/>
        <v>49.290999999999997</v>
      </c>
      <c r="V35" s="323" t="str">
        <f t="shared" si="13"/>
        <v>-</v>
      </c>
      <c r="W35" s="302">
        <f>+収支計画!L39/1000</f>
        <v>0</v>
      </c>
      <c r="X35" s="508">
        <f>+PL推移!N34</f>
        <v>22.015999999999998</v>
      </c>
      <c r="Y35" s="341">
        <f t="shared" si="102"/>
        <v>22.015999999999998</v>
      </c>
      <c r="Z35" s="323" t="str">
        <f t="shared" si="14"/>
        <v>-</v>
      </c>
      <c r="AA35" s="302">
        <f>+収支計画!M39/1000</f>
        <v>0</v>
      </c>
      <c r="AB35" s="351">
        <f>+PL推移!P34</f>
        <v>45.375999999999998</v>
      </c>
      <c r="AC35" s="341">
        <f t="shared" si="103"/>
        <v>45.375999999999998</v>
      </c>
      <c r="AD35" s="323" t="str">
        <f t="shared" si="15"/>
        <v>-</v>
      </c>
      <c r="AE35" s="302">
        <f>+収支計画!AA45/1000</f>
        <v>0</v>
      </c>
      <c r="AF35" s="351">
        <f>+PL推移!R34</f>
        <v>13.067</v>
      </c>
      <c r="AG35" s="341">
        <f t="shared" si="104"/>
        <v>13.067</v>
      </c>
      <c r="AH35" s="323" t="str">
        <f t="shared" si="16"/>
        <v>-</v>
      </c>
      <c r="AI35" s="302">
        <f>+収支計画!O39/1000</f>
        <v>0</v>
      </c>
      <c r="AJ35" s="351">
        <f>+PL推移!T34</f>
        <v>27.771000000000001</v>
      </c>
      <c r="AK35" s="369">
        <f t="shared" si="105"/>
        <v>27.771000000000001</v>
      </c>
      <c r="AL35" s="361" t="str">
        <f t="shared" si="17"/>
        <v>-</v>
      </c>
      <c r="AM35" s="302">
        <f>+収支計画!P39/1000</f>
        <v>0</v>
      </c>
      <c r="AN35" s="351">
        <f>+PL推移!V34</f>
        <v>13.157999999999999</v>
      </c>
      <c r="AO35" s="341">
        <f t="shared" si="18"/>
        <v>13.157999999999999</v>
      </c>
      <c r="AP35" s="361" t="str">
        <f t="shared" si="19"/>
        <v>-</v>
      </c>
      <c r="AQ35" s="302">
        <f>+収支計画!Q39/1000</f>
        <v>0</v>
      </c>
      <c r="AR35" s="351">
        <f>+PL推移!X34</f>
        <v>10.468999999999999</v>
      </c>
      <c r="AS35" s="341">
        <f t="shared" si="20"/>
        <v>10.468999999999999</v>
      </c>
      <c r="AT35" s="361" t="str">
        <f t="shared" si="21"/>
        <v>-</v>
      </c>
      <c r="AU35" s="302">
        <f>+収支計画!R39/1000</f>
        <v>0</v>
      </c>
      <c r="AV35" s="351">
        <f>+PL推移!Z34</f>
        <v>27.614000000000001</v>
      </c>
      <c r="AW35" s="341">
        <f t="shared" si="22"/>
        <v>27.614000000000001</v>
      </c>
      <c r="AX35" s="361" t="str">
        <f t="shared" si="23"/>
        <v>-</v>
      </c>
      <c r="AY35" s="408">
        <f t="shared" si="24"/>
        <v>0</v>
      </c>
      <c r="AZ35" s="426">
        <f t="shared" si="25"/>
        <v>382.911</v>
      </c>
      <c r="BA35" s="303">
        <f t="shared" si="26"/>
        <v>382.911</v>
      </c>
      <c r="BB35" s="333" t="str">
        <f t="shared" si="27"/>
        <v>-</v>
      </c>
    </row>
    <row r="36" spans="2:54" outlineLevel="1">
      <c r="B36" s="5" t="s">
        <v>204</v>
      </c>
      <c r="C36" s="408">
        <f>+収支計画!G40/1000</f>
        <v>26.5</v>
      </c>
      <c r="D36" s="426">
        <f>+PL推移!D35</f>
        <v>26.5</v>
      </c>
      <c r="E36" s="303">
        <f t="shared" si="97"/>
        <v>0</v>
      </c>
      <c r="F36" s="323">
        <f t="shared" si="9"/>
        <v>1</v>
      </c>
      <c r="G36" s="417">
        <f>+収支計画!H40/1000</f>
        <v>26.5</v>
      </c>
      <c r="H36" s="426">
        <f>+PL推移!F35</f>
        <v>26.5</v>
      </c>
      <c r="I36" s="303">
        <f t="shared" si="98"/>
        <v>0</v>
      </c>
      <c r="J36" s="361">
        <f t="shared" si="10"/>
        <v>1</v>
      </c>
      <c r="K36" s="302">
        <f>+収支計画!I40/1000</f>
        <v>66.665999999999997</v>
      </c>
      <c r="L36" s="508">
        <f>+PL推移!H35</f>
        <v>26.5</v>
      </c>
      <c r="M36" s="341">
        <f t="shared" si="99"/>
        <v>-40.165999999999997</v>
      </c>
      <c r="N36" s="323">
        <f t="shared" si="11"/>
        <v>0.39750397503975043</v>
      </c>
      <c r="O36" s="302">
        <f>+収支計画!J40/1000</f>
        <v>66.665999999999997</v>
      </c>
      <c r="P36" s="508">
        <f>+PL推移!J35</f>
        <v>26.5</v>
      </c>
      <c r="Q36" s="341">
        <f t="shared" si="100"/>
        <v>-40.165999999999997</v>
      </c>
      <c r="R36" s="323">
        <f t="shared" si="12"/>
        <v>0.39750397503975043</v>
      </c>
      <c r="S36" s="302">
        <f>+収支計画!K40/1000</f>
        <v>66.665999999999997</v>
      </c>
      <c r="T36" s="508">
        <f>+PL推移!L35</f>
        <v>26.5</v>
      </c>
      <c r="U36" s="341">
        <f t="shared" si="101"/>
        <v>-40.165999999999997</v>
      </c>
      <c r="V36" s="323">
        <f t="shared" si="13"/>
        <v>0.39750397503975043</v>
      </c>
      <c r="W36" s="302">
        <f>+収支計画!L40/1000</f>
        <v>66.665999999999997</v>
      </c>
      <c r="X36" s="508">
        <f>+PL推移!N35</f>
        <v>26.5</v>
      </c>
      <c r="Y36" s="341">
        <f t="shared" si="102"/>
        <v>-40.165999999999997</v>
      </c>
      <c r="Z36" s="323">
        <f t="shared" si="14"/>
        <v>0.39750397503975043</v>
      </c>
      <c r="AA36" s="302">
        <f>+収支計画!M40/1000</f>
        <v>0</v>
      </c>
      <c r="AB36" s="351">
        <f>+PL推移!P35</f>
        <v>26.5</v>
      </c>
      <c r="AC36" s="341">
        <f t="shared" si="103"/>
        <v>26.5</v>
      </c>
      <c r="AD36" s="323" t="str">
        <f t="shared" si="15"/>
        <v>-</v>
      </c>
      <c r="AE36" s="302">
        <f>+収支計画!AA46/1000</f>
        <v>0</v>
      </c>
      <c r="AF36" s="351">
        <f>+PL推移!R35</f>
        <v>26.5</v>
      </c>
      <c r="AG36" s="341">
        <f t="shared" si="104"/>
        <v>26.5</v>
      </c>
      <c r="AH36" s="323" t="str">
        <f t="shared" si="16"/>
        <v>-</v>
      </c>
      <c r="AI36" s="302">
        <f>+収支計画!O40/1000</f>
        <v>0</v>
      </c>
      <c r="AJ36" s="351">
        <f>+PL推移!T35</f>
        <v>26.5</v>
      </c>
      <c r="AK36" s="369">
        <f t="shared" si="105"/>
        <v>26.5</v>
      </c>
      <c r="AL36" s="361" t="str">
        <f t="shared" si="17"/>
        <v>-</v>
      </c>
      <c r="AM36" s="302">
        <f>+収支計画!P40/1000</f>
        <v>26.5</v>
      </c>
      <c r="AN36" s="351">
        <f>+PL推移!V35</f>
        <v>26.5</v>
      </c>
      <c r="AO36" s="341">
        <f t="shared" si="18"/>
        <v>0</v>
      </c>
      <c r="AP36" s="361">
        <f t="shared" si="19"/>
        <v>1</v>
      </c>
      <c r="AQ36" s="302">
        <f>+収支計画!Q40/1000</f>
        <v>26.5</v>
      </c>
      <c r="AR36" s="351">
        <f>+PL推移!X35</f>
        <v>26.5</v>
      </c>
      <c r="AS36" s="341">
        <f t="shared" si="20"/>
        <v>0</v>
      </c>
      <c r="AT36" s="361">
        <f t="shared" si="21"/>
        <v>1</v>
      </c>
      <c r="AU36" s="302">
        <f>+収支計画!R40/1000</f>
        <v>26.5</v>
      </c>
      <c r="AV36" s="351">
        <f>+PL推移!Z35</f>
        <v>26.5</v>
      </c>
      <c r="AW36" s="341">
        <f t="shared" si="22"/>
        <v>0</v>
      </c>
      <c r="AX36" s="361">
        <f t="shared" si="23"/>
        <v>1</v>
      </c>
      <c r="AY36" s="408">
        <f t="shared" si="24"/>
        <v>399.16399999999999</v>
      </c>
      <c r="AZ36" s="426">
        <f t="shared" si="25"/>
        <v>318</v>
      </c>
      <c r="BA36" s="303">
        <f t="shared" si="26"/>
        <v>-81.163999999999987</v>
      </c>
      <c r="BB36" s="333">
        <f t="shared" si="27"/>
        <v>0.7966650299125172</v>
      </c>
    </row>
    <row r="37" spans="2:54" outlineLevel="1">
      <c r="B37" s="5" t="s">
        <v>205</v>
      </c>
      <c r="C37" s="408">
        <f>+収支計画!G41/1000</f>
        <v>0</v>
      </c>
      <c r="D37" s="426">
        <f>+PL推移!D36</f>
        <v>0</v>
      </c>
      <c r="E37" s="303">
        <f t="shared" si="97"/>
        <v>0</v>
      </c>
      <c r="F37" s="323" t="str">
        <f t="shared" si="9"/>
        <v>-</v>
      </c>
      <c r="G37" s="417">
        <f>+収支計画!H41/1000</f>
        <v>0</v>
      </c>
      <c r="H37" s="426">
        <f>+PL推移!F36</f>
        <v>0</v>
      </c>
      <c r="I37" s="303">
        <f t="shared" si="98"/>
        <v>0</v>
      </c>
      <c r="J37" s="361" t="str">
        <f t="shared" si="10"/>
        <v>-</v>
      </c>
      <c r="K37" s="302">
        <f>+収支計画!I41/1000</f>
        <v>0</v>
      </c>
      <c r="L37" s="508">
        <f>+PL推移!H36</f>
        <v>0</v>
      </c>
      <c r="M37" s="341">
        <f t="shared" si="99"/>
        <v>0</v>
      </c>
      <c r="N37" s="323" t="str">
        <f t="shared" si="11"/>
        <v>-</v>
      </c>
      <c r="O37" s="302">
        <f>+収支計画!J41/1000</f>
        <v>0</v>
      </c>
      <c r="P37" s="508">
        <f>+PL推移!J36</f>
        <v>0</v>
      </c>
      <c r="Q37" s="341">
        <f t="shared" si="100"/>
        <v>0</v>
      </c>
      <c r="R37" s="323" t="str">
        <f t="shared" si="12"/>
        <v>-</v>
      </c>
      <c r="S37" s="302">
        <f>+収支計画!K41/1000</f>
        <v>0</v>
      </c>
      <c r="T37" s="508">
        <f>+PL推移!L36</f>
        <v>0</v>
      </c>
      <c r="U37" s="341">
        <f t="shared" si="101"/>
        <v>0</v>
      </c>
      <c r="V37" s="323" t="str">
        <f t="shared" si="13"/>
        <v>-</v>
      </c>
      <c r="W37" s="302">
        <f>+収支計画!L41/1000</f>
        <v>0</v>
      </c>
      <c r="X37" s="508">
        <f>+PL推移!N36</f>
        <v>0</v>
      </c>
      <c r="Y37" s="341">
        <f t="shared" si="102"/>
        <v>0</v>
      </c>
      <c r="Z37" s="323" t="str">
        <f t="shared" si="14"/>
        <v>-</v>
      </c>
      <c r="AA37" s="302">
        <f>+収支計画!M41/1000</f>
        <v>0</v>
      </c>
      <c r="AB37" s="351">
        <f>+PL推移!P36</f>
        <v>0</v>
      </c>
      <c r="AC37" s="341">
        <f t="shared" si="103"/>
        <v>0</v>
      </c>
      <c r="AD37" s="323" t="str">
        <f t="shared" si="15"/>
        <v>-</v>
      </c>
      <c r="AE37" s="302">
        <f>+収支計画!AA47/1000</f>
        <v>0</v>
      </c>
      <c r="AF37" s="351">
        <f>+PL推移!R36</f>
        <v>0</v>
      </c>
      <c r="AG37" s="341">
        <f t="shared" si="104"/>
        <v>0</v>
      </c>
      <c r="AH37" s="323" t="str">
        <f t="shared" si="16"/>
        <v>-</v>
      </c>
      <c r="AI37" s="302">
        <f>+収支計画!O41/1000</f>
        <v>0</v>
      </c>
      <c r="AJ37" s="351">
        <f>+PL推移!T36</f>
        <v>0</v>
      </c>
      <c r="AK37" s="369">
        <f t="shared" si="105"/>
        <v>0</v>
      </c>
      <c r="AL37" s="361" t="str">
        <f t="shared" si="17"/>
        <v>-</v>
      </c>
      <c r="AM37" s="302">
        <f>+収支計画!P41/1000</f>
        <v>0</v>
      </c>
      <c r="AN37" s="351">
        <f>+PL推移!V36</f>
        <v>0</v>
      </c>
      <c r="AO37" s="341">
        <f t="shared" si="18"/>
        <v>0</v>
      </c>
      <c r="AP37" s="361" t="str">
        <f t="shared" si="19"/>
        <v>-</v>
      </c>
      <c r="AQ37" s="302">
        <f>+収支計画!Q41/1000</f>
        <v>0</v>
      </c>
      <c r="AR37" s="351">
        <f>+PL推移!X36</f>
        <v>0</v>
      </c>
      <c r="AS37" s="341">
        <f t="shared" si="20"/>
        <v>0</v>
      </c>
      <c r="AT37" s="361" t="str">
        <f t="shared" si="21"/>
        <v>-</v>
      </c>
      <c r="AU37" s="302">
        <f>+収支計画!R41/1000</f>
        <v>0</v>
      </c>
      <c r="AV37" s="351">
        <f>+PL推移!Z36</f>
        <v>0</v>
      </c>
      <c r="AW37" s="341">
        <f t="shared" si="22"/>
        <v>0</v>
      </c>
      <c r="AX37" s="361" t="str">
        <f t="shared" si="23"/>
        <v>-</v>
      </c>
      <c r="AY37" s="408">
        <f t="shared" si="24"/>
        <v>0</v>
      </c>
      <c r="AZ37" s="426">
        <f t="shared" si="25"/>
        <v>0</v>
      </c>
      <c r="BA37" s="303">
        <f t="shared" si="26"/>
        <v>0</v>
      </c>
      <c r="BB37" s="333" t="str">
        <f t="shared" si="27"/>
        <v>-</v>
      </c>
    </row>
    <row r="38" spans="2:54">
      <c r="B38" s="5" t="s">
        <v>206</v>
      </c>
      <c r="C38" s="408">
        <f>+収支計画!G42/1000</f>
        <v>44.5</v>
      </c>
      <c r="D38" s="426">
        <f>+PL推移!D37</f>
        <v>44.5</v>
      </c>
      <c r="E38" s="303">
        <f t="shared" si="97"/>
        <v>0</v>
      </c>
      <c r="F38" s="323">
        <f t="shared" si="9"/>
        <v>1</v>
      </c>
      <c r="G38" s="417">
        <f>+収支計画!H42/1000</f>
        <v>44.5</v>
      </c>
      <c r="H38" s="426">
        <f>+PL推移!F37</f>
        <v>44.5</v>
      </c>
      <c r="I38" s="303">
        <f t="shared" si="98"/>
        <v>0</v>
      </c>
      <c r="J38" s="361">
        <f t="shared" si="10"/>
        <v>1</v>
      </c>
      <c r="K38" s="302">
        <f>+収支計画!I42/1000</f>
        <v>44.5</v>
      </c>
      <c r="L38" s="508">
        <f>+PL推移!H37</f>
        <v>44.5</v>
      </c>
      <c r="M38" s="341">
        <f t="shared" si="99"/>
        <v>0</v>
      </c>
      <c r="N38" s="323">
        <f t="shared" si="11"/>
        <v>1</v>
      </c>
      <c r="O38" s="302">
        <f>+収支計画!J42/1000</f>
        <v>44.5</v>
      </c>
      <c r="P38" s="508">
        <f>+PL推移!J37</f>
        <v>44.5</v>
      </c>
      <c r="Q38" s="341">
        <f t="shared" si="100"/>
        <v>0</v>
      </c>
      <c r="R38" s="323">
        <f t="shared" si="12"/>
        <v>1</v>
      </c>
      <c r="S38" s="302">
        <f>+収支計画!K42/1000</f>
        <v>44.5</v>
      </c>
      <c r="T38" s="508">
        <f>+PL推移!L37</f>
        <v>44.5</v>
      </c>
      <c r="U38" s="341">
        <f t="shared" si="101"/>
        <v>0</v>
      </c>
      <c r="V38" s="323">
        <f t="shared" si="13"/>
        <v>1</v>
      </c>
      <c r="W38" s="302">
        <f>+収支計画!L42/1000</f>
        <v>44.5</v>
      </c>
      <c r="X38" s="508">
        <f>+PL推移!N37</f>
        <v>44.5</v>
      </c>
      <c r="Y38" s="341">
        <f t="shared" si="102"/>
        <v>0</v>
      </c>
      <c r="Z38" s="323">
        <f t="shared" si="14"/>
        <v>1</v>
      </c>
      <c r="AA38" s="302">
        <f>+収支計画!M42/1000</f>
        <v>44.5</v>
      </c>
      <c r="AB38" s="351">
        <f>+PL推移!P37</f>
        <v>44.5</v>
      </c>
      <c r="AC38" s="341">
        <f t="shared" si="103"/>
        <v>0</v>
      </c>
      <c r="AD38" s="323">
        <f t="shared" si="15"/>
        <v>1</v>
      </c>
      <c r="AE38" s="302">
        <f>+収支計画!N42/1000</f>
        <v>44.5</v>
      </c>
      <c r="AF38" s="351">
        <f>+PL推移!R37</f>
        <v>44.5</v>
      </c>
      <c r="AG38" s="341">
        <f t="shared" si="104"/>
        <v>0</v>
      </c>
      <c r="AH38" s="323">
        <f t="shared" si="16"/>
        <v>1</v>
      </c>
      <c r="AI38" s="302">
        <f>+収支計画!O42/1000</f>
        <v>44.5</v>
      </c>
      <c r="AJ38" s="351">
        <f>+PL推移!T37</f>
        <v>44.5</v>
      </c>
      <c r="AK38" s="369">
        <f t="shared" si="105"/>
        <v>0</v>
      </c>
      <c r="AL38" s="361">
        <f t="shared" si="17"/>
        <v>1</v>
      </c>
      <c r="AM38" s="302">
        <f>+収支計画!P42/1000</f>
        <v>44.5</v>
      </c>
      <c r="AN38" s="351">
        <f>+PL推移!V37</f>
        <v>44.5</v>
      </c>
      <c r="AO38" s="341">
        <f t="shared" si="18"/>
        <v>0</v>
      </c>
      <c r="AP38" s="361">
        <f t="shared" si="19"/>
        <v>1</v>
      </c>
      <c r="AQ38" s="302">
        <f>+収支計画!Q42/1000</f>
        <v>44.5</v>
      </c>
      <c r="AR38" s="351">
        <f>+PL推移!X37</f>
        <v>44.5</v>
      </c>
      <c r="AS38" s="341">
        <f t="shared" si="20"/>
        <v>0</v>
      </c>
      <c r="AT38" s="361">
        <f t="shared" si="21"/>
        <v>1</v>
      </c>
      <c r="AU38" s="302">
        <f>+収支計画!R42/1000</f>
        <v>44.5</v>
      </c>
      <c r="AV38" s="351">
        <f>+PL推移!Z37</f>
        <v>44.5</v>
      </c>
      <c r="AW38" s="341">
        <f t="shared" si="22"/>
        <v>0</v>
      </c>
      <c r="AX38" s="361">
        <f t="shared" si="23"/>
        <v>1</v>
      </c>
      <c r="AY38" s="408">
        <f t="shared" si="24"/>
        <v>534</v>
      </c>
      <c r="AZ38" s="426">
        <f t="shared" si="25"/>
        <v>534</v>
      </c>
      <c r="BA38" s="303">
        <f t="shared" si="26"/>
        <v>0</v>
      </c>
      <c r="BB38" s="333">
        <f t="shared" si="27"/>
        <v>1</v>
      </c>
    </row>
    <row r="39" spans="2:54">
      <c r="B39" s="5" t="s">
        <v>207</v>
      </c>
      <c r="C39" s="408">
        <f>+収支計画!G43/1000</f>
        <v>0</v>
      </c>
      <c r="D39" s="426">
        <f>+PL推移!D38</f>
        <v>0</v>
      </c>
      <c r="E39" s="303">
        <f t="shared" si="97"/>
        <v>0</v>
      </c>
      <c r="F39" s="323" t="str">
        <f t="shared" si="9"/>
        <v>-</v>
      </c>
      <c r="G39" s="417">
        <f>+収支計画!H43/1000</f>
        <v>0</v>
      </c>
      <c r="H39" s="426">
        <f>+PL推移!F38</f>
        <v>0</v>
      </c>
      <c r="I39" s="303">
        <f t="shared" si="98"/>
        <v>0</v>
      </c>
      <c r="J39" s="361" t="str">
        <f t="shared" si="10"/>
        <v>-</v>
      </c>
      <c r="K39" s="302">
        <f>+収支計画!I43/1000</f>
        <v>0</v>
      </c>
      <c r="L39" s="508">
        <f>+PL推移!H38</f>
        <v>0</v>
      </c>
      <c r="M39" s="341">
        <f t="shared" si="99"/>
        <v>0</v>
      </c>
      <c r="N39" s="323" t="str">
        <f t="shared" si="11"/>
        <v>-</v>
      </c>
      <c r="O39" s="302">
        <f>+収支計画!J43/1000</f>
        <v>0</v>
      </c>
      <c r="P39" s="508">
        <f>+PL推移!J38</f>
        <v>0</v>
      </c>
      <c r="Q39" s="341">
        <f t="shared" si="100"/>
        <v>0</v>
      </c>
      <c r="R39" s="323" t="str">
        <f t="shared" si="12"/>
        <v>-</v>
      </c>
      <c r="S39" s="302">
        <f>+収支計画!K43/1000</f>
        <v>0</v>
      </c>
      <c r="T39" s="508">
        <f>+PL推移!L38</f>
        <v>0</v>
      </c>
      <c r="U39" s="341">
        <f t="shared" si="101"/>
        <v>0</v>
      </c>
      <c r="V39" s="323" t="str">
        <f t="shared" si="13"/>
        <v>-</v>
      </c>
      <c r="W39" s="302">
        <f>+収支計画!L43/1000</f>
        <v>0</v>
      </c>
      <c r="X39" s="508">
        <f>+PL推移!N38</f>
        <v>0</v>
      </c>
      <c r="Y39" s="341">
        <f t="shared" si="102"/>
        <v>0</v>
      </c>
      <c r="Z39" s="323" t="str">
        <f t="shared" si="14"/>
        <v>-</v>
      </c>
      <c r="AA39" s="302">
        <f>+収支計画!M43/1000</f>
        <v>0</v>
      </c>
      <c r="AB39" s="351">
        <f>+PL推移!P38</f>
        <v>0</v>
      </c>
      <c r="AC39" s="341">
        <f t="shared" si="103"/>
        <v>0</v>
      </c>
      <c r="AD39" s="323" t="str">
        <f t="shared" si="15"/>
        <v>-</v>
      </c>
      <c r="AE39" s="302">
        <f>+収支計画!AA49/1000</f>
        <v>0</v>
      </c>
      <c r="AF39" s="351">
        <f>+PL推移!R38</f>
        <v>0</v>
      </c>
      <c r="AG39" s="341">
        <f t="shared" si="104"/>
        <v>0</v>
      </c>
      <c r="AH39" s="323" t="str">
        <f t="shared" si="16"/>
        <v>-</v>
      </c>
      <c r="AI39" s="302">
        <f>+収支計画!O43/1000</f>
        <v>0</v>
      </c>
      <c r="AJ39" s="351">
        <f>+PL推移!T38</f>
        <v>0</v>
      </c>
      <c r="AK39" s="369">
        <f t="shared" si="105"/>
        <v>0</v>
      </c>
      <c r="AL39" s="361" t="str">
        <f t="shared" si="17"/>
        <v>-</v>
      </c>
      <c r="AM39" s="302">
        <f>+収支計画!P43/1000</f>
        <v>0</v>
      </c>
      <c r="AN39" s="351">
        <f>+PL推移!V38</f>
        <v>0</v>
      </c>
      <c r="AO39" s="341">
        <f t="shared" si="18"/>
        <v>0</v>
      </c>
      <c r="AP39" s="361" t="str">
        <f t="shared" si="19"/>
        <v>-</v>
      </c>
      <c r="AQ39" s="302">
        <f>+収支計画!Q43/1000</f>
        <v>0</v>
      </c>
      <c r="AR39" s="351">
        <f>+PL推移!X38</f>
        <v>0</v>
      </c>
      <c r="AS39" s="341">
        <f t="shared" si="20"/>
        <v>0</v>
      </c>
      <c r="AT39" s="361" t="str">
        <f t="shared" si="21"/>
        <v>-</v>
      </c>
      <c r="AU39" s="302">
        <f>+収支計画!R43/1000</f>
        <v>0</v>
      </c>
      <c r="AV39" s="351">
        <f>+PL推移!Z38</f>
        <v>0</v>
      </c>
      <c r="AW39" s="341">
        <f t="shared" si="22"/>
        <v>0</v>
      </c>
      <c r="AX39" s="361" t="str">
        <f t="shared" si="23"/>
        <v>-</v>
      </c>
      <c r="AY39" s="408">
        <f t="shared" si="24"/>
        <v>0</v>
      </c>
      <c r="AZ39" s="426">
        <f t="shared" si="25"/>
        <v>0</v>
      </c>
      <c r="BA39" s="303">
        <f t="shared" si="26"/>
        <v>0</v>
      </c>
      <c r="BB39" s="518" t="str">
        <f t="shared" si="27"/>
        <v>-</v>
      </c>
    </row>
    <row r="40" spans="2:54">
      <c r="B40" s="5" t="s">
        <v>208</v>
      </c>
      <c r="C40" s="408">
        <f>+収支計画!G44/1000</f>
        <v>0</v>
      </c>
      <c r="D40" s="426">
        <f>+PL推移!D39</f>
        <v>0</v>
      </c>
      <c r="E40" s="303">
        <f t="shared" si="97"/>
        <v>0</v>
      </c>
      <c r="F40" s="323" t="str">
        <f t="shared" si="9"/>
        <v>-</v>
      </c>
      <c r="G40" s="417">
        <f>+収支計画!H44/1000</f>
        <v>0</v>
      </c>
      <c r="H40" s="426">
        <f>+PL推移!F39</f>
        <v>0</v>
      </c>
      <c r="I40" s="303">
        <f t="shared" si="98"/>
        <v>0</v>
      </c>
      <c r="J40" s="361" t="str">
        <f t="shared" si="10"/>
        <v>-</v>
      </c>
      <c r="K40" s="302">
        <f>+収支計画!I44/1000</f>
        <v>0</v>
      </c>
      <c r="L40" s="508">
        <f>+PL推移!H39</f>
        <v>0</v>
      </c>
      <c r="M40" s="341">
        <f t="shared" si="99"/>
        <v>0</v>
      </c>
      <c r="N40" s="323" t="str">
        <f t="shared" si="11"/>
        <v>-</v>
      </c>
      <c r="O40" s="302">
        <f>+収支計画!J44/1000</f>
        <v>0</v>
      </c>
      <c r="P40" s="508">
        <f>+PL推移!J39</f>
        <v>0</v>
      </c>
      <c r="Q40" s="341">
        <f t="shared" si="100"/>
        <v>0</v>
      </c>
      <c r="R40" s="323" t="str">
        <f t="shared" si="12"/>
        <v>-</v>
      </c>
      <c r="S40" s="302">
        <f>+収支計画!K44/1000</f>
        <v>0</v>
      </c>
      <c r="T40" s="508">
        <f>+PL推移!L39</f>
        <v>0</v>
      </c>
      <c r="U40" s="341">
        <f t="shared" si="101"/>
        <v>0</v>
      </c>
      <c r="V40" s="323" t="str">
        <f t="shared" si="13"/>
        <v>-</v>
      </c>
      <c r="W40" s="302">
        <f>+収支計画!L44/1000</f>
        <v>0</v>
      </c>
      <c r="X40" s="508">
        <f>+PL推移!N39</f>
        <v>0</v>
      </c>
      <c r="Y40" s="341">
        <f t="shared" si="102"/>
        <v>0</v>
      </c>
      <c r="Z40" s="323" t="str">
        <f t="shared" si="14"/>
        <v>-</v>
      </c>
      <c r="AA40" s="302">
        <f>+収支計画!M44/1000</f>
        <v>0</v>
      </c>
      <c r="AB40" s="351">
        <f>+PL推移!P39</f>
        <v>0</v>
      </c>
      <c r="AC40" s="341">
        <f t="shared" si="103"/>
        <v>0</v>
      </c>
      <c r="AD40" s="323" t="str">
        <f t="shared" si="15"/>
        <v>-</v>
      </c>
      <c r="AE40" s="302">
        <f>+収支計画!AA50/1000</f>
        <v>0</v>
      </c>
      <c r="AF40" s="351">
        <f>+PL推移!R39</f>
        <v>0</v>
      </c>
      <c r="AG40" s="341">
        <f t="shared" si="104"/>
        <v>0</v>
      </c>
      <c r="AH40" s="323" t="str">
        <f t="shared" si="16"/>
        <v>-</v>
      </c>
      <c r="AI40" s="302">
        <f>+収支計画!O44/1000</f>
        <v>0</v>
      </c>
      <c r="AJ40" s="351">
        <f>+PL推移!T39</f>
        <v>0</v>
      </c>
      <c r="AK40" s="369">
        <f t="shared" si="105"/>
        <v>0</v>
      </c>
      <c r="AL40" s="361" t="str">
        <f t="shared" si="17"/>
        <v>-</v>
      </c>
      <c r="AM40" s="302">
        <f>+収支計画!P44/1000</f>
        <v>0</v>
      </c>
      <c r="AN40" s="351">
        <f>+PL推移!V39</f>
        <v>0</v>
      </c>
      <c r="AO40" s="341">
        <f t="shared" si="18"/>
        <v>0</v>
      </c>
      <c r="AP40" s="361" t="str">
        <f t="shared" si="19"/>
        <v>-</v>
      </c>
      <c r="AQ40" s="302">
        <f>+収支計画!Q44/1000</f>
        <v>0</v>
      </c>
      <c r="AR40" s="351">
        <f>+PL推移!X39</f>
        <v>0</v>
      </c>
      <c r="AS40" s="341">
        <f t="shared" si="20"/>
        <v>0</v>
      </c>
      <c r="AT40" s="361" t="str">
        <f t="shared" si="21"/>
        <v>-</v>
      </c>
      <c r="AU40" s="302">
        <f>+収支計画!R44/1000</f>
        <v>0</v>
      </c>
      <c r="AV40" s="351">
        <f>+PL推移!Z39</f>
        <v>0</v>
      </c>
      <c r="AW40" s="341">
        <f t="shared" si="22"/>
        <v>0</v>
      </c>
      <c r="AX40" s="361" t="str">
        <f t="shared" si="23"/>
        <v>-</v>
      </c>
      <c r="AY40" s="408">
        <f t="shared" si="24"/>
        <v>0</v>
      </c>
      <c r="AZ40" s="426">
        <f t="shared" si="25"/>
        <v>0</v>
      </c>
      <c r="BA40" s="303">
        <f t="shared" si="26"/>
        <v>0</v>
      </c>
      <c r="BB40" s="518" t="str">
        <f t="shared" si="27"/>
        <v>-</v>
      </c>
    </row>
    <row r="41" spans="2:54">
      <c r="B41" s="5" t="s">
        <v>209</v>
      </c>
      <c r="C41" s="408">
        <f>+収支計画!G45/1000</f>
        <v>0</v>
      </c>
      <c r="D41" s="426">
        <f>+PL推移!D40</f>
        <v>5</v>
      </c>
      <c r="E41" s="303">
        <f t="shared" si="97"/>
        <v>5</v>
      </c>
      <c r="F41" s="323" t="str">
        <f t="shared" si="9"/>
        <v>-</v>
      </c>
      <c r="G41" s="417">
        <f>+収支計画!H45/1000</f>
        <v>0</v>
      </c>
      <c r="H41" s="426">
        <f>+PL推移!F40</f>
        <v>5</v>
      </c>
      <c r="I41" s="303">
        <f t="shared" si="98"/>
        <v>5</v>
      </c>
      <c r="J41" s="361" t="str">
        <f t="shared" si="10"/>
        <v>-</v>
      </c>
      <c r="K41" s="302">
        <f>+収支計画!I45/1000</f>
        <v>0</v>
      </c>
      <c r="L41" s="508">
        <f>+PL推移!H40</f>
        <v>5</v>
      </c>
      <c r="M41" s="341">
        <f t="shared" si="99"/>
        <v>5</v>
      </c>
      <c r="N41" s="323" t="str">
        <f t="shared" si="11"/>
        <v>-</v>
      </c>
      <c r="O41" s="302">
        <f>+収支計画!J45/1000</f>
        <v>0</v>
      </c>
      <c r="P41" s="508">
        <f>+PL推移!J40</f>
        <v>5</v>
      </c>
      <c r="Q41" s="341">
        <f t="shared" si="100"/>
        <v>5</v>
      </c>
      <c r="R41" s="323" t="str">
        <f t="shared" si="12"/>
        <v>-</v>
      </c>
      <c r="S41" s="302">
        <f>+収支計画!K45/1000</f>
        <v>0</v>
      </c>
      <c r="T41" s="508">
        <f>+PL推移!L40</f>
        <v>5</v>
      </c>
      <c r="U41" s="341">
        <f t="shared" si="101"/>
        <v>5</v>
      </c>
      <c r="V41" s="323" t="str">
        <f t="shared" si="13"/>
        <v>-</v>
      </c>
      <c r="W41" s="302">
        <f>+収支計画!L45/1000</f>
        <v>0</v>
      </c>
      <c r="X41" s="508">
        <f>+PL推移!N40</f>
        <v>5</v>
      </c>
      <c r="Y41" s="341">
        <f t="shared" si="102"/>
        <v>5</v>
      </c>
      <c r="Z41" s="323" t="str">
        <f t="shared" si="14"/>
        <v>-</v>
      </c>
      <c r="AA41" s="302">
        <f>+収支計画!M45/1000</f>
        <v>0</v>
      </c>
      <c r="AB41" s="351">
        <f>+PL推移!P40</f>
        <v>5</v>
      </c>
      <c r="AC41" s="341">
        <f t="shared" si="103"/>
        <v>5</v>
      </c>
      <c r="AD41" s="323" t="str">
        <f t="shared" si="15"/>
        <v>-</v>
      </c>
      <c r="AE41" s="302">
        <f>+収支計画!AA51/1000</f>
        <v>0</v>
      </c>
      <c r="AF41" s="351">
        <f>+PL推移!R40</f>
        <v>5</v>
      </c>
      <c r="AG41" s="341">
        <f t="shared" si="104"/>
        <v>5</v>
      </c>
      <c r="AH41" s="323" t="str">
        <f t="shared" si="16"/>
        <v>-</v>
      </c>
      <c r="AI41" s="302">
        <f>+収支計画!O45/1000</f>
        <v>0</v>
      </c>
      <c r="AJ41" s="351">
        <f>+PL推移!T40</f>
        <v>5</v>
      </c>
      <c r="AK41" s="369">
        <f t="shared" si="105"/>
        <v>5</v>
      </c>
      <c r="AL41" s="361" t="str">
        <f t="shared" si="17"/>
        <v>-</v>
      </c>
      <c r="AM41" s="302">
        <f>+収支計画!P45/1000</f>
        <v>0</v>
      </c>
      <c r="AN41" s="351">
        <f>+PL推移!V40</f>
        <v>5</v>
      </c>
      <c r="AO41" s="341">
        <f t="shared" si="18"/>
        <v>5</v>
      </c>
      <c r="AP41" s="361" t="str">
        <f t="shared" si="19"/>
        <v>-</v>
      </c>
      <c r="AQ41" s="302">
        <f>+収支計画!Q45/1000</f>
        <v>0</v>
      </c>
      <c r="AR41" s="351">
        <f>+PL推移!X40</f>
        <v>5</v>
      </c>
      <c r="AS41" s="341">
        <f t="shared" si="20"/>
        <v>5</v>
      </c>
      <c r="AT41" s="361" t="str">
        <f t="shared" si="21"/>
        <v>-</v>
      </c>
      <c r="AU41" s="302">
        <f>+収支計画!R45/1000</f>
        <v>0</v>
      </c>
      <c r="AV41" s="351">
        <f>+PL推移!Z40</f>
        <v>5</v>
      </c>
      <c r="AW41" s="341">
        <f t="shared" si="22"/>
        <v>5</v>
      </c>
      <c r="AX41" s="361" t="str">
        <f t="shared" si="23"/>
        <v>-</v>
      </c>
      <c r="AY41" s="408">
        <f t="shared" si="24"/>
        <v>0</v>
      </c>
      <c r="AZ41" s="426">
        <f t="shared" si="25"/>
        <v>60</v>
      </c>
      <c r="BA41" s="303">
        <f t="shared" si="26"/>
        <v>60</v>
      </c>
      <c r="BB41" s="518" t="str">
        <f t="shared" si="27"/>
        <v>-</v>
      </c>
    </row>
    <row r="42" spans="2:54">
      <c r="B42" s="5" t="s">
        <v>210</v>
      </c>
      <c r="C42" s="408">
        <f>+収支計画!G46/1000</f>
        <v>0</v>
      </c>
      <c r="D42" s="426">
        <f>+PL推移!D41</f>
        <v>0</v>
      </c>
      <c r="E42" s="303">
        <f t="shared" si="97"/>
        <v>0</v>
      </c>
      <c r="F42" s="323" t="str">
        <f t="shared" si="9"/>
        <v>-</v>
      </c>
      <c r="G42" s="417">
        <f>+収支計画!H46/1000</f>
        <v>0</v>
      </c>
      <c r="H42" s="426">
        <f>+PL推移!F41</f>
        <v>0</v>
      </c>
      <c r="I42" s="303">
        <f t="shared" si="98"/>
        <v>0</v>
      </c>
      <c r="J42" s="361" t="str">
        <f t="shared" si="10"/>
        <v>-</v>
      </c>
      <c r="K42" s="302">
        <f>+収支計画!I46/1000</f>
        <v>0</v>
      </c>
      <c r="L42" s="508">
        <f>+PL推移!H41</f>
        <v>0</v>
      </c>
      <c r="M42" s="341">
        <f t="shared" si="99"/>
        <v>0</v>
      </c>
      <c r="N42" s="323" t="str">
        <f t="shared" si="11"/>
        <v>-</v>
      </c>
      <c r="O42" s="302">
        <f>+収支計画!J46/1000</f>
        <v>0</v>
      </c>
      <c r="P42" s="508">
        <f>+PL推移!J41</f>
        <v>0</v>
      </c>
      <c r="Q42" s="341">
        <f t="shared" si="100"/>
        <v>0</v>
      </c>
      <c r="R42" s="323" t="str">
        <f t="shared" si="12"/>
        <v>-</v>
      </c>
      <c r="S42" s="302">
        <f>+収支計画!K46/1000</f>
        <v>0</v>
      </c>
      <c r="T42" s="508">
        <f>+PL推移!L41</f>
        <v>0</v>
      </c>
      <c r="U42" s="341">
        <f t="shared" si="101"/>
        <v>0</v>
      </c>
      <c r="V42" s="323" t="str">
        <f t="shared" si="13"/>
        <v>-</v>
      </c>
      <c r="W42" s="302">
        <f>+収支計画!L46/1000</f>
        <v>0</v>
      </c>
      <c r="X42" s="508">
        <f>+PL推移!N41</f>
        <v>0</v>
      </c>
      <c r="Y42" s="341">
        <f t="shared" si="102"/>
        <v>0</v>
      </c>
      <c r="Z42" s="323" t="str">
        <f t="shared" si="14"/>
        <v>-</v>
      </c>
      <c r="AA42" s="302">
        <f>+収支計画!M46/1000</f>
        <v>0</v>
      </c>
      <c r="AB42" s="351">
        <f>+PL推移!P41</f>
        <v>0</v>
      </c>
      <c r="AC42" s="341">
        <f t="shared" si="103"/>
        <v>0</v>
      </c>
      <c r="AD42" s="323" t="str">
        <f t="shared" si="15"/>
        <v>-</v>
      </c>
      <c r="AE42" s="302">
        <f>+収支計画!AA52/1000</f>
        <v>0</v>
      </c>
      <c r="AF42" s="351">
        <f>+PL推移!R41</f>
        <v>0</v>
      </c>
      <c r="AG42" s="341">
        <f t="shared" si="104"/>
        <v>0</v>
      </c>
      <c r="AH42" s="323" t="str">
        <f t="shared" si="16"/>
        <v>-</v>
      </c>
      <c r="AI42" s="302">
        <f>+収支計画!O46/1000</f>
        <v>0</v>
      </c>
      <c r="AJ42" s="351">
        <f>+PL推移!T41</f>
        <v>0</v>
      </c>
      <c r="AK42" s="369">
        <f t="shared" si="105"/>
        <v>0</v>
      </c>
      <c r="AL42" s="361" t="str">
        <f t="shared" si="17"/>
        <v>-</v>
      </c>
      <c r="AM42" s="302">
        <f>+収支計画!P46/1000</f>
        <v>0</v>
      </c>
      <c r="AN42" s="351">
        <f>+PL推移!V41</f>
        <v>0</v>
      </c>
      <c r="AO42" s="372">
        <f t="shared" si="18"/>
        <v>0</v>
      </c>
      <c r="AP42" s="361" t="str">
        <f t="shared" si="19"/>
        <v>-</v>
      </c>
      <c r="AQ42" s="302">
        <f>+収支計画!Q46/1000</f>
        <v>0</v>
      </c>
      <c r="AR42" s="351">
        <f>+PL推移!X41</f>
        <v>0</v>
      </c>
      <c r="AS42" s="372">
        <f t="shared" si="20"/>
        <v>0</v>
      </c>
      <c r="AT42" s="361" t="str">
        <f t="shared" si="21"/>
        <v>-</v>
      </c>
      <c r="AU42" s="302">
        <f>+収支計画!R46/1000</f>
        <v>0</v>
      </c>
      <c r="AV42" s="351">
        <f>+PL推移!Z41</f>
        <v>0</v>
      </c>
      <c r="AW42" s="372">
        <f t="shared" si="22"/>
        <v>0</v>
      </c>
      <c r="AX42" s="361" t="str">
        <f t="shared" si="23"/>
        <v>-</v>
      </c>
      <c r="AY42" s="408">
        <f t="shared" si="24"/>
        <v>0</v>
      </c>
      <c r="AZ42" s="426">
        <f t="shared" si="25"/>
        <v>0</v>
      </c>
      <c r="BA42" s="303">
        <f t="shared" si="26"/>
        <v>0</v>
      </c>
      <c r="BB42" s="518" t="str">
        <f t="shared" si="27"/>
        <v>-</v>
      </c>
    </row>
    <row r="43" spans="2:54">
      <c r="B43" s="5" t="s">
        <v>211</v>
      </c>
      <c r="C43" s="408">
        <f>+収支計画!G47/1000</f>
        <v>4.7969999999999997</v>
      </c>
      <c r="D43" s="426">
        <f>+PL推移!D42</f>
        <v>4.7969999999999997</v>
      </c>
      <c r="E43" s="303">
        <f t="shared" si="97"/>
        <v>0</v>
      </c>
      <c r="F43" s="323">
        <f t="shared" si="9"/>
        <v>1</v>
      </c>
      <c r="G43" s="417">
        <f>+収支計画!H47/1000</f>
        <v>0</v>
      </c>
      <c r="H43" s="426">
        <f>+PL推移!F42</f>
        <v>0</v>
      </c>
      <c r="I43" s="303">
        <f t="shared" si="98"/>
        <v>0</v>
      </c>
      <c r="J43" s="361" t="str">
        <f t="shared" si="10"/>
        <v>-</v>
      </c>
      <c r="K43" s="302">
        <f>+収支計画!I47/1000</f>
        <v>0</v>
      </c>
      <c r="L43" s="508">
        <f>+PL推移!H42</f>
        <v>0</v>
      </c>
      <c r="M43" s="341">
        <f t="shared" si="99"/>
        <v>0</v>
      </c>
      <c r="N43" s="323" t="str">
        <f t="shared" si="11"/>
        <v>-</v>
      </c>
      <c r="O43" s="302">
        <f>+収支計画!J47/1000</f>
        <v>0</v>
      </c>
      <c r="P43" s="508">
        <f>+PL推移!J42</f>
        <v>0</v>
      </c>
      <c r="Q43" s="341">
        <f t="shared" si="100"/>
        <v>0</v>
      </c>
      <c r="R43" s="323" t="str">
        <f t="shared" si="12"/>
        <v>-</v>
      </c>
      <c r="S43" s="302">
        <f>+収支計画!K47/1000</f>
        <v>0</v>
      </c>
      <c r="T43" s="508">
        <f>+PL推移!L42</f>
        <v>0</v>
      </c>
      <c r="U43" s="341">
        <f t="shared" si="101"/>
        <v>0</v>
      </c>
      <c r="V43" s="323" t="str">
        <f t="shared" si="13"/>
        <v>-</v>
      </c>
      <c r="W43" s="302">
        <f>+収支計画!L47/1000</f>
        <v>0</v>
      </c>
      <c r="X43" s="508">
        <f>+PL推移!N42</f>
        <v>0</v>
      </c>
      <c r="Y43" s="369">
        <f t="shared" si="102"/>
        <v>0</v>
      </c>
      <c r="Z43" s="323" t="str">
        <f t="shared" si="14"/>
        <v>-</v>
      </c>
      <c r="AA43" s="302">
        <f>+収支計画!M47/1000</f>
        <v>0</v>
      </c>
      <c r="AB43" s="351">
        <f>+PL推移!P42</f>
        <v>0</v>
      </c>
      <c r="AC43" s="341">
        <f t="shared" si="103"/>
        <v>0</v>
      </c>
      <c r="AD43" s="323" t="str">
        <f t="shared" si="15"/>
        <v>-</v>
      </c>
      <c r="AE43" s="302">
        <f>+収支計画!AA53/1000</f>
        <v>0</v>
      </c>
      <c r="AF43" s="351">
        <f>+PL推移!R42</f>
        <v>0</v>
      </c>
      <c r="AG43" s="341">
        <f t="shared" si="104"/>
        <v>0</v>
      </c>
      <c r="AH43" s="323" t="str">
        <f t="shared" si="16"/>
        <v>-</v>
      </c>
      <c r="AI43" s="302">
        <f>+収支計画!O47/1000</f>
        <v>0</v>
      </c>
      <c r="AJ43" s="351">
        <f>+PL推移!T42</f>
        <v>0</v>
      </c>
      <c r="AK43" s="369">
        <f t="shared" si="105"/>
        <v>0</v>
      </c>
      <c r="AL43" s="361" t="str">
        <f t="shared" si="17"/>
        <v>-</v>
      </c>
      <c r="AM43" s="302">
        <f>+収支計画!P47/1000</f>
        <v>0</v>
      </c>
      <c r="AN43" s="351">
        <f>+PL推移!V42</f>
        <v>39.584000000000003</v>
      </c>
      <c r="AO43" s="369">
        <f t="shared" si="18"/>
        <v>39.584000000000003</v>
      </c>
      <c r="AP43" s="361" t="str">
        <f t="shared" si="19"/>
        <v>-</v>
      </c>
      <c r="AQ43" s="302">
        <f>+収支計画!Q47/1000</f>
        <v>0</v>
      </c>
      <c r="AR43" s="351">
        <f>+PL推移!X42</f>
        <v>10.199999999999999</v>
      </c>
      <c r="AS43" s="369">
        <f t="shared" si="20"/>
        <v>10.199999999999999</v>
      </c>
      <c r="AT43" s="361" t="str">
        <f t="shared" si="21"/>
        <v>-</v>
      </c>
      <c r="AU43" s="302">
        <f>+収支計画!R47/1000</f>
        <v>0</v>
      </c>
      <c r="AV43" s="351">
        <f>+PL推移!Z42</f>
        <v>0</v>
      </c>
      <c r="AW43" s="369">
        <f t="shared" si="22"/>
        <v>0</v>
      </c>
      <c r="AX43" s="361" t="str">
        <f t="shared" si="23"/>
        <v>-</v>
      </c>
      <c r="AY43" s="408">
        <f t="shared" si="24"/>
        <v>4.7969999999999997</v>
      </c>
      <c r="AZ43" s="426">
        <f t="shared" si="25"/>
        <v>54.581000000000003</v>
      </c>
      <c r="BA43" s="303">
        <f t="shared" si="26"/>
        <v>49.784000000000006</v>
      </c>
      <c r="BB43" s="333">
        <f t="shared" si="27"/>
        <v>11.378153012299355</v>
      </c>
    </row>
    <row r="44" spans="2:54">
      <c r="B44" s="5" t="s">
        <v>212</v>
      </c>
      <c r="C44" s="408">
        <f>+収支計画!G48/1000</f>
        <v>0</v>
      </c>
      <c r="D44" s="426">
        <f>+PL推移!D43</f>
        <v>0</v>
      </c>
      <c r="E44" s="303">
        <f t="shared" si="97"/>
        <v>0</v>
      </c>
      <c r="F44" s="323" t="str">
        <f t="shared" si="9"/>
        <v>-</v>
      </c>
      <c r="G44" s="417">
        <f>+収支計画!H48/1000</f>
        <v>0</v>
      </c>
      <c r="H44" s="426">
        <f>+PL推移!F43</f>
        <v>0</v>
      </c>
      <c r="I44" s="303">
        <f t="shared" si="98"/>
        <v>0</v>
      </c>
      <c r="J44" s="361" t="str">
        <f t="shared" si="10"/>
        <v>-</v>
      </c>
      <c r="K44" s="302">
        <f>+収支計画!I48/1000</f>
        <v>0</v>
      </c>
      <c r="L44" s="508">
        <f>+PL推移!H43</f>
        <v>0</v>
      </c>
      <c r="M44" s="341">
        <f t="shared" si="99"/>
        <v>0</v>
      </c>
      <c r="N44" s="323" t="str">
        <f t="shared" si="11"/>
        <v>-</v>
      </c>
      <c r="O44" s="302">
        <f>+収支計画!J48/1000</f>
        <v>0</v>
      </c>
      <c r="P44" s="508">
        <f>+PL推移!J43</f>
        <v>0</v>
      </c>
      <c r="Q44" s="341">
        <f t="shared" si="100"/>
        <v>0</v>
      </c>
      <c r="R44" s="323" t="str">
        <f t="shared" si="12"/>
        <v>-</v>
      </c>
      <c r="S44" s="302">
        <f>+収支計画!K48/1000</f>
        <v>0</v>
      </c>
      <c r="T44" s="508">
        <f>+PL推移!L43</f>
        <v>1.2</v>
      </c>
      <c r="U44" s="341">
        <f t="shared" si="101"/>
        <v>1.2</v>
      </c>
      <c r="V44" s="323" t="str">
        <f t="shared" si="13"/>
        <v>-</v>
      </c>
      <c r="W44" s="302">
        <f>+収支計画!L48/1000</f>
        <v>0</v>
      </c>
      <c r="X44" s="508">
        <f>+PL推移!N43</f>
        <v>0</v>
      </c>
      <c r="Y44" s="369">
        <f t="shared" si="102"/>
        <v>0</v>
      </c>
      <c r="Z44" s="323" t="str">
        <f t="shared" si="14"/>
        <v>-</v>
      </c>
      <c r="AA44" s="302">
        <f>+収支計画!M48/1000</f>
        <v>0</v>
      </c>
      <c r="AB44" s="351">
        <f>+PL推移!P43</f>
        <v>0.6</v>
      </c>
      <c r="AC44" s="341">
        <f t="shared" si="103"/>
        <v>0.6</v>
      </c>
      <c r="AD44" s="323" t="str">
        <f t="shared" si="15"/>
        <v>-</v>
      </c>
      <c r="AE44" s="302">
        <f>+収支計画!AA54/1000</f>
        <v>0</v>
      </c>
      <c r="AF44" s="351">
        <f>+PL推移!R43</f>
        <v>0</v>
      </c>
      <c r="AG44" s="341">
        <f t="shared" si="104"/>
        <v>0</v>
      </c>
      <c r="AH44" s="323" t="str">
        <f t="shared" si="16"/>
        <v>-</v>
      </c>
      <c r="AI44" s="302">
        <f>+収支計画!O48/1000</f>
        <v>0</v>
      </c>
      <c r="AJ44" s="351">
        <f>+PL推移!T43</f>
        <v>0</v>
      </c>
      <c r="AK44" s="369">
        <f t="shared" si="105"/>
        <v>0</v>
      </c>
      <c r="AL44" s="361" t="str">
        <f t="shared" si="17"/>
        <v>-</v>
      </c>
      <c r="AM44" s="302">
        <f>+収支計画!P48/1000</f>
        <v>0</v>
      </c>
      <c r="AN44" s="351">
        <f>+PL推移!V43</f>
        <v>0</v>
      </c>
      <c r="AO44" s="369">
        <f t="shared" si="18"/>
        <v>0</v>
      </c>
      <c r="AP44" s="361" t="str">
        <f t="shared" si="19"/>
        <v>-</v>
      </c>
      <c r="AQ44" s="302">
        <f>+収支計画!Q48/1000</f>
        <v>0</v>
      </c>
      <c r="AR44" s="351">
        <f>+PL推移!X43</f>
        <v>0</v>
      </c>
      <c r="AS44" s="369">
        <f t="shared" si="20"/>
        <v>0</v>
      </c>
      <c r="AT44" s="361" t="str">
        <f t="shared" si="21"/>
        <v>-</v>
      </c>
      <c r="AU44" s="302">
        <f>+収支計画!R48/1000</f>
        <v>0</v>
      </c>
      <c r="AV44" s="351">
        <f>+PL推移!Z43</f>
        <v>0</v>
      </c>
      <c r="AW44" s="369">
        <f t="shared" si="22"/>
        <v>0</v>
      </c>
      <c r="AX44" s="361" t="str">
        <f t="shared" si="23"/>
        <v>-</v>
      </c>
      <c r="AY44" s="408">
        <f t="shared" si="24"/>
        <v>0</v>
      </c>
      <c r="AZ44" s="426">
        <f t="shared" si="25"/>
        <v>1.7999999999999998</v>
      </c>
      <c r="BA44" s="303">
        <f t="shared" si="26"/>
        <v>1.7999999999999998</v>
      </c>
      <c r="BB44" s="518" t="str">
        <f t="shared" si="27"/>
        <v>-</v>
      </c>
    </row>
    <row r="45" spans="2:54">
      <c r="B45" s="5" t="s">
        <v>213</v>
      </c>
      <c r="C45" s="408">
        <f>+収支計画!G49/1000</f>
        <v>0</v>
      </c>
      <c r="D45" s="426">
        <f>+PL推移!D44</f>
        <v>0</v>
      </c>
      <c r="E45" s="303">
        <f t="shared" si="97"/>
        <v>0</v>
      </c>
      <c r="F45" s="323" t="str">
        <f t="shared" si="9"/>
        <v>-</v>
      </c>
      <c r="G45" s="417">
        <f>+収支計画!H49/1000</f>
        <v>0</v>
      </c>
      <c r="H45" s="426">
        <f>+PL推移!F44</f>
        <v>0</v>
      </c>
      <c r="I45" s="303">
        <f t="shared" si="98"/>
        <v>0</v>
      </c>
      <c r="J45" s="361" t="str">
        <f t="shared" si="10"/>
        <v>-</v>
      </c>
      <c r="K45" s="302">
        <f>+収支計画!I49/1000</f>
        <v>0</v>
      </c>
      <c r="L45" s="508">
        <f>+PL推移!H44</f>
        <v>0</v>
      </c>
      <c r="M45" s="341">
        <f t="shared" si="99"/>
        <v>0</v>
      </c>
      <c r="N45" s="323" t="str">
        <f t="shared" si="11"/>
        <v>-</v>
      </c>
      <c r="O45" s="302">
        <f>+収支計画!J49/1000</f>
        <v>0</v>
      </c>
      <c r="P45" s="508">
        <f>+PL推移!J44</f>
        <v>0</v>
      </c>
      <c r="Q45" s="341">
        <f t="shared" si="100"/>
        <v>0</v>
      </c>
      <c r="R45" s="323" t="str">
        <f t="shared" si="12"/>
        <v>-</v>
      </c>
      <c r="S45" s="302">
        <f>+収支計画!K49/1000</f>
        <v>0</v>
      </c>
      <c r="T45" s="508">
        <f>+PL推移!L44</f>
        <v>0</v>
      </c>
      <c r="U45" s="341">
        <f t="shared" si="101"/>
        <v>0</v>
      </c>
      <c r="V45" s="323" t="str">
        <f t="shared" si="13"/>
        <v>-</v>
      </c>
      <c r="W45" s="302">
        <f>+収支計画!L49/1000</f>
        <v>0</v>
      </c>
      <c r="X45" s="508">
        <f>+PL推移!N44</f>
        <v>0</v>
      </c>
      <c r="Y45" s="369">
        <f t="shared" si="102"/>
        <v>0</v>
      </c>
      <c r="Z45" s="323" t="str">
        <f t="shared" si="14"/>
        <v>-</v>
      </c>
      <c r="AA45" s="302">
        <f>+収支計画!M49/1000</f>
        <v>0</v>
      </c>
      <c r="AB45" s="351">
        <f>+PL推移!P44</f>
        <v>0</v>
      </c>
      <c r="AC45" s="341">
        <f t="shared" si="103"/>
        <v>0</v>
      </c>
      <c r="AD45" s="323" t="str">
        <f t="shared" si="15"/>
        <v>-</v>
      </c>
      <c r="AE45" s="302">
        <f>+収支計画!AA55/1000</f>
        <v>0</v>
      </c>
      <c r="AF45" s="351">
        <f>+PL推移!R44</f>
        <v>0</v>
      </c>
      <c r="AG45" s="341">
        <f t="shared" si="104"/>
        <v>0</v>
      </c>
      <c r="AH45" s="323" t="str">
        <f t="shared" si="16"/>
        <v>-</v>
      </c>
      <c r="AI45" s="302">
        <f>+収支計画!O49/1000</f>
        <v>0</v>
      </c>
      <c r="AJ45" s="351">
        <f>+PL推移!T44</f>
        <v>0</v>
      </c>
      <c r="AK45" s="369">
        <f t="shared" si="105"/>
        <v>0</v>
      </c>
      <c r="AL45" s="361" t="str">
        <f t="shared" si="17"/>
        <v>-</v>
      </c>
      <c r="AM45" s="302">
        <f>+収支計画!P49/1000</f>
        <v>0</v>
      </c>
      <c r="AN45" s="351">
        <f>+PL推移!V44</f>
        <v>0</v>
      </c>
      <c r="AO45" s="368">
        <f t="shared" si="18"/>
        <v>0</v>
      </c>
      <c r="AP45" s="361" t="str">
        <f t="shared" si="19"/>
        <v>-</v>
      </c>
      <c r="AQ45" s="302">
        <f>+収支計画!Q49/1000</f>
        <v>0</v>
      </c>
      <c r="AR45" s="351">
        <f>+PL推移!X44</f>
        <v>0</v>
      </c>
      <c r="AS45" s="368">
        <f t="shared" si="20"/>
        <v>0</v>
      </c>
      <c r="AT45" s="361" t="str">
        <f t="shared" si="21"/>
        <v>-</v>
      </c>
      <c r="AU45" s="302">
        <f>+収支計画!R49/1000</f>
        <v>0</v>
      </c>
      <c r="AV45" s="351">
        <f>+PL推移!Z44</f>
        <v>0</v>
      </c>
      <c r="AW45" s="368">
        <f t="shared" si="22"/>
        <v>0</v>
      </c>
      <c r="AX45" s="361" t="str">
        <f t="shared" si="23"/>
        <v>-</v>
      </c>
      <c r="AY45" s="408">
        <f t="shared" si="24"/>
        <v>0</v>
      </c>
      <c r="AZ45" s="426">
        <f t="shared" si="25"/>
        <v>0</v>
      </c>
      <c r="BA45" s="303">
        <f t="shared" si="26"/>
        <v>0</v>
      </c>
      <c r="BB45" s="518" t="str">
        <f t="shared" si="27"/>
        <v>-</v>
      </c>
    </row>
    <row r="46" spans="2:54">
      <c r="B46" s="5" t="s">
        <v>214</v>
      </c>
      <c r="C46" s="408">
        <f>+収支計画!G50/1000</f>
        <v>12.455</v>
      </c>
      <c r="D46" s="426">
        <f>+PL推移!D45</f>
        <v>12.455</v>
      </c>
      <c r="E46" s="303">
        <f t="shared" si="97"/>
        <v>0</v>
      </c>
      <c r="F46" s="323">
        <f t="shared" si="9"/>
        <v>1</v>
      </c>
      <c r="G46" s="417">
        <f>+収支計画!H50/1000</f>
        <v>1.9550000000000001</v>
      </c>
      <c r="H46" s="426">
        <f>+PL推移!F45</f>
        <v>1.9550000000000001</v>
      </c>
      <c r="I46" s="303">
        <f t="shared" si="98"/>
        <v>0</v>
      </c>
      <c r="J46" s="361">
        <f t="shared" si="10"/>
        <v>1</v>
      </c>
      <c r="K46" s="302">
        <f>+収支計画!I50/1000</f>
        <v>0</v>
      </c>
      <c r="L46" s="508">
        <f>+PL推移!H45</f>
        <v>2.105</v>
      </c>
      <c r="M46" s="341">
        <f t="shared" si="99"/>
        <v>2.105</v>
      </c>
      <c r="N46" s="323" t="str">
        <f t="shared" si="11"/>
        <v>-</v>
      </c>
      <c r="O46" s="302">
        <f>+収支計画!J50/1000</f>
        <v>0</v>
      </c>
      <c r="P46" s="508">
        <f>+PL推移!J45</f>
        <v>2.2549999999999999</v>
      </c>
      <c r="Q46" s="341">
        <f t="shared" si="100"/>
        <v>2.2549999999999999</v>
      </c>
      <c r="R46" s="323" t="str">
        <f t="shared" si="12"/>
        <v>-</v>
      </c>
      <c r="S46" s="302">
        <f>+収支計画!K50/1000</f>
        <v>0</v>
      </c>
      <c r="T46" s="508">
        <f>+PL推移!L45</f>
        <v>7.4690000000000003</v>
      </c>
      <c r="U46" s="341">
        <f t="shared" si="101"/>
        <v>7.4690000000000003</v>
      </c>
      <c r="V46" s="323" t="str">
        <f t="shared" si="13"/>
        <v>-</v>
      </c>
      <c r="W46" s="302">
        <f>+収支計画!L50/1000</f>
        <v>0</v>
      </c>
      <c r="X46" s="508">
        <f>+PL推移!N45</f>
        <v>4.3529999999999998</v>
      </c>
      <c r="Y46" s="369">
        <f t="shared" si="102"/>
        <v>4.3529999999999998</v>
      </c>
      <c r="Z46" s="323" t="str">
        <f t="shared" si="14"/>
        <v>-</v>
      </c>
      <c r="AA46" s="302">
        <f>+収支計画!M50/1000</f>
        <v>0</v>
      </c>
      <c r="AB46" s="351">
        <f>+PL推移!P45</f>
        <v>4.694</v>
      </c>
      <c r="AC46" s="341">
        <f t="shared" si="103"/>
        <v>4.694</v>
      </c>
      <c r="AD46" s="323" t="str">
        <f t="shared" si="15"/>
        <v>-</v>
      </c>
      <c r="AE46" s="302">
        <f>+収支計画!AA56/1000</f>
        <v>0</v>
      </c>
      <c r="AF46" s="351">
        <f>+PL推移!R45</f>
        <v>2.1549999999999998</v>
      </c>
      <c r="AG46" s="341">
        <f t="shared" si="104"/>
        <v>2.1549999999999998</v>
      </c>
      <c r="AH46" s="323" t="str">
        <f t="shared" si="16"/>
        <v>-</v>
      </c>
      <c r="AI46" s="302">
        <f>+収支計画!O50/1000</f>
        <v>0</v>
      </c>
      <c r="AJ46" s="351">
        <f>+PL推移!T45</f>
        <v>2.2549999999999999</v>
      </c>
      <c r="AK46" s="369">
        <f t="shared" si="105"/>
        <v>2.2549999999999999</v>
      </c>
      <c r="AL46" s="361" t="str">
        <f t="shared" si="17"/>
        <v>-</v>
      </c>
      <c r="AM46" s="302">
        <f>+収支計画!P50/1000</f>
        <v>0</v>
      </c>
      <c r="AN46" s="351">
        <f>+PL推移!V45</f>
        <v>2.105</v>
      </c>
      <c r="AO46" s="369">
        <f t="shared" si="18"/>
        <v>2.105</v>
      </c>
      <c r="AP46" s="361" t="str">
        <f t="shared" si="19"/>
        <v>-</v>
      </c>
      <c r="AQ46" s="302">
        <f>+収支計画!Q50/1000</f>
        <v>0</v>
      </c>
      <c r="AR46" s="351">
        <f>+PL推移!X45</f>
        <v>2.105</v>
      </c>
      <c r="AS46" s="369">
        <f t="shared" si="20"/>
        <v>2.105</v>
      </c>
      <c r="AT46" s="361" t="str">
        <f t="shared" si="21"/>
        <v>-</v>
      </c>
      <c r="AU46" s="302">
        <f>+収支計画!R50/1000</f>
        <v>0</v>
      </c>
      <c r="AV46" s="351">
        <f>+PL推移!Z45</f>
        <v>2.105</v>
      </c>
      <c r="AW46" s="369">
        <f t="shared" si="22"/>
        <v>2.105</v>
      </c>
      <c r="AX46" s="361" t="str">
        <f t="shared" si="23"/>
        <v>-</v>
      </c>
      <c r="AY46" s="408">
        <f t="shared" si="24"/>
        <v>14.41</v>
      </c>
      <c r="AZ46" s="426">
        <f t="shared" si="25"/>
        <v>46.010999999999996</v>
      </c>
      <c r="BA46" s="303">
        <f t="shared" si="26"/>
        <v>31.600999999999996</v>
      </c>
      <c r="BB46" s="333">
        <f t="shared" si="27"/>
        <v>3.1929909784871615</v>
      </c>
    </row>
    <row r="47" spans="2:54">
      <c r="B47" s="5" t="s">
        <v>215</v>
      </c>
      <c r="C47" s="408">
        <f>+収支計画!G51/1000</f>
        <v>0</v>
      </c>
      <c r="D47" s="426">
        <f>+PL推移!D46</f>
        <v>0</v>
      </c>
      <c r="E47" s="303">
        <f t="shared" si="97"/>
        <v>0</v>
      </c>
      <c r="F47" s="323" t="str">
        <f t="shared" si="9"/>
        <v>-</v>
      </c>
      <c r="G47" s="417">
        <f>+収支計画!H51/1000</f>
        <v>0</v>
      </c>
      <c r="H47" s="426">
        <f>+PL推移!F46</f>
        <v>1.99</v>
      </c>
      <c r="I47" s="303">
        <f t="shared" si="98"/>
        <v>1.99</v>
      </c>
      <c r="J47" s="361" t="str">
        <f t="shared" si="10"/>
        <v>-</v>
      </c>
      <c r="K47" s="302">
        <f>+収支計画!I51/1000</f>
        <v>0</v>
      </c>
      <c r="L47" s="508">
        <f>+PL推移!H46</f>
        <v>1.99</v>
      </c>
      <c r="M47" s="341">
        <f t="shared" si="99"/>
        <v>1.99</v>
      </c>
      <c r="N47" s="323" t="str">
        <f t="shared" si="11"/>
        <v>-</v>
      </c>
      <c r="O47" s="302">
        <f>+収支計画!J51/1000</f>
        <v>0</v>
      </c>
      <c r="P47" s="508">
        <f>+PL推移!J46</f>
        <v>0.89100000000000001</v>
      </c>
      <c r="Q47" s="341">
        <f t="shared" si="100"/>
        <v>0.89100000000000001</v>
      </c>
      <c r="R47" s="323" t="str">
        <f t="shared" si="12"/>
        <v>-</v>
      </c>
      <c r="S47" s="302">
        <f>+収支計画!K51/1000</f>
        <v>0</v>
      </c>
      <c r="T47" s="508">
        <f>+PL推移!L46</f>
        <v>0.89100000000000001</v>
      </c>
      <c r="U47" s="341">
        <f t="shared" si="101"/>
        <v>0.89100000000000001</v>
      </c>
      <c r="V47" s="323" t="str">
        <f t="shared" si="13"/>
        <v>-</v>
      </c>
      <c r="W47" s="302">
        <f>+収支計画!L51/1000</f>
        <v>0</v>
      </c>
      <c r="X47" s="508">
        <f>+PL推移!N46</f>
        <v>0.89100000000000001</v>
      </c>
      <c r="Y47" s="369">
        <f t="shared" si="102"/>
        <v>0.89100000000000001</v>
      </c>
      <c r="Z47" s="323" t="str">
        <f t="shared" si="14"/>
        <v>-</v>
      </c>
      <c r="AA47" s="302">
        <f>+収支計画!M51/1000</f>
        <v>0</v>
      </c>
      <c r="AB47" s="351">
        <f>+PL推移!P46</f>
        <v>0.89100000000000001</v>
      </c>
      <c r="AC47" s="341">
        <f t="shared" si="103"/>
        <v>0.89100000000000001</v>
      </c>
      <c r="AD47" s="323" t="str">
        <f t="shared" si="15"/>
        <v>-</v>
      </c>
      <c r="AE47" s="302">
        <f>+収支計画!AA57/1000</f>
        <v>0</v>
      </c>
      <c r="AF47" s="351">
        <f>+PL推移!R46</f>
        <v>3.919</v>
      </c>
      <c r="AG47" s="341">
        <f t="shared" si="104"/>
        <v>3.919</v>
      </c>
      <c r="AH47" s="323" t="str">
        <f t="shared" si="16"/>
        <v>-</v>
      </c>
      <c r="AI47" s="302">
        <f>+収支計画!O51/1000</f>
        <v>0</v>
      </c>
      <c r="AJ47" s="351">
        <f>+PL推移!T46</f>
        <v>0.89100000000000001</v>
      </c>
      <c r="AK47" s="369">
        <f t="shared" si="105"/>
        <v>0.89100000000000001</v>
      </c>
      <c r="AL47" s="361" t="str">
        <f t="shared" si="17"/>
        <v>-</v>
      </c>
      <c r="AM47" s="302">
        <f>+収支計画!P51/1000</f>
        <v>0</v>
      </c>
      <c r="AN47" s="351">
        <f>+PL推移!V46</f>
        <v>0.89100000000000001</v>
      </c>
      <c r="AO47" s="341">
        <f t="shared" si="18"/>
        <v>0.89100000000000001</v>
      </c>
      <c r="AP47" s="361" t="str">
        <f t="shared" si="19"/>
        <v>-</v>
      </c>
      <c r="AQ47" s="302">
        <f>+収支計画!Q51/1000</f>
        <v>0</v>
      </c>
      <c r="AR47" s="351">
        <f>+PL推移!X46</f>
        <v>0.89100000000000001</v>
      </c>
      <c r="AS47" s="341">
        <f t="shared" si="20"/>
        <v>0.89100000000000001</v>
      </c>
      <c r="AT47" s="361" t="str">
        <f t="shared" si="21"/>
        <v>-</v>
      </c>
      <c r="AU47" s="302">
        <f>+収支計画!R51/1000</f>
        <v>0</v>
      </c>
      <c r="AV47" s="351">
        <f>+PL推移!Z46</f>
        <v>0</v>
      </c>
      <c r="AW47" s="341">
        <f t="shared" si="22"/>
        <v>0</v>
      </c>
      <c r="AX47" s="361" t="str">
        <f t="shared" si="23"/>
        <v>-</v>
      </c>
      <c r="AY47" s="408">
        <f t="shared" si="24"/>
        <v>0</v>
      </c>
      <c r="AZ47" s="426">
        <f t="shared" si="25"/>
        <v>14.136000000000001</v>
      </c>
      <c r="BA47" s="303">
        <f t="shared" si="26"/>
        <v>14.136000000000001</v>
      </c>
      <c r="BB47" s="518" t="str">
        <f t="shared" si="27"/>
        <v>-</v>
      </c>
    </row>
    <row r="48" spans="2:54">
      <c r="B48" s="5" t="s">
        <v>216</v>
      </c>
      <c r="C48" s="408">
        <f>+収支計画!G52/1000</f>
        <v>0</v>
      </c>
      <c r="D48" s="426">
        <f>+PL推移!D47</f>
        <v>20</v>
      </c>
      <c r="E48" s="303">
        <f t="shared" si="97"/>
        <v>20</v>
      </c>
      <c r="F48" s="323" t="str">
        <f t="shared" si="9"/>
        <v>-</v>
      </c>
      <c r="G48" s="417">
        <f>+収支計画!H52/1000</f>
        <v>0</v>
      </c>
      <c r="H48" s="426">
        <f>+PL推移!F47</f>
        <v>20</v>
      </c>
      <c r="I48" s="303">
        <f t="shared" si="98"/>
        <v>20</v>
      </c>
      <c r="J48" s="361" t="str">
        <f t="shared" si="10"/>
        <v>-</v>
      </c>
      <c r="K48" s="302">
        <f>+収支計画!I52/1000</f>
        <v>0</v>
      </c>
      <c r="L48" s="508">
        <f>+PL推移!H47</f>
        <v>20</v>
      </c>
      <c r="M48" s="341">
        <f t="shared" si="99"/>
        <v>20</v>
      </c>
      <c r="N48" s="323" t="str">
        <f t="shared" si="11"/>
        <v>-</v>
      </c>
      <c r="O48" s="302">
        <f>+収支計画!J52/1000</f>
        <v>0</v>
      </c>
      <c r="P48" s="508">
        <f>+PL推移!J47</f>
        <v>140</v>
      </c>
      <c r="Q48" s="341">
        <f t="shared" si="100"/>
        <v>140</v>
      </c>
      <c r="R48" s="323" t="str">
        <f t="shared" si="12"/>
        <v>-</v>
      </c>
      <c r="S48" s="302">
        <f>+収支計画!K52/1000</f>
        <v>0</v>
      </c>
      <c r="T48" s="508">
        <f>+PL推移!L47</f>
        <v>20</v>
      </c>
      <c r="U48" s="341">
        <f t="shared" si="101"/>
        <v>20</v>
      </c>
      <c r="V48" s="323" t="str">
        <f t="shared" si="13"/>
        <v>-</v>
      </c>
      <c r="W48" s="302">
        <f>+収支計画!L52/1000</f>
        <v>0</v>
      </c>
      <c r="X48" s="508">
        <f>+PL推移!N47</f>
        <v>20</v>
      </c>
      <c r="Y48" s="341">
        <f t="shared" si="102"/>
        <v>20</v>
      </c>
      <c r="Z48" s="323" t="str">
        <f t="shared" si="14"/>
        <v>-</v>
      </c>
      <c r="AA48" s="302">
        <f>+収支計画!M52/1000</f>
        <v>0</v>
      </c>
      <c r="AB48" s="351">
        <f>+PL推移!P47</f>
        <v>20</v>
      </c>
      <c r="AC48" s="341">
        <f t="shared" si="103"/>
        <v>20</v>
      </c>
      <c r="AD48" s="323" t="str">
        <f t="shared" si="15"/>
        <v>-</v>
      </c>
      <c r="AE48" s="302">
        <f>+収支計画!AA58/1000</f>
        <v>0</v>
      </c>
      <c r="AF48" s="351">
        <f>+PL推移!R47</f>
        <v>20</v>
      </c>
      <c r="AG48" s="341">
        <f t="shared" si="104"/>
        <v>20</v>
      </c>
      <c r="AH48" s="323" t="str">
        <f t="shared" si="16"/>
        <v>-</v>
      </c>
      <c r="AI48" s="302">
        <f>+収支計画!O52/1000</f>
        <v>0</v>
      </c>
      <c r="AJ48" s="351">
        <f>+PL推移!T47</f>
        <v>20</v>
      </c>
      <c r="AK48" s="341">
        <f t="shared" si="105"/>
        <v>20</v>
      </c>
      <c r="AL48" s="361" t="str">
        <f t="shared" si="17"/>
        <v>-</v>
      </c>
      <c r="AM48" s="302">
        <f>+収支計画!P52/1000</f>
        <v>0</v>
      </c>
      <c r="AN48" s="351">
        <f>+PL推移!V47</f>
        <v>20</v>
      </c>
      <c r="AO48" s="341">
        <f t="shared" si="18"/>
        <v>20</v>
      </c>
      <c r="AP48" s="361" t="str">
        <f t="shared" si="19"/>
        <v>-</v>
      </c>
      <c r="AQ48" s="302">
        <f>+収支計画!Q52/1000</f>
        <v>0</v>
      </c>
      <c r="AR48" s="351">
        <f>+PL推移!X47</f>
        <v>20</v>
      </c>
      <c r="AS48" s="341">
        <f t="shared" si="20"/>
        <v>20</v>
      </c>
      <c r="AT48" s="361" t="str">
        <f t="shared" si="21"/>
        <v>-</v>
      </c>
      <c r="AU48" s="302">
        <f>+収支計画!R52/1000</f>
        <v>0</v>
      </c>
      <c r="AV48" s="351">
        <f>+PL推移!Z47</f>
        <v>20</v>
      </c>
      <c r="AW48" s="341">
        <f t="shared" si="22"/>
        <v>20</v>
      </c>
      <c r="AX48" s="361" t="str">
        <f t="shared" si="23"/>
        <v>-</v>
      </c>
      <c r="AY48" s="408">
        <f t="shared" si="24"/>
        <v>0</v>
      </c>
      <c r="AZ48" s="426">
        <f t="shared" si="25"/>
        <v>360</v>
      </c>
      <c r="BA48" s="303">
        <f t="shared" si="26"/>
        <v>360</v>
      </c>
      <c r="BB48" s="518" t="str">
        <f t="shared" si="27"/>
        <v>-</v>
      </c>
    </row>
    <row r="49" spans="1:54">
      <c r="B49" s="5" t="s">
        <v>217</v>
      </c>
      <c r="C49" s="408">
        <f>+収支計画!G53/1000</f>
        <v>0</v>
      </c>
      <c r="D49" s="426">
        <f>+PL推移!D48</f>
        <v>0.64</v>
      </c>
      <c r="E49" s="303">
        <f t="shared" si="97"/>
        <v>0.64</v>
      </c>
      <c r="F49" s="323" t="str">
        <f t="shared" si="9"/>
        <v>-</v>
      </c>
      <c r="G49" s="417">
        <f>+収支計画!H53/1000</f>
        <v>0</v>
      </c>
      <c r="H49" s="426">
        <f>+PL推移!F48</f>
        <v>0.64</v>
      </c>
      <c r="I49" s="303">
        <f t="shared" si="98"/>
        <v>0.64</v>
      </c>
      <c r="J49" s="361" t="str">
        <f t="shared" si="10"/>
        <v>-</v>
      </c>
      <c r="K49" s="302">
        <f>+収支計画!I53/1000</f>
        <v>0</v>
      </c>
      <c r="L49" s="508">
        <f>+PL推移!H48</f>
        <v>0.64</v>
      </c>
      <c r="M49" s="341">
        <f t="shared" si="99"/>
        <v>0.64</v>
      </c>
      <c r="N49" s="323" t="str">
        <f t="shared" si="11"/>
        <v>-</v>
      </c>
      <c r="O49" s="302">
        <f>+収支計画!J53/1000</f>
        <v>0</v>
      </c>
      <c r="P49" s="508">
        <f>+PL推移!J48</f>
        <v>19.035</v>
      </c>
      <c r="Q49" s="341">
        <f t="shared" si="100"/>
        <v>19.035</v>
      </c>
      <c r="R49" s="323" t="str">
        <f t="shared" si="12"/>
        <v>-</v>
      </c>
      <c r="S49" s="302">
        <f>+収支計画!K53/1000</f>
        <v>0</v>
      </c>
      <c r="T49" s="508">
        <f>+PL推移!L48</f>
        <v>0.64</v>
      </c>
      <c r="U49" s="341">
        <f t="shared" si="101"/>
        <v>0.64</v>
      </c>
      <c r="V49" s="323" t="str">
        <f t="shared" si="13"/>
        <v>-</v>
      </c>
      <c r="W49" s="302">
        <f>+収支計画!L53/1000</f>
        <v>0</v>
      </c>
      <c r="X49" s="508">
        <f>+PL推移!N48</f>
        <v>0.64</v>
      </c>
      <c r="Y49" s="341">
        <f t="shared" si="102"/>
        <v>0.64</v>
      </c>
      <c r="Z49" s="323" t="str">
        <f t="shared" si="14"/>
        <v>-</v>
      </c>
      <c r="AA49" s="302">
        <f>+収支計画!M53/1000</f>
        <v>0</v>
      </c>
      <c r="AB49" s="351">
        <f>+PL推移!P48</f>
        <v>2.34</v>
      </c>
      <c r="AC49" s="341">
        <f t="shared" si="103"/>
        <v>2.34</v>
      </c>
      <c r="AD49" s="323" t="str">
        <f t="shared" si="15"/>
        <v>-</v>
      </c>
      <c r="AE49" s="302">
        <f>+収支計画!AA59/1000</f>
        <v>0</v>
      </c>
      <c r="AF49" s="351">
        <f>+PL推移!R48</f>
        <v>0.64</v>
      </c>
      <c r="AG49" s="341">
        <f t="shared" si="104"/>
        <v>0.64</v>
      </c>
      <c r="AH49" s="323" t="str">
        <f t="shared" si="16"/>
        <v>-</v>
      </c>
      <c r="AI49" s="302">
        <f>+収支計画!O53/1000</f>
        <v>0</v>
      </c>
      <c r="AJ49" s="351">
        <f>+PL推移!T48</f>
        <v>3.64</v>
      </c>
      <c r="AK49" s="341">
        <f t="shared" si="105"/>
        <v>3.64</v>
      </c>
      <c r="AL49" s="361" t="str">
        <f t="shared" si="17"/>
        <v>-</v>
      </c>
      <c r="AM49" s="302">
        <f>+収支計画!P53/1000</f>
        <v>0</v>
      </c>
      <c r="AN49" s="351">
        <f>+PL推移!V48</f>
        <v>0.64</v>
      </c>
      <c r="AO49" s="341">
        <f t="shared" si="18"/>
        <v>0.64</v>
      </c>
      <c r="AP49" s="361" t="str">
        <f t="shared" si="19"/>
        <v>-</v>
      </c>
      <c r="AQ49" s="302">
        <f>+収支計画!Q53/1000</f>
        <v>0</v>
      </c>
      <c r="AR49" s="351">
        <f>+PL推移!X48</f>
        <v>0.64</v>
      </c>
      <c r="AS49" s="341">
        <f t="shared" si="20"/>
        <v>0.64</v>
      </c>
      <c r="AT49" s="361" t="str">
        <f t="shared" si="21"/>
        <v>-</v>
      </c>
      <c r="AU49" s="302">
        <f>+収支計画!R53/1000</f>
        <v>0</v>
      </c>
      <c r="AV49" s="351">
        <f>+PL推移!Z48</f>
        <v>5.1859999999999999</v>
      </c>
      <c r="AW49" s="341">
        <f t="shared" si="22"/>
        <v>5.1859999999999999</v>
      </c>
      <c r="AX49" s="361" t="str">
        <f t="shared" si="23"/>
        <v>-</v>
      </c>
      <c r="AY49" s="408">
        <f t="shared" si="24"/>
        <v>0</v>
      </c>
      <c r="AZ49" s="426">
        <f t="shared" si="25"/>
        <v>35.320999999999998</v>
      </c>
      <c r="BA49" s="303">
        <f t="shared" si="26"/>
        <v>35.320999999999998</v>
      </c>
      <c r="BB49" s="518" t="str">
        <f t="shared" si="27"/>
        <v>-</v>
      </c>
    </row>
    <row r="50" spans="1:54">
      <c r="B50" s="148"/>
      <c r="C50" s="411">
        <f>+収支計画!G54/1000</f>
        <v>250.137</v>
      </c>
      <c r="D50" s="429"/>
      <c r="E50" s="309">
        <f t="shared" si="97"/>
        <v>-250.137</v>
      </c>
      <c r="F50" s="326">
        <f t="shared" si="9"/>
        <v>0</v>
      </c>
      <c r="G50" s="420">
        <f>+収支計画!H54/1000</f>
        <v>52.081000000000003</v>
      </c>
      <c r="H50" s="429">
        <f>+PL推移!F49</f>
        <v>0</v>
      </c>
      <c r="I50" s="309">
        <f t="shared" si="98"/>
        <v>-52.081000000000003</v>
      </c>
      <c r="J50" s="364">
        <f t="shared" si="10"/>
        <v>0</v>
      </c>
      <c r="K50" s="308">
        <f>+収支計画!I54/1000</f>
        <v>146.55000000000001</v>
      </c>
      <c r="L50" s="511">
        <f>+PL推移!H49</f>
        <v>0</v>
      </c>
      <c r="M50" s="344">
        <f t="shared" si="99"/>
        <v>-146.55000000000001</v>
      </c>
      <c r="N50" s="326">
        <f t="shared" si="11"/>
        <v>0</v>
      </c>
      <c r="O50" s="308">
        <f>+収支計画!J54/1000</f>
        <v>26.55</v>
      </c>
      <c r="P50" s="511">
        <f>+PL推移!J49</f>
        <v>0</v>
      </c>
      <c r="Q50" s="344">
        <f t="shared" si="100"/>
        <v>-26.55</v>
      </c>
      <c r="R50" s="326">
        <f t="shared" si="12"/>
        <v>0</v>
      </c>
      <c r="S50" s="308">
        <f>+収支計画!K54/1000</f>
        <v>26.55</v>
      </c>
      <c r="T50" s="511">
        <f>+PL推移!N49</f>
        <v>0</v>
      </c>
      <c r="U50" s="344">
        <f t="shared" si="101"/>
        <v>-26.55</v>
      </c>
      <c r="V50" s="326">
        <f t="shared" si="13"/>
        <v>0</v>
      </c>
      <c r="W50" s="308"/>
      <c r="X50" s="511">
        <f>+PL推移!R49</f>
        <v>0</v>
      </c>
      <c r="Y50" s="344"/>
      <c r="Z50" s="326" t="str">
        <f t="shared" si="14"/>
        <v>-</v>
      </c>
      <c r="AA50" s="308"/>
      <c r="AB50" s="354">
        <f>+PL推移!V49</f>
        <v>0</v>
      </c>
      <c r="AC50" s="344"/>
      <c r="AD50" s="326" t="str">
        <f t="shared" si="15"/>
        <v>-</v>
      </c>
      <c r="AE50" s="308"/>
      <c r="AF50" s="354">
        <f>+PL推移!Z49</f>
        <v>0</v>
      </c>
      <c r="AG50" s="344"/>
      <c r="AH50" s="326" t="str">
        <f t="shared" si="16"/>
        <v>-</v>
      </c>
      <c r="AI50" s="308"/>
      <c r="AJ50" s="354">
        <f>+PL推移!AD49</f>
        <v>0</v>
      </c>
      <c r="AK50" s="344"/>
      <c r="AL50" s="364" t="str">
        <f t="shared" si="17"/>
        <v>-</v>
      </c>
      <c r="AM50" s="308"/>
      <c r="AN50" s="354">
        <f>+PL推移!AH49</f>
        <v>0</v>
      </c>
      <c r="AO50" s="344">
        <f t="shared" si="18"/>
        <v>0</v>
      </c>
      <c r="AP50" s="364" t="str">
        <f t="shared" si="19"/>
        <v>-</v>
      </c>
      <c r="AQ50" s="308"/>
      <c r="AR50" s="354">
        <f>+PL推移!AL49</f>
        <v>0</v>
      </c>
      <c r="AS50" s="344">
        <f t="shared" si="20"/>
        <v>0</v>
      </c>
      <c r="AT50" s="364" t="str">
        <f t="shared" si="21"/>
        <v>-</v>
      </c>
      <c r="AU50" s="308"/>
      <c r="AV50" s="354">
        <f>+PL推移!AP49</f>
        <v>0</v>
      </c>
      <c r="AW50" s="344">
        <f t="shared" si="22"/>
        <v>0</v>
      </c>
      <c r="AX50" s="364" t="str">
        <f t="shared" si="23"/>
        <v>-</v>
      </c>
      <c r="AY50" s="411">
        <f t="shared" si="24"/>
        <v>501.86800000000005</v>
      </c>
      <c r="AZ50" s="429">
        <f t="shared" si="25"/>
        <v>0</v>
      </c>
      <c r="BA50" s="309">
        <f t="shared" si="26"/>
        <v>-501.86800000000005</v>
      </c>
      <c r="BB50" s="334">
        <f t="shared" si="27"/>
        <v>0</v>
      </c>
    </row>
    <row r="51" spans="1:54" s="50" customFormat="1" ht="16.899999999999999" thickBot="1">
      <c r="A51" s="50" t="s">
        <v>138</v>
      </c>
      <c r="C51" s="412">
        <f>+C23-C29</f>
        <v>-275.37000000000023</v>
      </c>
      <c r="D51" s="430">
        <f t="shared" ref="D51:E51" si="106">+D23-D29</f>
        <v>-275.37000000000012</v>
      </c>
      <c r="E51" s="315">
        <f t="shared" si="106"/>
        <v>0</v>
      </c>
      <c r="F51" s="327">
        <f t="shared" si="9"/>
        <v>0.99999999999999956</v>
      </c>
      <c r="G51" s="421">
        <f>+G23-G29</f>
        <v>-8.0810000000000173</v>
      </c>
      <c r="H51" s="430">
        <f>+PL推移!F50</f>
        <v>-8.0810000000000173</v>
      </c>
      <c r="I51" s="315">
        <f t="shared" ref="I51" si="107">+I23-I29</f>
        <v>0</v>
      </c>
      <c r="J51" s="365">
        <f t="shared" si="10"/>
        <v>1</v>
      </c>
      <c r="K51" s="314">
        <f>+K23-K29</f>
        <v>-68.253720799999996</v>
      </c>
      <c r="L51" s="513">
        <f>+PL推移!H50</f>
        <v>-82.744000000000028</v>
      </c>
      <c r="M51" s="345">
        <f t="shared" ref="M51" si="108">+M23-M29</f>
        <v>-14.490279200000046</v>
      </c>
      <c r="N51" s="327">
        <f t="shared" si="11"/>
        <v>1.2123002091338007</v>
      </c>
      <c r="O51" s="314">
        <f>+O23-O29</f>
        <v>6.3652984000000288</v>
      </c>
      <c r="P51" s="513">
        <f>+PL推移!J50</f>
        <v>-153.31099999999992</v>
      </c>
      <c r="Q51" s="345">
        <f t="shared" ref="Q51" si="109">+Q23-Q29</f>
        <v>-159.67629840000006</v>
      </c>
      <c r="R51" s="327">
        <f t="shared" si="12"/>
        <v>-24.085438005545701</v>
      </c>
      <c r="S51" s="314">
        <f>+S23-S29</f>
        <v>-16.325191999999902</v>
      </c>
      <c r="T51" s="513">
        <f>+PL推移!L50</f>
        <v>-42.661000000000001</v>
      </c>
      <c r="U51" s="345">
        <f t="shared" ref="U51" si="110">+U23-U29</f>
        <v>-26.335808000000114</v>
      </c>
      <c r="V51" s="327">
        <f t="shared" si="13"/>
        <v>2.613200506309528</v>
      </c>
      <c r="W51" s="314">
        <f>+W23-W29</f>
        <v>6.3652984000000288</v>
      </c>
      <c r="X51" s="513">
        <f>+PL推移!N50</f>
        <v>-126.90299999999979</v>
      </c>
      <c r="Y51" s="345">
        <f t="shared" ref="Y51" si="111">+Y23-Y29</f>
        <v>-159.81829839999995</v>
      </c>
      <c r="Z51" s="327">
        <f t="shared" si="14"/>
        <v>-19.936692991486339</v>
      </c>
      <c r="AA51" s="314">
        <f>+AA23-AA29</f>
        <v>95.721788799999956</v>
      </c>
      <c r="AB51" s="355">
        <f>+AB23-AB29</f>
        <v>-101.07000000000005</v>
      </c>
      <c r="AC51" s="345">
        <f t="shared" ref="AC51" si="112">+AC23-AC29</f>
        <v>-223.34178879999999</v>
      </c>
      <c r="AD51" s="327">
        <f t="shared" si="15"/>
        <v>-1.0558724535661843</v>
      </c>
      <c r="AE51" s="314">
        <f>+AE23-AE29</f>
        <v>95.721788799999956</v>
      </c>
      <c r="AF51" s="355">
        <f>+AF23-AF29</f>
        <v>-58.24899999999991</v>
      </c>
      <c r="AG51" s="345">
        <f t="shared" ref="AG51" si="113">+AG23-AG29</f>
        <v>-230.52078879999993</v>
      </c>
      <c r="AH51" s="327">
        <f t="shared" si="16"/>
        <v>-0.60852393932696691</v>
      </c>
      <c r="AI51" s="314">
        <f>+AI23-AI29</f>
        <v>95.721788799999956</v>
      </c>
      <c r="AJ51" s="355">
        <f>+AJ23-AJ29</f>
        <v>-11.130999999999858</v>
      </c>
      <c r="AK51" s="345">
        <f t="shared" ref="AK51" si="114">+AK23-AK29</f>
        <v>-133.40278879999994</v>
      </c>
      <c r="AL51" s="365">
        <f t="shared" si="17"/>
        <v>-0.11628491422425093</v>
      </c>
      <c r="AM51" s="314">
        <f>+AM23-AM29</f>
        <v>263.22699999999998</v>
      </c>
      <c r="AN51" s="355">
        <f>+AN23-AN29</f>
        <v>429.32600000000002</v>
      </c>
      <c r="AO51" s="345">
        <f t="shared" si="18"/>
        <v>166.09900000000005</v>
      </c>
      <c r="AP51" s="365">
        <f t="shared" si="19"/>
        <v>1.6310104966435817</v>
      </c>
      <c r="AQ51" s="314">
        <f>+AQ23-AQ29</f>
        <v>231.71799999999996</v>
      </c>
      <c r="AR51" s="355">
        <f>+AR23-AR29</f>
        <v>214.21499999999992</v>
      </c>
      <c r="AS51" s="345">
        <f t="shared" si="20"/>
        <v>-17.503000000000043</v>
      </c>
      <c r="AT51" s="365">
        <f t="shared" si="21"/>
        <v>0.9244642194391457</v>
      </c>
      <c r="AU51" s="314">
        <f>+AU23-AU29</f>
        <v>263.27700000000004</v>
      </c>
      <c r="AV51" s="355">
        <f>+AV23-AV29</f>
        <v>326.83399999999983</v>
      </c>
      <c r="AW51" s="345">
        <f t="shared" si="22"/>
        <v>63.556999999999789</v>
      </c>
      <c r="AX51" s="365">
        <f t="shared" si="23"/>
        <v>1.2414073390383504</v>
      </c>
      <c r="AY51" s="412">
        <f t="shared" si="24"/>
        <v>690.0880503999997</v>
      </c>
      <c r="AZ51" s="430">
        <f t="shared" si="25"/>
        <v>110.85500000000002</v>
      </c>
      <c r="BA51" s="315">
        <f t="shared" si="26"/>
        <v>-579.23305039999968</v>
      </c>
      <c r="BB51" s="335">
        <f t="shared" si="27"/>
        <v>0.16063892127351648</v>
      </c>
    </row>
    <row r="52" spans="1:54" ht="16.899999999999999" thickTop="1">
      <c r="B52" s="1" t="s">
        <v>179</v>
      </c>
      <c r="C52" s="9">
        <f>+C51</f>
        <v>-275.37000000000023</v>
      </c>
      <c r="D52" s="431">
        <f>+D51</f>
        <v>-275.37000000000012</v>
      </c>
      <c r="E52" s="299">
        <f>+E51</f>
        <v>0</v>
      </c>
      <c r="F52" s="328">
        <f t="shared" si="9"/>
        <v>0.99999999999999956</v>
      </c>
      <c r="G52" s="10">
        <f>+C52+G51</f>
        <v>-283.45100000000025</v>
      </c>
      <c r="H52" s="431">
        <f>+D52+H51</f>
        <v>-283.45100000000014</v>
      </c>
      <c r="I52" s="299">
        <f>+H52-G52</f>
        <v>0</v>
      </c>
      <c r="J52" s="366">
        <f t="shared" si="10"/>
        <v>0.99999999999999956</v>
      </c>
      <c r="K52" s="298">
        <f>+G52+K51</f>
        <v>-351.70472080000025</v>
      </c>
      <c r="L52" s="514">
        <f>+H52+L51</f>
        <v>-366.19500000000016</v>
      </c>
      <c r="M52" s="346">
        <f>+L52-K52</f>
        <v>-14.490279199999918</v>
      </c>
      <c r="N52" s="328">
        <f t="shared" si="11"/>
        <v>1.0412001271038951</v>
      </c>
      <c r="O52" s="298">
        <f>+K52+O51</f>
        <v>-345.33942240000022</v>
      </c>
      <c r="P52" s="514">
        <f>+L52+P51</f>
        <v>-519.50600000000009</v>
      </c>
      <c r="Q52" s="346">
        <f>+P52-O52</f>
        <v>-174.16657759999987</v>
      </c>
      <c r="R52" s="328">
        <f t="shared" si="12"/>
        <v>1.5043344787849502</v>
      </c>
      <c r="S52" s="298">
        <f>+O52+S51</f>
        <v>-361.66461440000012</v>
      </c>
      <c r="T52" s="514">
        <f>+P52+T51</f>
        <v>-562.16700000000014</v>
      </c>
      <c r="U52" s="346">
        <f>+T52-S52</f>
        <v>-200.50238560000003</v>
      </c>
      <c r="V52" s="328">
        <f t="shared" si="13"/>
        <v>1.5543876221693198</v>
      </c>
      <c r="W52" s="298">
        <f>+S52+W51</f>
        <v>-355.29931600000009</v>
      </c>
      <c r="X52" s="514">
        <f>+T52+X51</f>
        <v>-689.06999999999994</v>
      </c>
      <c r="Y52" s="346">
        <f>+X52-W52</f>
        <v>-333.77068399999985</v>
      </c>
      <c r="Z52" s="328">
        <f t="shared" si="14"/>
        <v>1.939407054754926</v>
      </c>
      <c r="AA52" s="298">
        <f>+W52+AA51</f>
        <v>-259.57752720000013</v>
      </c>
      <c r="AB52" s="356">
        <f>+X52+AB51</f>
        <v>-790.14</v>
      </c>
      <c r="AC52" s="346">
        <f>+AB52-AA52</f>
        <v>-530.5624727999998</v>
      </c>
      <c r="AD52" s="328">
        <f t="shared" si="15"/>
        <v>3.0439460939590903</v>
      </c>
      <c r="AE52" s="298">
        <f>+AA52+AE51</f>
        <v>-163.85573840000018</v>
      </c>
      <c r="AF52" s="356">
        <f>+AB52+AF51</f>
        <v>-848.3889999999999</v>
      </c>
      <c r="AG52" s="346">
        <f>+AF52-AE52</f>
        <v>-684.53326159999972</v>
      </c>
      <c r="AH52" s="328">
        <f t="shared" si="16"/>
        <v>5.1776581539606239</v>
      </c>
      <c r="AI52" s="298">
        <f>+AE52+AI51</f>
        <v>-68.133949600000221</v>
      </c>
      <c r="AJ52" s="356">
        <f>+AF52+AJ51</f>
        <v>-859.51999999999975</v>
      </c>
      <c r="AK52" s="346">
        <f>+AJ52-AI52</f>
        <v>-791.38605039999948</v>
      </c>
      <c r="AL52" s="366">
        <f t="shared" si="17"/>
        <v>12.61515008371094</v>
      </c>
      <c r="AM52" s="298">
        <f>+AI52+AM51</f>
        <v>195.09305039999975</v>
      </c>
      <c r="AN52" s="356">
        <f>+AJ52+AN51</f>
        <v>-430.19399999999973</v>
      </c>
      <c r="AO52" s="346">
        <f t="shared" si="18"/>
        <v>-625.28705039999954</v>
      </c>
      <c r="AP52" s="366">
        <f t="shared" si="19"/>
        <v>-2.2050708578187277</v>
      </c>
      <c r="AQ52" s="298">
        <f>+AM52+AQ51</f>
        <v>426.81105039999971</v>
      </c>
      <c r="AR52" s="356">
        <f>+AN52+AR51</f>
        <v>-215.97899999999981</v>
      </c>
      <c r="AS52" s="346">
        <f t="shared" si="20"/>
        <v>-642.79005039999947</v>
      </c>
      <c r="AT52" s="366">
        <f t="shared" si="21"/>
        <v>-0.50602954116953658</v>
      </c>
      <c r="AU52" s="298">
        <f>+AQ52+AU51</f>
        <v>690.0880503999997</v>
      </c>
      <c r="AV52" s="356">
        <f>+AR52+AV51</f>
        <v>110.85500000000002</v>
      </c>
      <c r="AW52" s="346">
        <f t="shared" si="22"/>
        <v>-579.23305039999968</v>
      </c>
      <c r="AX52" s="366">
        <f t="shared" si="23"/>
        <v>0.16063892127351648</v>
      </c>
      <c r="AY52" s="9"/>
      <c r="AZ52" s="431"/>
      <c r="BA52" s="299"/>
      <c r="BB52" s="336"/>
    </row>
    <row r="53" spans="1:54" s="155" customFormat="1">
      <c r="A53" s="155" t="s">
        <v>135</v>
      </c>
      <c r="C53" s="413">
        <f>+収支計画!G58/1000</f>
        <v>0</v>
      </c>
      <c r="D53" s="432">
        <f>+PL推移!D52</f>
        <v>0</v>
      </c>
      <c r="E53" s="311">
        <f t="shared" ref="E53" si="115">+D53-C53</f>
        <v>0</v>
      </c>
      <c r="F53" s="329" t="str">
        <f t="shared" si="9"/>
        <v>-</v>
      </c>
      <c r="G53" s="422">
        <f>+収支計画!H58/1000</f>
        <v>1.782</v>
      </c>
      <c r="H53" s="432">
        <f>+PL推移!F52</f>
        <v>1.782</v>
      </c>
      <c r="I53" s="311">
        <f t="shared" ref="I53:I54" si="116">+H53-G53</f>
        <v>0</v>
      </c>
      <c r="J53" s="367">
        <f t="shared" si="10"/>
        <v>1</v>
      </c>
      <c r="K53" s="310">
        <f>+収支計画!I58/1000</f>
        <v>0</v>
      </c>
      <c r="L53" s="515">
        <f>+PL推移!H52</f>
        <v>1.1870000000000001</v>
      </c>
      <c r="M53" s="347">
        <f t="shared" ref="M53:M54" si="117">+L53-K53</f>
        <v>1.1870000000000001</v>
      </c>
      <c r="N53" s="329" t="str">
        <f t="shared" si="11"/>
        <v>-</v>
      </c>
      <c r="O53" s="310">
        <f>+収支計画!J58/1000</f>
        <v>0</v>
      </c>
      <c r="P53" s="515">
        <f>+PL推移!J52</f>
        <v>0</v>
      </c>
      <c r="Q53" s="347">
        <f t="shared" ref="Q53:Q54" si="118">+P53-O53</f>
        <v>0</v>
      </c>
      <c r="R53" s="329" t="str">
        <f t="shared" si="12"/>
        <v>-</v>
      </c>
      <c r="S53" s="310">
        <f>+収支計画!K58/1000</f>
        <v>0</v>
      </c>
      <c r="T53" s="515">
        <f>+PL推移!L52</f>
        <v>0</v>
      </c>
      <c r="U53" s="347">
        <f t="shared" ref="U53:U54" si="119">+T53-S53</f>
        <v>0</v>
      </c>
      <c r="V53" s="329" t="str">
        <f t="shared" si="13"/>
        <v>-</v>
      </c>
      <c r="W53" s="310">
        <f>+収支計画!AA65/1000</f>
        <v>0</v>
      </c>
      <c r="X53" s="515">
        <f>+PL推移!N52</f>
        <v>0</v>
      </c>
      <c r="Y53" s="347">
        <f t="shared" ref="Y53:Y54" si="120">+X53-W53</f>
        <v>0</v>
      </c>
      <c r="Z53" s="329" t="str">
        <f t="shared" si="14"/>
        <v>-</v>
      </c>
      <c r="AA53" s="310">
        <f>+収支計画!AE65/1000</f>
        <v>0</v>
      </c>
      <c r="AB53" s="357">
        <f>+PL推移!P52</f>
        <v>0</v>
      </c>
      <c r="AC53" s="347">
        <f t="shared" ref="AC53:AC54" si="121">+AB53-AA53</f>
        <v>0</v>
      </c>
      <c r="AD53" s="329" t="str">
        <f t="shared" si="15"/>
        <v>-</v>
      </c>
      <c r="AE53" s="310">
        <f>+収支計画!AI65/1000</f>
        <v>0</v>
      </c>
      <c r="AF53" s="357">
        <f>+PL推移!R52</f>
        <v>0.86599999999999999</v>
      </c>
      <c r="AG53" s="347">
        <f t="shared" ref="AG53:AG54" si="122">+AF53-AE53</f>
        <v>0.86599999999999999</v>
      </c>
      <c r="AH53" s="329" t="str">
        <f t="shared" si="16"/>
        <v>-</v>
      </c>
      <c r="AI53" s="310">
        <f>+収支計画!AM65/1000</f>
        <v>0</v>
      </c>
      <c r="AJ53" s="357">
        <f>+PL推移!T52</f>
        <v>0.52</v>
      </c>
      <c r="AK53" s="347">
        <f t="shared" ref="AK53:AK54" si="123">+AJ53-AI53</f>
        <v>0.52</v>
      </c>
      <c r="AL53" s="367" t="str">
        <f t="shared" si="17"/>
        <v>-</v>
      </c>
      <c r="AM53" s="310">
        <f>+収支計画!AQ65/1000</f>
        <v>0</v>
      </c>
      <c r="AN53" s="357">
        <f>+PL推移!V52</f>
        <v>0</v>
      </c>
      <c r="AO53" s="347">
        <f t="shared" si="18"/>
        <v>0</v>
      </c>
      <c r="AP53" s="367" t="str">
        <f t="shared" si="19"/>
        <v>-</v>
      </c>
      <c r="AQ53" s="310">
        <f>+収支計画!AG65/1000</f>
        <v>0</v>
      </c>
      <c r="AR53" s="357">
        <f>+PL推移!X52</f>
        <v>0</v>
      </c>
      <c r="AS53" s="347">
        <f t="shared" si="20"/>
        <v>0</v>
      </c>
      <c r="AT53" s="367" t="str">
        <f t="shared" si="21"/>
        <v>-</v>
      </c>
      <c r="AU53" s="310">
        <f>+収支計画!AI65/1000</f>
        <v>0</v>
      </c>
      <c r="AV53" s="357">
        <f>+PL推移!Z52</f>
        <v>0.23899999999999999</v>
      </c>
      <c r="AW53" s="347">
        <f t="shared" si="22"/>
        <v>0.23899999999999999</v>
      </c>
      <c r="AX53" s="367" t="str">
        <f t="shared" si="23"/>
        <v>-</v>
      </c>
      <c r="AY53" s="413">
        <f t="shared" ref="AY53:AY55" si="124">+C53+G53+K53+O53+S53+W53+AA53+AE53+AI53+AM53+AQ53+AU53</f>
        <v>1.782</v>
      </c>
      <c r="AZ53" s="432">
        <f t="shared" ref="AZ53:AZ55" si="125">+D53+H53+L53+P53+T53+X53+AB53+AF53+AJ53+AN53+AR53+AV53</f>
        <v>4.5940000000000003</v>
      </c>
      <c r="BA53" s="311">
        <f t="shared" ref="BA53:BA55" si="126">+AZ53-AY53</f>
        <v>2.8120000000000003</v>
      </c>
      <c r="BB53" s="337">
        <f t="shared" si="27"/>
        <v>2.5780022446689115</v>
      </c>
    </row>
    <row r="54" spans="1:54" s="155" customFormat="1">
      <c r="A54" s="155" t="s">
        <v>136</v>
      </c>
      <c r="C54" s="413">
        <f>+収支計画!G59/1000</f>
        <v>8.4930000000000003</v>
      </c>
      <c r="D54" s="432">
        <f>+PL推移!D53</f>
        <v>8.4930000000000003</v>
      </c>
      <c r="E54" s="311">
        <f t="shared" ref="E54" si="127">+D54-C54</f>
        <v>0</v>
      </c>
      <c r="F54" s="329">
        <f t="shared" si="9"/>
        <v>1</v>
      </c>
      <c r="G54" s="422">
        <f>+収支計画!H59/1000</f>
        <v>8.4930000000000003</v>
      </c>
      <c r="H54" s="432">
        <f>+PL推移!F53</f>
        <v>8.4930000000000003</v>
      </c>
      <c r="I54" s="311">
        <f t="shared" si="116"/>
        <v>0</v>
      </c>
      <c r="J54" s="367">
        <f t="shared" si="10"/>
        <v>1</v>
      </c>
      <c r="K54" s="310">
        <f>+収支計画!I59/1000</f>
        <v>8</v>
      </c>
      <c r="L54" s="515">
        <f>+PL推移!H53</f>
        <v>8.2189999999999994</v>
      </c>
      <c r="M54" s="347">
        <f t="shared" si="117"/>
        <v>0.21899999999999942</v>
      </c>
      <c r="N54" s="329">
        <f t="shared" si="11"/>
        <v>1.0273749999999999</v>
      </c>
      <c r="O54" s="310">
        <f>+収支計画!J59/1000</f>
        <v>8</v>
      </c>
      <c r="P54" s="515">
        <f>+PL推移!J53</f>
        <v>8.4930000000000003</v>
      </c>
      <c r="Q54" s="347">
        <f t="shared" si="118"/>
        <v>0.49300000000000033</v>
      </c>
      <c r="R54" s="329">
        <f t="shared" si="12"/>
        <v>1.061625</v>
      </c>
      <c r="S54" s="310">
        <f>+収支計画!K59/1000</f>
        <v>8</v>
      </c>
      <c r="T54" s="515">
        <f>+PL推移!L53</f>
        <v>8.2189999999999994</v>
      </c>
      <c r="U54" s="347">
        <f t="shared" si="119"/>
        <v>0.21899999999999942</v>
      </c>
      <c r="V54" s="329">
        <f t="shared" si="13"/>
        <v>1.0273749999999999</v>
      </c>
      <c r="W54" s="310">
        <f>+収支計画!Y66/1000</f>
        <v>0</v>
      </c>
      <c r="X54" s="515">
        <f>+PL推移!N53</f>
        <v>8.4930000000000003</v>
      </c>
      <c r="Y54" s="347">
        <f t="shared" si="120"/>
        <v>8.4930000000000003</v>
      </c>
      <c r="Z54" s="329" t="str">
        <f t="shared" si="14"/>
        <v>-</v>
      </c>
      <c r="AA54" s="310">
        <f>+収支計画!Y66/1000</f>
        <v>0</v>
      </c>
      <c r="AB54" s="357">
        <f>+PL推移!P53</f>
        <v>8.4930000000000003</v>
      </c>
      <c r="AC54" s="347">
        <f t="shared" si="121"/>
        <v>8.4930000000000003</v>
      </c>
      <c r="AD54" s="329" t="str">
        <f t="shared" si="15"/>
        <v>-</v>
      </c>
      <c r="AE54" s="310">
        <f>+収支計画!AA66/1000</f>
        <v>0</v>
      </c>
      <c r="AF54" s="357">
        <f>+PL推移!R53</f>
        <v>7.6710000000000003</v>
      </c>
      <c r="AG54" s="347">
        <f t="shared" si="122"/>
        <v>7.6710000000000003</v>
      </c>
      <c r="AH54" s="329" t="str">
        <f t="shared" si="16"/>
        <v>-</v>
      </c>
      <c r="AI54" s="310">
        <f>+収支計画!O59/1000</f>
        <v>8</v>
      </c>
      <c r="AJ54" s="357">
        <f>+PL推移!T53</f>
        <v>8.4930000000000003</v>
      </c>
      <c r="AK54" s="347">
        <f t="shared" si="123"/>
        <v>0.49300000000000033</v>
      </c>
      <c r="AL54" s="367">
        <f t="shared" si="17"/>
        <v>1.061625</v>
      </c>
      <c r="AM54" s="310">
        <f>+収支計画!AI66/1000</f>
        <v>0</v>
      </c>
      <c r="AN54" s="357">
        <f>+PL推移!V53</f>
        <v>8.2189999999999994</v>
      </c>
      <c r="AO54" s="347">
        <f t="shared" si="18"/>
        <v>8.2189999999999994</v>
      </c>
      <c r="AP54" s="367" t="str">
        <f t="shared" si="19"/>
        <v>-</v>
      </c>
      <c r="AQ54" s="310">
        <f>+収支計画!AG66/1000</f>
        <v>0</v>
      </c>
      <c r="AR54" s="357">
        <f>+PL推移!X53</f>
        <v>8.4930000000000003</v>
      </c>
      <c r="AS54" s="347">
        <f t="shared" si="20"/>
        <v>8.4930000000000003</v>
      </c>
      <c r="AT54" s="367" t="str">
        <f t="shared" si="21"/>
        <v>-</v>
      </c>
      <c r="AU54" s="310">
        <f>+収支計画!AI66/1000</f>
        <v>0</v>
      </c>
      <c r="AV54" s="357">
        <f>+PL推移!Z53</f>
        <v>8.2189999999999994</v>
      </c>
      <c r="AW54" s="347">
        <f t="shared" si="22"/>
        <v>8.2189999999999994</v>
      </c>
      <c r="AX54" s="367" t="str">
        <f t="shared" si="23"/>
        <v>-</v>
      </c>
      <c r="AY54" s="413">
        <f t="shared" si="124"/>
        <v>48.986000000000004</v>
      </c>
      <c r="AZ54" s="432">
        <f t="shared" si="125"/>
        <v>99.99799999999999</v>
      </c>
      <c r="BA54" s="311">
        <f t="shared" si="126"/>
        <v>51.011999999999986</v>
      </c>
      <c r="BB54" s="337">
        <f t="shared" si="27"/>
        <v>2.0413587555628134</v>
      </c>
    </row>
    <row r="55" spans="1:54" s="50" customFormat="1" ht="16.899999999999999" thickBot="1">
      <c r="A55" s="50" t="s">
        <v>137</v>
      </c>
      <c r="C55" s="412">
        <f>+C51+C53-C54</f>
        <v>-283.86300000000023</v>
      </c>
      <c r="D55" s="430">
        <f t="shared" ref="D55:E55" si="128">+D51+D53-D54</f>
        <v>-283.86300000000011</v>
      </c>
      <c r="E55" s="315">
        <f t="shared" si="128"/>
        <v>0</v>
      </c>
      <c r="F55" s="327">
        <f t="shared" si="9"/>
        <v>0.99999999999999956</v>
      </c>
      <c r="G55" s="421">
        <f>+G51+G53-G54</f>
        <v>-14.792000000000018</v>
      </c>
      <c r="H55" s="430">
        <f>+PL推移!F54</f>
        <v>-14.792000000000018</v>
      </c>
      <c r="I55" s="315">
        <f t="shared" ref="I55" si="129">+I51+I53-I54</f>
        <v>0</v>
      </c>
      <c r="J55" s="365">
        <f t="shared" si="10"/>
        <v>1</v>
      </c>
      <c r="K55" s="314">
        <f>+K51+K53-K54</f>
        <v>-76.253720799999996</v>
      </c>
      <c r="L55" s="513">
        <f>+PL推移!H54</f>
        <v>-89.776000000000025</v>
      </c>
      <c r="M55" s="345">
        <f t="shared" ref="M55" si="130">+M51+M53-M54</f>
        <v>-13.522279200000046</v>
      </c>
      <c r="N55" s="327">
        <f t="shared" si="11"/>
        <v>1.1773327131861089</v>
      </c>
      <c r="O55" s="314">
        <f>+O51+O53-O54</f>
        <v>-1.6347015999999712</v>
      </c>
      <c r="P55" s="513">
        <f>+PL推移!J54</f>
        <v>-161.80399999999992</v>
      </c>
      <c r="Q55" s="345">
        <f t="shared" ref="Q55" si="131">+Q51+Q53-Q54</f>
        <v>-160.16929840000006</v>
      </c>
      <c r="R55" s="327">
        <f t="shared" si="12"/>
        <v>98.980755876181178</v>
      </c>
      <c r="S55" s="314">
        <f>+S51+S53-S54</f>
        <v>-24.325191999999902</v>
      </c>
      <c r="T55" s="513">
        <f>+PL推移!L54</f>
        <v>-50.88</v>
      </c>
      <c r="U55" s="345">
        <f t="shared" ref="U55" si="132">+U51+U53-U54</f>
        <v>-26.554808000000115</v>
      </c>
      <c r="V55" s="327">
        <f t="shared" si="13"/>
        <v>2.0916587215426792</v>
      </c>
      <c r="W55" s="314">
        <f>+W51+W53-W54</f>
        <v>6.3652984000000288</v>
      </c>
      <c r="X55" s="513">
        <f>+PL推移!N54</f>
        <v>-135.39599999999979</v>
      </c>
      <c r="Y55" s="345">
        <f t="shared" ref="Y55" si="133">+Y51+Y53-Y54</f>
        <v>-168.31129839999994</v>
      </c>
      <c r="Z55" s="327">
        <f t="shared" si="14"/>
        <v>-21.2709587974696</v>
      </c>
      <c r="AA55" s="314">
        <f>+AA51+AA53-AA54</f>
        <v>95.721788799999956</v>
      </c>
      <c r="AB55" s="355">
        <f>+AB51+AB53-AB54</f>
        <v>-109.56300000000005</v>
      </c>
      <c r="AC55" s="345">
        <f t="shared" ref="AC55" si="134">+AC51+AC53-AC54</f>
        <v>-231.83478879999998</v>
      </c>
      <c r="AD55" s="327">
        <f t="shared" si="15"/>
        <v>-1.1445983341255748</v>
      </c>
      <c r="AE55" s="314">
        <f>+AE51+AE53-AE54</f>
        <v>95.721788799999956</v>
      </c>
      <c r="AF55" s="355">
        <f>+AF51+AF53-AF54</f>
        <v>-65.053999999999917</v>
      </c>
      <c r="AG55" s="345">
        <f t="shared" ref="AG55" si="135">+AG51+AG53-AG54</f>
        <v>-237.32578879999991</v>
      </c>
      <c r="AH55" s="327">
        <f t="shared" si="16"/>
        <v>-0.67961538136236699</v>
      </c>
      <c r="AI55" s="314">
        <f>+AI51+AI53-AI54</f>
        <v>87.721788799999956</v>
      </c>
      <c r="AJ55" s="355">
        <f>+AJ51+AJ53-AJ54</f>
        <v>-19.103999999999857</v>
      </c>
      <c r="AK55" s="345">
        <f t="shared" ref="AK55" si="136">+AK51+AK53-AK54</f>
        <v>-133.37578879999992</v>
      </c>
      <c r="AL55" s="365">
        <f t="shared" si="17"/>
        <v>-0.21777941673710907</v>
      </c>
      <c r="AM55" s="314">
        <f>+AM51+AM53-AM54</f>
        <v>263.22699999999998</v>
      </c>
      <c r="AN55" s="355">
        <f>+AN51+AN53-AN54</f>
        <v>421.10700000000003</v>
      </c>
      <c r="AO55" s="345">
        <f t="shared" si="18"/>
        <v>157.88000000000005</v>
      </c>
      <c r="AP55" s="365">
        <f t="shared" si="19"/>
        <v>1.5997864960661332</v>
      </c>
      <c r="AQ55" s="314">
        <f>+AQ51+AQ53-AQ54</f>
        <v>231.71799999999996</v>
      </c>
      <c r="AR55" s="355">
        <f>+AR51+AR53-AR54</f>
        <v>205.72199999999992</v>
      </c>
      <c r="AS55" s="345">
        <f t="shared" si="20"/>
        <v>-25.996000000000038</v>
      </c>
      <c r="AT55" s="365">
        <f t="shared" si="21"/>
        <v>0.88781190930354981</v>
      </c>
      <c r="AU55" s="314">
        <f>+AU51+AU53-AU54</f>
        <v>263.27700000000004</v>
      </c>
      <c r="AV55" s="355">
        <f>+AV51+AV53-AV54</f>
        <v>318.85399999999981</v>
      </c>
      <c r="AW55" s="345">
        <f t="shared" si="22"/>
        <v>55.576999999999771</v>
      </c>
      <c r="AX55" s="365">
        <f t="shared" si="23"/>
        <v>1.2110970574717874</v>
      </c>
      <c r="AY55" s="412">
        <f t="shared" si="124"/>
        <v>642.88405039999975</v>
      </c>
      <c r="AZ55" s="430">
        <f t="shared" si="125"/>
        <v>15.451000000000022</v>
      </c>
      <c r="BA55" s="315">
        <f t="shared" si="126"/>
        <v>-627.43305039999973</v>
      </c>
      <c r="BB55" s="335">
        <f t="shared" si="27"/>
        <v>2.4033882922412642E-2</v>
      </c>
    </row>
    <row r="56" spans="1:54" ht="16.899999999999999" thickTop="1">
      <c r="B56" s="1" t="s">
        <v>179</v>
      </c>
      <c r="C56" s="9">
        <f>+C55</f>
        <v>-283.86300000000023</v>
      </c>
      <c r="D56" s="431">
        <f t="shared" ref="D56:E56" si="137">+D55</f>
        <v>-283.86300000000011</v>
      </c>
      <c r="E56" s="299">
        <f t="shared" si="137"/>
        <v>0</v>
      </c>
      <c r="F56" s="328">
        <f t="shared" si="9"/>
        <v>0.99999999999999956</v>
      </c>
      <c r="G56" s="10">
        <f>+C56+G55</f>
        <v>-298.65500000000026</v>
      </c>
      <c r="H56" s="431">
        <f>+D56+H55</f>
        <v>-298.65500000000014</v>
      </c>
      <c r="I56" s="299">
        <f>+H56-G56</f>
        <v>0</v>
      </c>
      <c r="J56" s="366">
        <f t="shared" si="10"/>
        <v>0.99999999999999967</v>
      </c>
      <c r="K56" s="298">
        <f>+G56+K55</f>
        <v>-374.90872080000025</v>
      </c>
      <c r="L56" s="514">
        <f>+H56+L55</f>
        <v>-388.43100000000015</v>
      </c>
      <c r="M56" s="346">
        <f>+L56-K56</f>
        <v>-13.5222791999999</v>
      </c>
      <c r="N56" s="328">
        <f t="shared" si="11"/>
        <v>1.0360681906015559</v>
      </c>
      <c r="O56" s="298">
        <f>+K56+O55</f>
        <v>-376.54342240000022</v>
      </c>
      <c r="P56" s="514">
        <f>+PL推移!J55</f>
        <v>-550.23500000000013</v>
      </c>
      <c r="Q56" s="346">
        <f>+P56-O56</f>
        <v>-173.6915775999999</v>
      </c>
      <c r="R56" s="328">
        <f t="shared" si="12"/>
        <v>1.4612790113101171</v>
      </c>
      <c r="S56" s="298">
        <f>+O56+S55</f>
        <v>-400.86861440000013</v>
      </c>
      <c r="T56" s="514">
        <f>+P56+T55</f>
        <v>-601.11500000000012</v>
      </c>
      <c r="U56" s="346">
        <f>+T56-S56</f>
        <v>-200.2463856</v>
      </c>
      <c r="V56" s="328">
        <f t="shared" si="13"/>
        <v>1.4995312139857062</v>
      </c>
      <c r="W56" s="298">
        <f>+S56+W55</f>
        <v>-394.5033160000001</v>
      </c>
      <c r="X56" s="514">
        <f>+T56+X55</f>
        <v>-736.51099999999997</v>
      </c>
      <c r="Y56" s="346">
        <f>+X56-W56</f>
        <v>-342.00768399999987</v>
      </c>
      <c r="Z56" s="328">
        <f t="shared" si="14"/>
        <v>1.866932342844996</v>
      </c>
      <c r="AA56" s="298">
        <f>+W56+AA55</f>
        <v>-298.78152720000014</v>
      </c>
      <c r="AB56" s="356">
        <f>+X56+AB55</f>
        <v>-846.07400000000007</v>
      </c>
      <c r="AC56" s="346">
        <f>+AB56-AA56</f>
        <v>-547.29247279999993</v>
      </c>
      <c r="AD56" s="328">
        <f t="shared" si="15"/>
        <v>2.8317480264891008</v>
      </c>
      <c r="AE56" s="298">
        <f>+AA56+AE55</f>
        <v>-203.05973840000019</v>
      </c>
      <c r="AF56" s="356">
        <f>+AB56+AF55</f>
        <v>-911.12799999999993</v>
      </c>
      <c r="AG56" s="346">
        <f>+AF56-AE56</f>
        <v>-708.06826159999969</v>
      </c>
      <c r="AH56" s="328">
        <f t="shared" si="16"/>
        <v>4.4869948478176465</v>
      </c>
      <c r="AI56" s="298">
        <f>+AE56+AI55</f>
        <v>-115.33794960000023</v>
      </c>
      <c r="AJ56" s="356">
        <f>+AF56+AJ55</f>
        <v>-930.23199999999974</v>
      </c>
      <c r="AK56" s="346">
        <f>+AJ56-AI56</f>
        <v>-814.89405039999951</v>
      </c>
      <c r="AL56" s="366">
        <f t="shared" si="17"/>
        <v>8.0652725596918184</v>
      </c>
      <c r="AM56" s="298">
        <f>+AI56+AM55</f>
        <v>147.88905039999975</v>
      </c>
      <c r="AN56" s="356">
        <f>+AJ56+AN55</f>
        <v>-509.12499999999972</v>
      </c>
      <c r="AO56" s="346">
        <f>+AN56-AM56</f>
        <v>-657.01405039999941</v>
      </c>
      <c r="AP56" s="366">
        <f t="shared" si="19"/>
        <v>-3.4426145723632327</v>
      </c>
      <c r="AQ56" s="298">
        <f>+AM56+AQ55</f>
        <v>379.60705039999971</v>
      </c>
      <c r="AR56" s="356">
        <f>+AN56+AR55</f>
        <v>-303.40299999999979</v>
      </c>
      <c r="AS56" s="346">
        <f>+AR56-AQ56</f>
        <v>-683.0100503999995</v>
      </c>
      <c r="AT56" s="366">
        <f t="shared" si="21"/>
        <v>-0.79925543975091573</v>
      </c>
      <c r="AU56" s="298">
        <f>+AQ56+AU55</f>
        <v>642.88405039999975</v>
      </c>
      <c r="AV56" s="356">
        <f>+AR56+AV55</f>
        <v>15.451000000000022</v>
      </c>
      <c r="AW56" s="346">
        <f>+AV56-AU56</f>
        <v>-627.43305039999973</v>
      </c>
      <c r="AX56" s="366">
        <f t="shared" si="23"/>
        <v>2.4033882922412642E-2</v>
      </c>
      <c r="AY56" s="9"/>
      <c r="AZ56" s="431"/>
      <c r="BA56" s="299"/>
      <c r="BB56" s="336" t="str">
        <f t="shared" si="27"/>
        <v>-</v>
      </c>
    </row>
    <row r="57" spans="1:54" ht="16.899999999999999" thickBot="1"/>
    <row r="58" spans="1:54">
      <c r="W58" s="11"/>
      <c r="X58" s="11"/>
      <c r="Y58" s="11"/>
      <c r="AA58" s="11"/>
      <c r="AB58" s="11"/>
      <c r="AC58" s="11"/>
      <c r="AE58" s="11"/>
      <c r="AF58" s="11"/>
      <c r="AG58" s="11"/>
      <c r="AI58" s="11"/>
      <c r="AJ58" s="11"/>
      <c r="AK58" s="11"/>
      <c r="AM58" s="11"/>
      <c r="AN58" s="11"/>
      <c r="AO58" s="11"/>
      <c r="AU58" s="386" t="s">
        <v>333</v>
      </c>
      <c r="AV58" s="387" t="s">
        <v>383</v>
      </c>
      <c r="AW58" s="387"/>
      <c r="AX58" s="388">
        <v>-27</v>
      </c>
    </row>
    <row r="59" spans="1:54">
      <c r="W59" s="11"/>
      <c r="X59" s="11"/>
      <c r="Y59" s="11"/>
      <c r="AA59" s="11"/>
      <c r="AB59" s="11"/>
      <c r="AC59" s="11"/>
      <c r="AE59" s="11"/>
      <c r="AF59" s="11"/>
      <c r="AG59" s="11"/>
      <c r="AI59" s="11"/>
      <c r="AJ59" s="11"/>
      <c r="AK59" s="11"/>
      <c r="AM59" s="11"/>
      <c r="AN59" s="11"/>
      <c r="AO59" s="11"/>
      <c r="AU59" s="389"/>
      <c r="AV59" s="390"/>
      <c r="AW59" s="390"/>
      <c r="AX59" s="391"/>
    </row>
    <row r="60" spans="1:54" ht="16.899999999999999" thickBot="1">
      <c r="AU60" s="392"/>
      <c r="AV60" s="393" t="s">
        <v>384</v>
      </c>
      <c r="AW60" s="393"/>
      <c r="AX60" s="394">
        <f>+AZ55+AX58+AX59</f>
        <v>-11.548999999999978</v>
      </c>
    </row>
    <row r="63" spans="1:54">
      <c r="AX63" s="395"/>
    </row>
    <row r="64" spans="1:54">
      <c r="AX64" s="395"/>
    </row>
  </sheetData>
  <mergeCells count="14">
    <mergeCell ref="C9:F9"/>
    <mergeCell ref="G9:J9"/>
    <mergeCell ref="K9:N9"/>
    <mergeCell ref="A9:B10"/>
    <mergeCell ref="AY9:BB9"/>
    <mergeCell ref="O9:R9"/>
    <mergeCell ref="S9:V9"/>
    <mergeCell ref="W9:Z9"/>
    <mergeCell ref="AA9:AD9"/>
    <mergeCell ref="AE9:AH9"/>
    <mergeCell ref="AI9:AL9"/>
    <mergeCell ref="AM9:AP9"/>
    <mergeCell ref="AQ9:AT9"/>
    <mergeCell ref="AU9:AX9"/>
  </mergeCells>
  <phoneticPr fontId="44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/>
  </sheetPr>
  <dimension ref="B1:S47"/>
  <sheetViews>
    <sheetView topLeftCell="B1" workbookViewId="0">
      <pane xSplit="3" ySplit="4" topLeftCell="H5" activePane="bottomRight" state="frozen"/>
      <selection activeCell="B1" sqref="B1"/>
      <selection pane="topRight" activeCell="E1" sqref="E1"/>
      <selection pane="bottomLeft" activeCell="B5" sqref="B5"/>
      <selection pane="bottomRight" activeCell="T28" sqref="T28"/>
    </sheetView>
  </sheetViews>
  <sheetFormatPr defaultColWidth="9" defaultRowHeight="16.5" outlineLevelCol="1"/>
  <cols>
    <col min="1" max="1" width="9" style="1"/>
    <col min="2" max="2" width="6.625" style="1" customWidth="1"/>
    <col min="3" max="3" width="16.625" style="1" customWidth="1"/>
    <col min="4" max="4" width="10.625" style="1" customWidth="1"/>
    <col min="5" max="15" width="14.625" style="34" customWidth="1"/>
    <col min="16" max="16" width="14.625" style="34" customWidth="1" outlineLevel="1"/>
    <col min="17" max="16384" width="9" style="1"/>
  </cols>
  <sheetData>
    <row r="1" spans="2:17">
      <c r="E1" s="39" t="s">
        <v>172</v>
      </c>
      <c r="F1" s="40" t="s">
        <v>173</v>
      </c>
      <c r="G1" s="41" t="s">
        <v>174</v>
      </c>
      <c r="H1" s="42"/>
      <c r="I1" s="42"/>
      <c r="J1" s="42"/>
      <c r="K1" s="42"/>
      <c r="L1" s="42"/>
      <c r="M1" s="42"/>
      <c r="N1" s="42"/>
      <c r="O1" s="42"/>
      <c r="P1" s="42"/>
    </row>
    <row r="2" spans="2:17" s="45" customFormat="1" ht="17.649999999999999">
      <c r="B2" s="46" t="s">
        <v>148</v>
      </c>
      <c r="E2" s="33" t="str">
        <f>+PL推移!D7</f>
        <v>㈱Ｓクリエイト</v>
      </c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</row>
    <row r="4" spans="2:17" ht="16.899999999999999" thickBot="1">
      <c r="B4" s="48">
        <f>+PL推移!B8</f>
        <v>2025</v>
      </c>
      <c r="C4" s="48" t="s">
        <v>139</v>
      </c>
      <c r="D4" s="24" t="s">
        <v>141</v>
      </c>
      <c r="E4" s="488">
        <f>+月次PL!C1</f>
        <v>7</v>
      </c>
      <c r="F4" s="489">
        <f>+月次PL!D1</f>
        <v>8</v>
      </c>
      <c r="G4" s="489">
        <f>+BS千円!F1</f>
        <v>9</v>
      </c>
      <c r="H4" s="489">
        <f>+BS千円!G1</f>
        <v>10</v>
      </c>
      <c r="I4" s="489">
        <f>+BS千円!H1</f>
        <v>11</v>
      </c>
      <c r="J4" s="489">
        <f>+BS千円!I1</f>
        <v>12</v>
      </c>
      <c r="K4" s="489">
        <f>+BS千円!J1</f>
        <v>1</v>
      </c>
      <c r="L4" s="489">
        <f>+BS千円!K1</f>
        <v>2</v>
      </c>
      <c r="M4" s="489">
        <f>+BS千円!L1</f>
        <v>3</v>
      </c>
      <c r="N4" s="489">
        <f>+BS千円!M1</f>
        <v>4</v>
      </c>
      <c r="O4" s="489">
        <f>+BS千円!N1</f>
        <v>5</v>
      </c>
      <c r="P4" s="489">
        <f>+BS千円!O1</f>
        <v>6</v>
      </c>
    </row>
    <row r="5" spans="2:17" s="45" customFormat="1" ht="16.899999999999999" thickTop="1">
      <c r="B5" s="45" t="s">
        <v>149</v>
      </c>
      <c r="E5" s="87">
        <f t="shared" ref="E5" si="0">+E6-E7+E8-E9-E10-E11+E12+E13</f>
        <v>376.18000000000029</v>
      </c>
      <c r="F5" s="63">
        <f t="shared" ref="F5:P5" si="1">+F6-F7+F8-F9-F10-F11+F12+F13</f>
        <v>-727.16299999999978</v>
      </c>
      <c r="G5" s="63">
        <f t="shared" si="1"/>
        <v>33.103000000000065</v>
      </c>
      <c r="H5" s="63">
        <f t="shared" si="1"/>
        <v>-630.91400000000021</v>
      </c>
      <c r="I5" s="63">
        <f t="shared" si="1"/>
        <v>132.7170000000007</v>
      </c>
      <c r="J5" s="63">
        <f t="shared" si="1"/>
        <v>-44.76900000000046</v>
      </c>
      <c r="K5" s="63">
        <f t="shared" si="1"/>
        <v>-270.90500000000048</v>
      </c>
      <c r="L5" s="63">
        <f t="shared" si="1"/>
        <v>1056.3300000000006</v>
      </c>
      <c r="M5" s="63">
        <f t="shared" si="1"/>
        <v>3195.6709999999994</v>
      </c>
      <c r="N5" s="63">
        <f t="shared" si="1"/>
        <v>-403.25499999999977</v>
      </c>
      <c r="O5" s="63">
        <f t="shared" si="1"/>
        <v>-345.00400000000042</v>
      </c>
      <c r="P5" s="63">
        <f t="shared" si="1"/>
        <v>-589.45100000000002</v>
      </c>
    </row>
    <row r="6" spans="2:17">
      <c r="C6" s="8" t="s">
        <v>150</v>
      </c>
      <c r="D6" s="25" t="s">
        <v>157</v>
      </c>
      <c r="E6" s="88">
        <f>+月次PL!C63/1000</f>
        <v>-283.863</v>
      </c>
      <c r="F6" s="64">
        <f>+月次PL!D63/1000</f>
        <v>-14.792</v>
      </c>
      <c r="G6" s="64">
        <f>+月次PL!E63/1000</f>
        <v>-89.775999999999996</v>
      </c>
      <c r="H6" s="64">
        <f>+月次PL!F63/1000</f>
        <v>-161.804</v>
      </c>
      <c r="I6" s="64">
        <f>+月次PL!G63/1000</f>
        <v>-50.88</v>
      </c>
      <c r="J6" s="64">
        <f>+月次PL!H63/1000</f>
        <v>-135.39599999999999</v>
      </c>
      <c r="K6" s="64">
        <f>+月次PL!I63/1000</f>
        <v>-109.563</v>
      </c>
      <c r="L6" s="64">
        <f>+月次PL!J63/1000</f>
        <v>-65.054000000000002</v>
      </c>
      <c r="M6" s="64">
        <f>+月次PL!K63/1000</f>
        <v>-19.103999999999999</v>
      </c>
      <c r="N6" s="64">
        <f>+月次PL!L63/1000</f>
        <v>421.10700000000003</v>
      </c>
      <c r="O6" s="64">
        <f>+月次PL!M63/1000</f>
        <v>205.72200000000001</v>
      </c>
      <c r="P6" s="64">
        <f>+月次PL!N63/1000</f>
        <v>318.85399999999998</v>
      </c>
    </row>
    <row r="7" spans="2:17">
      <c r="C7" s="5" t="s">
        <v>151</v>
      </c>
      <c r="D7" s="26" t="s">
        <v>159</v>
      </c>
      <c r="E7" s="43">
        <f>+月次PL!C64/1000+BS千円!C59+BS千円!C60-BS千円!D59-BS千円!D60</f>
        <v>0</v>
      </c>
      <c r="F7" s="44">
        <f>+月次PL!D64/1000+BS千円!D59+BS千円!D60-BS千円!E59-BS千円!E60</f>
        <v>205.6</v>
      </c>
      <c r="G7" s="44">
        <f>+月次PL!E64/1000+BS千円!E59+BS千円!E60-BS千円!F59-BS千円!F60</f>
        <v>0</v>
      </c>
      <c r="H7" s="44">
        <v>0</v>
      </c>
      <c r="I7" s="44">
        <v>0</v>
      </c>
      <c r="J7" s="44">
        <v>0</v>
      </c>
      <c r="K7" s="44">
        <v>0</v>
      </c>
      <c r="L7" s="44">
        <v>0</v>
      </c>
      <c r="M7" s="44">
        <v>0</v>
      </c>
      <c r="N7" s="44">
        <v>0</v>
      </c>
      <c r="O7" s="44">
        <v>0</v>
      </c>
      <c r="P7" s="44">
        <v>0</v>
      </c>
    </row>
    <row r="8" spans="2:17">
      <c r="C8" s="5" t="s">
        <v>134</v>
      </c>
      <c r="D8" s="26" t="s">
        <v>157</v>
      </c>
      <c r="E8" s="43">
        <f>+月次PL!C41/1000</f>
        <v>26.5</v>
      </c>
      <c r="F8" s="44">
        <f>+月次PL!D41/1000</f>
        <v>26.5</v>
      </c>
      <c r="G8" s="44">
        <f>+月次PL!E41/1000</f>
        <v>26.5</v>
      </c>
      <c r="H8" s="44">
        <f>+月次PL!F41/1000</f>
        <v>26.5</v>
      </c>
      <c r="I8" s="44">
        <f>+月次PL!G41/1000</f>
        <v>26.5</v>
      </c>
      <c r="J8" s="44">
        <f>+月次PL!H41/1000</f>
        <v>26.5</v>
      </c>
      <c r="K8" s="44">
        <f>+月次PL!I41/1000</f>
        <v>26.5</v>
      </c>
      <c r="L8" s="44">
        <f>+月次PL!J41/1000</f>
        <v>26.5</v>
      </c>
      <c r="M8" s="44">
        <f>+月次PL!K41/1000</f>
        <v>26.5</v>
      </c>
      <c r="N8" s="44">
        <f>+月次PL!L41/1000</f>
        <v>26.5</v>
      </c>
      <c r="O8" s="44">
        <f>+月次PL!M41/1000</f>
        <v>26.5</v>
      </c>
      <c r="P8" s="44">
        <f>+月次PL!N41/1000</f>
        <v>26.5</v>
      </c>
    </row>
    <row r="9" spans="2:17">
      <c r="C9" s="5" t="s">
        <v>152</v>
      </c>
      <c r="D9" s="26" t="s">
        <v>159</v>
      </c>
      <c r="E9" s="43">
        <f>+BS千円!D10-BS千円!C10</f>
        <v>476.11599999999999</v>
      </c>
      <c r="F9" s="44">
        <f>+BS千円!E10-BS千円!D10</f>
        <v>505.82600000000002</v>
      </c>
      <c r="G9" s="44">
        <f>+BS千円!F10-BS千円!E10</f>
        <v>518.82099999999946</v>
      </c>
      <c r="H9" s="44">
        <f>+BS千円!G10-BS千円!F10</f>
        <v>518.84700000000066</v>
      </c>
      <c r="I9" s="44">
        <f>+BS千円!H10-BS千円!G10</f>
        <v>420.79599999999937</v>
      </c>
      <c r="J9" s="44">
        <f>+BS千円!I10-BS千円!H10</f>
        <v>634.63000000000011</v>
      </c>
      <c r="K9" s="44">
        <f>+BS千円!J10-BS千円!I10</f>
        <v>520.34900000000016</v>
      </c>
      <c r="L9" s="44">
        <f>+BS千円!K10-BS千円!J10</f>
        <v>462.77300000000014</v>
      </c>
      <c r="M9" s="44">
        <f>+BS千円!L10-BS千円!K10</f>
        <v>-518.83100000000013</v>
      </c>
      <c r="N9" s="44">
        <f>+BS千円!M10-BS千円!L10</f>
        <v>913.67799999999988</v>
      </c>
      <c r="O9" s="44">
        <f>+BS千円!N10-BS千円!M10</f>
        <v>708.10400000000027</v>
      </c>
      <c r="P9" s="44">
        <f>+BS千円!O10-BS千円!N10</f>
        <v>977.32200000000012</v>
      </c>
    </row>
    <row r="10" spans="2:17">
      <c r="C10" s="5" t="s">
        <v>153</v>
      </c>
      <c r="D10" s="26" t="s">
        <v>159</v>
      </c>
      <c r="E10" s="43">
        <f>+BS千円!D16-BS千円!C16</f>
        <v>0</v>
      </c>
      <c r="F10" s="44">
        <f>+BS千円!E16-BS千円!D16</f>
        <v>0</v>
      </c>
      <c r="G10" s="44">
        <f>+BS千円!F16-BS千円!E16</f>
        <v>0</v>
      </c>
      <c r="H10" s="44">
        <f>+BS千円!G16-BS千円!F16</f>
        <v>0</v>
      </c>
      <c r="I10" s="44">
        <f>+BS千円!H16-BS千円!G16</f>
        <v>0</v>
      </c>
      <c r="J10" s="44">
        <f>+BS千円!I16-BS千円!H16</f>
        <v>0</v>
      </c>
      <c r="K10" s="44">
        <f>+BS千円!J16-BS千円!I16</f>
        <v>0</v>
      </c>
      <c r="L10" s="44">
        <f>+BS千円!K16-BS千円!J16</f>
        <v>0</v>
      </c>
      <c r="M10" s="44">
        <f>+BS千円!L16-BS千円!K16</f>
        <v>0</v>
      </c>
      <c r="N10" s="44">
        <f>+BS千円!M16-BS千円!L16</f>
        <v>0</v>
      </c>
      <c r="O10" s="44">
        <f>+BS千円!N16-BS千円!M16</f>
        <v>0</v>
      </c>
      <c r="P10" s="44">
        <f>+BS千円!O16-BS千円!N16</f>
        <v>0</v>
      </c>
    </row>
    <row r="11" spans="2:17">
      <c r="C11" s="5" t="s">
        <v>154</v>
      </c>
      <c r="D11" s="26" t="s">
        <v>159</v>
      </c>
      <c r="E11" s="43">
        <f>+BS千円!D23-BS千円!C23-E16</f>
        <v>-947.11300000000028</v>
      </c>
      <c r="F11" s="44">
        <f>+BS千円!E23-BS千円!D23-F16</f>
        <v>34.243999999999687</v>
      </c>
      <c r="G11" s="44">
        <f>+BS千円!F23-BS千円!E23-G16</f>
        <v>-463.61799999999948</v>
      </c>
      <c r="H11" s="44">
        <f>+BS千円!G23-BS千円!F23</f>
        <v>49.350999999999658</v>
      </c>
      <c r="I11" s="44">
        <f>+BS千円!H23-BS千円!G23</f>
        <v>-545.58100000000013</v>
      </c>
      <c r="J11" s="44">
        <f>+BS千円!I23-BS千円!H23</f>
        <v>-439.31899999999951</v>
      </c>
      <c r="K11" s="44">
        <f>+BS千円!J23-BS千円!I23</f>
        <v>-508.10999999999967</v>
      </c>
      <c r="L11" s="44">
        <f>+BS千円!K23-BS千円!J23</f>
        <v>-1480.5010000000007</v>
      </c>
      <c r="M11" s="44">
        <f>+BS千円!L23-BS千円!K23</f>
        <v>-2636.8869999999997</v>
      </c>
      <c r="N11" s="44">
        <f>+BS千円!M23-BS千円!L23</f>
        <v>36.307999999999993</v>
      </c>
      <c r="O11" s="44">
        <f>+BS千円!N23-BS千円!M23</f>
        <v>44.845000000000027</v>
      </c>
      <c r="P11" s="44">
        <f>+BS千円!O23-BS千円!N23</f>
        <v>47.881000000000029</v>
      </c>
      <c r="Q11" s="32"/>
    </row>
    <row r="12" spans="2:17">
      <c r="C12" s="5" t="s">
        <v>155</v>
      </c>
      <c r="D12" s="26" t="s">
        <v>157</v>
      </c>
      <c r="E12" s="43">
        <f>+BS千円!D95-BS千円!C95</f>
        <v>122.78500000000003</v>
      </c>
      <c r="F12" s="44">
        <f>+BS千円!E95-BS千円!D95</f>
        <v>-2.9650000000000318</v>
      </c>
      <c r="G12" s="44">
        <f>+BS千円!F95-BS千円!E95</f>
        <v>81.475999999999999</v>
      </c>
      <c r="H12" s="44">
        <f>+BS千円!G95-BS千円!F95</f>
        <v>-23.067999999999984</v>
      </c>
      <c r="I12" s="44">
        <f>+BS千円!H95-BS千円!G95</f>
        <v>-31.996000000000095</v>
      </c>
      <c r="J12" s="44">
        <f>+BS千円!I95-BS千円!H95</f>
        <v>97.881000000000085</v>
      </c>
      <c r="K12" s="44">
        <f>+BS千円!J95-BS千円!I95</f>
        <v>-132.41999999999996</v>
      </c>
      <c r="L12" s="44">
        <f>+BS千円!K95-BS千円!J95</f>
        <v>-34.528999999999996</v>
      </c>
      <c r="M12" s="44">
        <f>+BS千円!L95-BS千円!K95</f>
        <v>35.639999999999986</v>
      </c>
      <c r="N12" s="44">
        <f>+BS千円!M95-BS千円!L95</f>
        <v>-7.1850000000000023</v>
      </c>
      <c r="O12" s="44">
        <f>+BS千円!N95-BS千円!M95</f>
        <v>53.619999999999948</v>
      </c>
      <c r="P12" s="44">
        <f>+BS千円!O95-BS千円!N95</f>
        <v>7.4080000000001291</v>
      </c>
    </row>
    <row r="13" spans="2:17">
      <c r="B13" s="6"/>
      <c r="C13" s="7" t="s">
        <v>156</v>
      </c>
      <c r="D13" s="27" t="s">
        <v>157</v>
      </c>
      <c r="E13" s="89">
        <f>+BS千円!D96-BS千円!C96</f>
        <v>39.761000000000003</v>
      </c>
      <c r="F13" s="90">
        <f>+BS千円!E96-BS千円!D96</f>
        <v>9.7639999999999958</v>
      </c>
      <c r="G13" s="90">
        <f>+BS千円!F96-BS千円!E96</f>
        <v>70.105999999999995</v>
      </c>
      <c r="H13" s="90">
        <f>+BS千円!G96-BS千円!F96</f>
        <v>95.656000000000006</v>
      </c>
      <c r="I13" s="90">
        <f>+BS千円!H96-BS千円!G96</f>
        <v>64.308000000000021</v>
      </c>
      <c r="J13" s="90">
        <f>+BS千円!I96-BS千円!H96</f>
        <v>161.55700000000002</v>
      </c>
      <c r="K13" s="90">
        <f>+BS千円!J96-BS千円!I96</f>
        <v>-43.18300000000005</v>
      </c>
      <c r="L13" s="90">
        <f>+BS千円!K96-BS千円!J96</f>
        <v>111.68500000000006</v>
      </c>
      <c r="M13" s="90">
        <f>+BS千円!L96-BS千円!K96</f>
        <v>-3.0830000000000837</v>
      </c>
      <c r="N13" s="90">
        <f>+BS千円!M96-BS千円!L96</f>
        <v>106.30900000000008</v>
      </c>
      <c r="O13" s="90">
        <f>+BS千円!N96-BS千円!M96</f>
        <v>122.10299999999995</v>
      </c>
      <c r="P13" s="90">
        <f>+BS千円!O96-BS千円!N96</f>
        <v>82.990000000000009</v>
      </c>
    </row>
    <row r="14" spans="2:17" s="45" customFormat="1">
      <c r="B14" s="45" t="s">
        <v>160</v>
      </c>
      <c r="D14" s="49"/>
      <c r="E14" s="87">
        <f t="shared" ref="E14" si="2">-E15-E16-E17</f>
        <v>0</v>
      </c>
      <c r="F14" s="63">
        <f t="shared" ref="F14:P14" si="3">-F15-F16-F17</f>
        <v>0</v>
      </c>
      <c r="G14" s="63">
        <f t="shared" si="3"/>
        <v>0</v>
      </c>
      <c r="H14" s="63">
        <f t="shared" si="3"/>
        <v>0</v>
      </c>
      <c r="I14" s="63">
        <f t="shared" si="3"/>
        <v>0</v>
      </c>
      <c r="J14" s="63">
        <f t="shared" si="3"/>
        <v>0</v>
      </c>
      <c r="K14" s="63">
        <f t="shared" si="3"/>
        <v>0</v>
      </c>
      <c r="L14" s="63">
        <f t="shared" si="3"/>
        <v>0</v>
      </c>
      <c r="M14" s="63">
        <f t="shared" si="3"/>
        <v>0</v>
      </c>
      <c r="N14" s="63">
        <f t="shared" si="3"/>
        <v>0</v>
      </c>
      <c r="O14" s="63">
        <f t="shared" si="3"/>
        <v>0</v>
      </c>
      <c r="P14" s="63">
        <f t="shared" si="3"/>
        <v>0</v>
      </c>
    </row>
    <row r="15" spans="2:17">
      <c r="C15" s="8" t="s">
        <v>161</v>
      </c>
      <c r="D15" s="25" t="s">
        <v>158</v>
      </c>
      <c r="E15" s="88">
        <f>+BS千円!D97-BS千円!C97+CF推移!E8</f>
        <v>0</v>
      </c>
      <c r="F15" s="64">
        <f>+BS千円!E97-BS千円!D97+CF推移!F8</f>
        <v>0</v>
      </c>
      <c r="G15" s="64">
        <f>+BS千円!F97-BS千円!E97+CF推移!G8</f>
        <v>0</v>
      </c>
      <c r="H15" s="64">
        <f>+BS千円!G97-BS千円!F97+CF推移!H8</f>
        <v>0</v>
      </c>
      <c r="I15" s="64">
        <f>+BS千円!H97-BS千円!G97+CF推移!I8</f>
        <v>0</v>
      </c>
      <c r="J15" s="64">
        <f>+BS千円!I97-BS千円!H97+CF推移!J8</f>
        <v>0</v>
      </c>
      <c r="K15" s="64">
        <f>+BS千円!J97-BS千円!I97+CF推移!K8</f>
        <v>0</v>
      </c>
      <c r="L15" s="64">
        <f>+BS千円!K97-BS千円!J97+CF推移!L8</f>
        <v>0</v>
      </c>
      <c r="M15" s="64">
        <f>+BS千円!L97-BS千円!K97+CF推移!M8</f>
        <v>0</v>
      </c>
      <c r="N15" s="64">
        <f>+BS千円!M97-BS千円!L97+CF推移!N8</f>
        <v>0</v>
      </c>
      <c r="O15" s="64">
        <f>+BS千円!N97-BS千円!M97+CF推移!O8</f>
        <v>0</v>
      </c>
      <c r="P15" s="64">
        <f>+BS千円!O97-BS千円!N97+CF推移!P8</f>
        <v>0</v>
      </c>
    </row>
    <row r="16" spans="2:17">
      <c r="C16" s="5" t="s">
        <v>163</v>
      </c>
      <c r="D16" s="26" t="s">
        <v>158</v>
      </c>
      <c r="E16" s="43">
        <f>+BS千円!D21-BS千円!C21</f>
        <v>0</v>
      </c>
      <c r="F16" s="44">
        <f>+BS千円!E21-BS千円!D21</f>
        <v>0</v>
      </c>
      <c r="G16" s="44">
        <f>+BS千円!F21-BS千円!E21</f>
        <v>0</v>
      </c>
      <c r="H16" s="44">
        <v>0</v>
      </c>
      <c r="I16" s="44">
        <v>0</v>
      </c>
      <c r="J16" s="44">
        <v>0</v>
      </c>
      <c r="K16" s="44">
        <v>0</v>
      </c>
      <c r="L16" s="44">
        <v>0</v>
      </c>
      <c r="M16" s="44">
        <v>0</v>
      </c>
      <c r="N16" s="44">
        <v>0</v>
      </c>
      <c r="O16" s="44">
        <v>0</v>
      </c>
      <c r="P16" s="44">
        <v>0</v>
      </c>
    </row>
    <row r="17" spans="2:19">
      <c r="B17" s="6"/>
      <c r="C17" s="7" t="s">
        <v>162</v>
      </c>
      <c r="D17" s="27" t="s">
        <v>158</v>
      </c>
      <c r="E17" s="89">
        <f>+BS千円!D41-BS千円!C41</f>
        <v>0</v>
      </c>
      <c r="F17" s="90">
        <f>+BS千円!E41-BS千円!D41</f>
        <v>0</v>
      </c>
      <c r="G17" s="90">
        <f>+BS千円!F41-BS千円!E41</f>
        <v>0</v>
      </c>
      <c r="H17" s="90">
        <f>+BS千円!G41-BS千円!F41</f>
        <v>0</v>
      </c>
      <c r="I17" s="90">
        <f>+BS千円!H41-BS千円!G41</f>
        <v>0</v>
      </c>
      <c r="J17" s="90">
        <f>+BS千円!I41-BS千円!H41</f>
        <v>0</v>
      </c>
      <c r="K17" s="90">
        <f>+BS千円!J41-BS千円!I41</f>
        <v>0</v>
      </c>
      <c r="L17" s="90">
        <f>+BS千円!K41-BS千円!J41</f>
        <v>0</v>
      </c>
      <c r="M17" s="90">
        <f>+BS千円!L41-BS千円!K41</f>
        <v>0</v>
      </c>
      <c r="N17" s="90">
        <f>+BS千円!M41-BS千円!L41</f>
        <v>0</v>
      </c>
      <c r="O17" s="90">
        <f>+BS千円!N41-BS千円!M41</f>
        <v>0</v>
      </c>
      <c r="P17" s="90">
        <f>+BS千円!O41-BS千円!N41</f>
        <v>0</v>
      </c>
    </row>
    <row r="18" spans="2:19" s="45" customFormat="1">
      <c r="B18" s="45" t="s">
        <v>164</v>
      </c>
      <c r="D18" s="49"/>
      <c r="E18" s="87">
        <f t="shared" ref="E18" si="4">+E19+E20-E21+E22+E23</f>
        <v>0</v>
      </c>
      <c r="F18" s="63">
        <f t="shared" ref="F18:P18" si="5">+F19+F20-F21+F22+F23</f>
        <v>0</v>
      </c>
      <c r="G18" s="63">
        <f t="shared" si="5"/>
        <v>0</v>
      </c>
      <c r="H18" s="63">
        <f t="shared" si="5"/>
        <v>0</v>
      </c>
      <c r="I18" s="63">
        <f t="shared" si="5"/>
        <v>0</v>
      </c>
      <c r="J18" s="63">
        <f t="shared" si="5"/>
        <v>0</v>
      </c>
      <c r="K18" s="63">
        <f t="shared" si="5"/>
        <v>0</v>
      </c>
      <c r="L18" s="63">
        <f t="shared" si="5"/>
        <v>0</v>
      </c>
      <c r="M18" s="63">
        <f t="shared" si="5"/>
        <v>0</v>
      </c>
      <c r="N18" s="63">
        <f t="shared" si="5"/>
        <v>0</v>
      </c>
      <c r="O18" s="63">
        <f t="shared" si="5"/>
        <v>0</v>
      </c>
      <c r="P18" s="63">
        <f t="shared" si="5"/>
        <v>0</v>
      </c>
    </row>
    <row r="19" spans="2:19">
      <c r="C19" s="3" t="s">
        <v>165</v>
      </c>
      <c r="D19" s="29" t="s">
        <v>157</v>
      </c>
      <c r="E19" s="91">
        <f>+BS千円!D99-BS千円!C99</f>
        <v>0</v>
      </c>
      <c r="F19" s="92">
        <f>+BS千円!E99-BS千円!D99</f>
        <v>0</v>
      </c>
      <c r="G19" s="92">
        <f>+BS千円!F99-BS千円!E99</f>
        <v>0</v>
      </c>
      <c r="H19" s="92">
        <f>+BS千円!G99-BS千円!F99</f>
        <v>0</v>
      </c>
      <c r="I19" s="92">
        <f>+BS千円!H99-BS千円!G99</f>
        <v>0</v>
      </c>
      <c r="J19" s="92">
        <f>+BS千円!I99-BS千円!H99</f>
        <v>0</v>
      </c>
      <c r="K19" s="92">
        <f>+BS千円!J99-BS千円!I99</f>
        <v>0</v>
      </c>
      <c r="L19" s="92">
        <f>+BS千円!K99-BS千円!J99</f>
        <v>0</v>
      </c>
      <c r="M19" s="92">
        <f>+BS千円!L99-BS千円!K99</f>
        <v>0</v>
      </c>
      <c r="N19" s="92">
        <f>+BS千円!M99-BS千円!L99</f>
        <v>0</v>
      </c>
      <c r="O19" s="92">
        <f>+BS千円!N99-BS千円!M99</f>
        <v>0</v>
      </c>
      <c r="P19" s="92">
        <f>+BS千円!O99-BS千円!N99</f>
        <v>0</v>
      </c>
    </row>
    <row r="20" spans="2:19">
      <c r="C20" s="4" t="s">
        <v>166</v>
      </c>
      <c r="D20" s="28" t="s">
        <v>157</v>
      </c>
      <c r="E20" s="93">
        <v>0</v>
      </c>
      <c r="F20" s="94">
        <v>0</v>
      </c>
      <c r="G20" s="94">
        <v>0</v>
      </c>
      <c r="H20" s="94">
        <v>0</v>
      </c>
      <c r="I20" s="94">
        <v>0</v>
      </c>
      <c r="J20" s="94">
        <v>0</v>
      </c>
      <c r="K20" s="94">
        <v>0</v>
      </c>
      <c r="L20" s="94">
        <v>0</v>
      </c>
      <c r="M20" s="94">
        <v>0</v>
      </c>
      <c r="N20" s="94">
        <v>0</v>
      </c>
      <c r="O20" s="94">
        <v>0</v>
      </c>
      <c r="P20" s="94">
        <v>0</v>
      </c>
    </row>
    <row r="21" spans="2:19">
      <c r="C21" s="4" t="s">
        <v>167</v>
      </c>
      <c r="D21" s="28" t="s">
        <v>158</v>
      </c>
      <c r="E21" s="93">
        <f>+BS千円!C98-BS千円!D98+CF推移!E20</f>
        <v>0</v>
      </c>
      <c r="F21" s="94">
        <f>+BS千円!D98-BS千円!E98+CF推移!F20</f>
        <v>0</v>
      </c>
      <c r="G21" s="94">
        <f>+BS千円!E98-BS千円!F98+CF推移!G20</f>
        <v>0</v>
      </c>
      <c r="H21" s="94">
        <f>+BS千円!F98-BS千円!G98+CF推移!H20</f>
        <v>0</v>
      </c>
      <c r="I21" s="94">
        <f>+BS千円!G98-BS千円!H98+CF推移!I20</f>
        <v>0</v>
      </c>
      <c r="J21" s="94">
        <f>+BS千円!H98-BS千円!I98+CF推移!J20</f>
        <v>0</v>
      </c>
      <c r="K21" s="94">
        <f>+BS千円!I98-BS千円!J98+CF推移!K20</f>
        <v>0</v>
      </c>
      <c r="L21" s="94">
        <f>+BS千円!J98-BS千円!K98+CF推移!L20</f>
        <v>0</v>
      </c>
      <c r="M21" s="94">
        <f>+BS千円!K98-BS千円!L98+CF推移!M20</f>
        <v>0</v>
      </c>
      <c r="N21" s="94">
        <f>+BS千円!L98-BS千円!M98+CF推移!N20</f>
        <v>0</v>
      </c>
      <c r="O21" s="94">
        <f>+BS千円!M98-BS千円!N98+CF推移!O20</f>
        <v>0</v>
      </c>
      <c r="P21" s="94">
        <f>+BS千円!N98-BS千円!O98+CF推移!P20</f>
        <v>0</v>
      </c>
    </row>
    <row r="22" spans="2:19">
      <c r="C22" s="4" t="s">
        <v>168</v>
      </c>
      <c r="D22" s="28" t="s">
        <v>157</v>
      </c>
      <c r="E22" s="93">
        <f>+BS千円!D72-BS千円!C72</f>
        <v>0</v>
      </c>
      <c r="F22" s="94">
        <f>+BS千円!E72-BS千円!D72</f>
        <v>0</v>
      </c>
      <c r="G22" s="94">
        <f>+BS千円!F72-BS千円!E72</f>
        <v>0</v>
      </c>
      <c r="H22" s="94">
        <f>+BS千円!G72-BS千円!F72</f>
        <v>0</v>
      </c>
      <c r="I22" s="94">
        <f>+BS千円!H72-BS千円!G72</f>
        <v>0</v>
      </c>
      <c r="J22" s="94">
        <f>+BS千円!I72-BS千円!H72</f>
        <v>0</v>
      </c>
      <c r="K22" s="94">
        <f>+BS千円!J72-BS千円!I72</f>
        <v>0</v>
      </c>
      <c r="L22" s="94">
        <f>+BS千円!K72-BS千円!J72</f>
        <v>0</v>
      </c>
      <c r="M22" s="94">
        <f>+BS千円!L72-BS千円!K72</f>
        <v>0</v>
      </c>
      <c r="N22" s="94">
        <f>+BS千円!M72-BS千円!L72</f>
        <v>0</v>
      </c>
      <c r="O22" s="94">
        <f>+BS千円!N72-BS千円!M72</f>
        <v>0</v>
      </c>
      <c r="P22" s="94">
        <f>+BS千円!O72-BS千円!N72</f>
        <v>0</v>
      </c>
    </row>
    <row r="23" spans="2:19">
      <c r="C23" s="30" t="s">
        <v>129</v>
      </c>
      <c r="D23" s="31" t="s">
        <v>157</v>
      </c>
      <c r="E23" s="95">
        <v>0</v>
      </c>
      <c r="F23" s="96">
        <v>0</v>
      </c>
      <c r="G23" s="96">
        <v>0</v>
      </c>
      <c r="H23" s="96">
        <v>0</v>
      </c>
      <c r="I23" s="96">
        <v>0</v>
      </c>
      <c r="J23" s="96">
        <v>0</v>
      </c>
      <c r="K23" s="96">
        <v>0</v>
      </c>
      <c r="L23" s="96">
        <v>0</v>
      </c>
      <c r="M23" s="96">
        <v>0</v>
      </c>
      <c r="N23" s="96">
        <v>0</v>
      </c>
      <c r="O23" s="96">
        <v>0</v>
      </c>
      <c r="P23" s="96">
        <v>0</v>
      </c>
    </row>
    <row r="24" spans="2:19" s="45" customFormat="1" ht="16.899999999999999" thickBot="1">
      <c r="B24" s="50" t="s">
        <v>169</v>
      </c>
      <c r="C24" s="50"/>
      <c r="D24" s="51"/>
      <c r="E24" s="52">
        <f t="shared" ref="E24" si="6">+E5+E14+E18</f>
        <v>376.18000000000029</v>
      </c>
      <c r="F24" s="53">
        <f t="shared" ref="F24:P24" si="7">+F5+F14+F18</f>
        <v>-727.16299999999978</v>
      </c>
      <c r="G24" s="53">
        <f t="shared" si="7"/>
        <v>33.103000000000065</v>
      </c>
      <c r="H24" s="53">
        <f t="shared" si="7"/>
        <v>-630.91400000000021</v>
      </c>
      <c r="I24" s="53">
        <f t="shared" si="7"/>
        <v>132.7170000000007</v>
      </c>
      <c r="J24" s="53">
        <f t="shared" si="7"/>
        <v>-44.76900000000046</v>
      </c>
      <c r="K24" s="53">
        <f t="shared" si="7"/>
        <v>-270.90500000000048</v>
      </c>
      <c r="L24" s="53">
        <f t="shared" si="7"/>
        <v>1056.3300000000006</v>
      </c>
      <c r="M24" s="53">
        <f t="shared" si="7"/>
        <v>3195.6709999999994</v>
      </c>
      <c r="N24" s="53">
        <f t="shared" si="7"/>
        <v>-403.25499999999977</v>
      </c>
      <c r="O24" s="53">
        <f t="shared" si="7"/>
        <v>-345.00400000000042</v>
      </c>
      <c r="P24" s="53">
        <f t="shared" si="7"/>
        <v>-589.45100000000002</v>
      </c>
    </row>
    <row r="25" spans="2:19" ht="16.899999999999999" thickTop="1">
      <c r="E25" s="35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</row>
    <row r="26" spans="2:19" s="45" customFormat="1" ht="16.899999999999999" thickBot="1">
      <c r="B26" s="50"/>
      <c r="C26" s="50" t="s">
        <v>170</v>
      </c>
      <c r="D26" s="50"/>
      <c r="E26" s="52">
        <f>+BS千円!D7-BS千円!C7</f>
        <v>376.17999999999984</v>
      </c>
      <c r="F26" s="53">
        <f>+BS千円!E7-BS千円!D7</f>
        <v>-727.16299999999978</v>
      </c>
      <c r="G26" s="53">
        <f>+BS千円!F7-BS千円!E7</f>
        <v>33.102999999999838</v>
      </c>
      <c r="H26" s="53">
        <f>+BS千円!G7-BS千円!F7</f>
        <v>-630.91399999999999</v>
      </c>
      <c r="I26" s="53">
        <f>+BS千円!H7-BS千円!G7</f>
        <v>132.7170000000001</v>
      </c>
      <c r="J26" s="53">
        <f>+BS千円!I7-BS千円!H7</f>
        <v>-44.769000000000005</v>
      </c>
      <c r="K26" s="53">
        <f>+BS千円!J7-BS千円!I7</f>
        <v>-270.90499999999997</v>
      </c>
      <c r="L26" s="53">
        <f>+BS千円!K7-BS千円!J7</f>
        <v>1056.3300000000002</v>
      </c>
      <c r="M26" s="53">
        <f>+BS千円!L7-BS千円!K7</f>
        <v>3195.6709999999994</v>
      </c>
      <c r="N26" s="53">
        <f>+BS千円!M7-BS千円!L7</f>
        <v>-403.2549999999992</v>
      </c>
      <c r="O26" s="53">
        <f>+BS千円!N7-BS千円!M7</f>
        <v>-345.00400000000081</v>
      </c>
      <c r="P26" s="53">
        <f>+BS千円!O7-BS千円!N7</f>
        <v>-589.45099999999911</v>
      </c>
    </row>
    <row r="27" spans="2:19" s="67" customFormat="1" ht="13.15" thickTop="1">
      <c r="B27" s="65"/>
      <c r="C27" s="65"/>
      <c r="D27" s="65" t="s">
        <v>178</v>
      </c>
      <c r="E27" s="66">
        <f>+E24-E26</f>
        <v>4.5474735088646412E-13</v>
      </c>
      <c r="F27" s="66">
        <f t="shared" ref="F27:P27" si="8">+F24-F26</f>
        <v>0</v>
      </c>
      <c r="G27" s="66">
        <f t="shared" si="8"/>
        <v>2.2737367544323206E-13</v>
      </c>
      <c r="H27" s="66">
        <f t="shared" si="8"/>
        <v>0</v>
      </c>
      <c r="I27" s="66">
        <f t="shared" si="8"/>
        <v>5.9685589803848416E-13</v>
      </c>
      <c r="J27" s="66">
        <f t="shared" si="8"/>
        <v>-4.5474735088646412E-13</v>
      </c>
      <c r="K27" s="66">
        <f t="shared" si="8"/>
        <v>-5.1159076974727213E-13</v>
      </c>
      <c r="L27" s="66">
        <f t="shared" si="8"/>
        <v>0</v>
      </c>
      <c r="M27" s="66">
        <f t="shared" si="8"/>
        <v>0</v>
      </c>
      <c r="N27" s="66">
        <f t="shared" si="8"/>
        <v>-5.6843418860808015E-13</v>
      </c>
      <c r="O27" s="66">
        <f t="shared" si="8"/>
        <v>0</v>
      </c>
      <c r="P27" s="66">
        <f t="shared" si="8"/>
        <v>-9.0949470177292824E-13</v>
      </c>
    </row>
    <row r="28" spans="2:19">
      <c r="B28" s="45" t="s">
        <v>171</v>
      </c>
    </row>
    <row r="29" spans="2:19">
      <c r="C29" s="100" t="s">
        <v>183</v>
      </c>
      <c r="D29" s="28"/>
      <c r="E29" s="99">
        <f>+E26-収支計画!G104/1000</f>
        <v>80.576999999999828</v>
      </c>
      <c r="F29" s="99">
        <f>+F26-収支計画!H104/1000</f>
        <v>-15.142999999999802</v>
      </c>
      <c r="G29" s="99">
        <f>+G26-収支計画!I104/1000</f>
        <v>41.183999999999841</v>
      </c>
      <c r="H29" s="99">
        <f>+CF推移!H26-収支計画!J104/1000</f>
        <v>-562.66027919999999</v>
      </c>
      <c r="I29" s="99">
        <f>+I26-収支計画!K104/1000</f>
        <v>293.35170160000013</v>
      </c>
      <c r="J29" s="99">
        <f>+J26-収支計画!L104/1000</f>
        <v>138.55619199999992</v>
      </c>
      <c r="K29" s="34">
        <f>+K26-収支計画!M104/1000</f>
        <v>-110.27029839999994</v>
      </c>
      <c r="L29" s="34">
        <f>+L26-収支計画!N104/1000</f>
        <v>1120.6082112000001</v>
      </c>
      <c r="M29" s="34">
        <f>+M26-収支計画!O104/1000</f>
        <v>3266.9492111999994</v>
      </c>
      <c r="N29" s="34">
        <f>+N26-収支計画!P104/1000</f>
        <v>-331.97678879999921</v>
      </c>
      <c r="O29" s="34">
        <f>+O26-収支計画!Q104/1000</f>
        <v>-273.72578880000083</v>
      </c>
      <c r="P29" s="34">
        <f>+CF推移!P26-収支計画!R104/1000</f>
        <v>-518.17278879999913</v>
      </c>
    </row>
    <row r="30" spans="2:19">
      <c r="C30" s="100"/>
      <c r="D30" s="522" t="s">
        <v>375</v>
      </c>
      <c r="E30" s="523"/>
      <c r="F30" s="523"/>
      <c r="G30" s="523"/>
      <c r="H30" s="523"/>
      <c r="I30" s="523"/>
      <c r="J30" s="523"/>
      <c r="K30" s="524"/>
      <c r="L30" s="524"/>
      <c r="M30" s="524"/>
      <c r="N30" s="524">
        <f>+PL予実対比!AO51</f>
        <v>166.09900000000005</v>
      </c>
      <c r="O30" s="34">
        <f>+PL予実対比!AS55</f>
        <v>-25.996000000000038</v>
      </c>
      <c r="P30" s="34">
        <f>+PL予実対比!AW55</f>
        <v>55.576999999999771</v>
      </c>
    </row>
    <row r="31" spans="2:19" s="101" customFormat="1" ht="15">
      <c r="C31" s="572" t="s">
        <v>184</v>
      </c>
      <c r="D31" s="572"/>
      <c r="E31" s="102"/>
      <c r="F31" s="103"/>
      <c r="G31" s="102"/>
      <c r="H31" s="102">
        <v>-519</v>
      </c>
      <c r="I31" s="107">
        <v>110</v>
      </c>
      <c r="J31" s="102"/>
      <c r="K31" s="102"/>
      <c r="L31" s="107">
        <v>-520</v>
      </c>
      <c r="M31" s="107">
        <f>1226-463</f>
        <v>763</v>
      </c>
      <c r="N31" s="102">
        <v>-808</v>
      </c>
      <c r="O31" s="102">
        <v>-862</v>
      </c>
      <c r="P31" s="102">
        <f>-869+161</f>
        <v>-708</v>
      </c>
      <c r="Q31" s="101" t="s">
        <v>385</v>
      </c>
    </row>
    <row r="32" spans="2:19" s="101" customFormat="1" ht="15">
      <c r="C32" s="572" t="s">
        <v>185</v>
      </c>
      <c r="D32" s="572"/>
      <c r="E32" s="102"/>
      <c r="F32" s="103"/>
      <c r="G32" s="103"/>
      <c r="H32" s="102"/>
      <c r="I32" s="107"/>
      <c r="J32" s="102"/>
      <c r="K32" s="102"/>
      <c r="L32" s="107"/>
      <c r="M32" s="102"/>
      <c r="N32" s="102">
        <v>110</v>
      </c>
      <c r="O32" s="102"/>
      <c r="P32" s="102"/>
      <c r="Q32" s="101" t="s">
        <v>377</v>
      </c>
      <c r="S32" s="101" t="s">
        <v>381</v>
      </c>
    </row>
    <row r="33" spans="3:17" s="101" customFormat="1" ht="15">
      <c r="C33" s="572" t="s">
        <v>186</v>
      </c>
      <c r="D33" s="572"/>
      <c r="E33" s="102"/>
      <c r="F33" s="102"/>
      <c r="G33" s="102"/>
      <c r="H33" s="102"/>
      <c r="I33" s="102">
        <v>48</v>
      </c>
      <c r="J33" s="102"/>
      <c r="K33" s="102"/>
      <c r="L33" s="102"/>
      <c r="M33" s="107"/>
      <c r="N33" s="107"/>
      <c r="O33" s="102"/>
      <c r="P33" s="102"/>
    </row>
    <row r="34" spans="3:17" s="101" customFormat="1" ht="15">
      <c r="C34" s="572" t="s">
        <v>187</v>
      </c>
      <c r="D34" s="572"/>
      <c r="E34" s="102"/>
      <c r="F34" s="102"/>
      <c r="G34" s="102"/>
      <c r="H34" s="102"/>
      <c r="I34" s="102">
        <v>167</v>
      </c>
      <c r="J34" s="102"/>
      <c r="K34" s="102"/>
      <c r="L34" s="107">
        <v>1520</v>
      </c>
      <c r="M34" s="107">
        <v>2638</v>
      </c>
      <c r="N34" s="107">
        <v>167</v>
      </c>
      <c r="O34" s="102">
        <v>167</v>
      </c>
      <c r="P34" s="102">
        <v>167</v>
      </c>
      <c r="Q34" s="101" t="s">
        <v>376</v>
      </c>
    </row>
    <row r="35" spans="3:17" s="101" customFormat="1" ht="15">
      <c r="C35" s="572"/>
      <c r="D35" s="572"/>
      <c r="E35" s="102"/>
      <c r="F35" s="102"/>
      <c r="G35" s="102"/>
      <c r="H35" s="102"/>
      <c r="I35" s="102"/>
      <c r="J35" s="102"/>
      <c r="K35" s="102"/>
      <c r="L35" s="102"/>
      <c r="M35" s="102"/>
      <c r="N35" s="102"/>
      <c r="O35" s="102"/>
      <c r="P35" s="102"/>
    </row>
    <row r="36" spans="3:17" s="101" customFormat="1" ht="15">
      <c r="C36" s="572"/>
      <c r="D36" s="572"/>
      <c r="E36" s="102"/>
      <c r="F36" s="102"/>
      <c r="G36" s="102"/>
      <c r="H36" s="102"/>
      <c r="I36" s="102"/>
      <c r="J36" s="102"/>
      <c r="K36" s="102"/>
      <c r="L36" s="102"/>
      <c r="M36" s="102"/>
      <c r="N36" s="102"/>
      <c r="O36" s="102"/>
      <c r="P36" s="102"/>
    </row>
    <row r="37" spans="3:17" s="105" customFormat="1">
      <c r="C37" s="572"/>
      <c r="D37" s="572"/>
      <c r="E37" s="104"/>
      <c r="F37" s="104"/>
      <c r="G37" s="104"/>
      <c r="H37" s="104"/>
      <c r="I37" s="104"/>
      <c r="J37" s="104"/>
      <c r="K37" s="104"/>
      <c r="L37" s="104"/>
      <c r="M37" s="104"/>
      <c r="N37" s="104"/>
      <c r="O37" s="104"/>
      <c r="P37" s="104"/>
    </row>
    <row r="38" spans="3:17" s="105" customFormat="1">
      <c r="C38" s="572"/>
      <c r="D38" s="572"/>
      <c r="E38" s="104"/>
      <c r="F38" s="104"/>
      <c r="G38" s="104"/>
      <c r="H38" s="104"/>
      <c r="I38" s="104"/>
      <c r="J38" s="104"/>
      <c r="K38" s="104"/>
      <c r="L38" s="104"/>
      <c r="M38" s="104"/>
      <c r="N38" s="104"/>
      <c r="O38" s="104"/>
      <c r="P38" s="104"/>
    </row>
    <row r="39" spans="3:17" s="105" customFormat="1">
      <c r="C39" s="572"/>
      <c r="D39" s="572"/>
      <c r="E39" s="104"/>
      <c r="F39" s="104"/>
      <c r="G39" s="104"/>
      <c r="H39" s="104"/>
      <c r="I39" s="104"/>
      <c r="J39" s="104"/>
      <c r="K39" s="104"/>
      <c r="L39" s="104"/>
      <c r="M39" s="104"/>
      <c r="N39" s="104"/>
      <c r="O39" s="104"/>
      <c r="P39" s="104"/>
    </row>
    <row r="40" spans="3:17" s="105" customFormat="1">
      <c r="C40" s="572"/>
      <c r="D40" s="572"/>
      <c r="E40" s="104"/>
      <c r="F40" s="104"/>
      <c r="G40" s="104"/>
      <c r="H40" s="104"/>
      <c r="I40" s="104"/>
      <c r="J40" s="104"/>
      <c r="K40" s="104"/>
      <c r="L40" s="104"/>
      <c r="M40" s="104"/>
      <c r="N40" s="104"/>
      <c r="O40" s="104"/>
      <c r="P40" s="104"/>
    </row>
    <row r="41" spans="3:17" s="105" customFormat="1">
      <c r="C41" s="572"/>
      <c r="D41" s="572"/>
      <c r="E41" s="104"/>
      <c r="F41" s="104"/>
      <c r="G41" s="104"/>
      <c r="H41" s="104"/>
      <c r="I41" s="104"/>
      <c r="J41" s="104"/>
      <c r="K41" s="104"/>
      <c r="L41" s="104"/>
      <c r="M41" s="104"/>
      <c r="N41" s="104"/>
      <c r="O41" s="104"/>
      <c r="P41" s="104"/>
    </row>
    <row r="42" spans="3:17" s="105" customFormat="1">
      <c r="E42" s="104"/>
      <c r="F42" s="104"/>
      <c r="G42" s="104"/>
      <c r="H42" s="104"/>
      <c r="I42" s="104"/>
      <c r="J42" s="104"/>
      <c r="K42" s="104"/>
      <c r="L42" s="104"/>
      <c r="M42" s="104"/>
      <c r="N42" s="104"/>
      <c r="O42" s="104"/>
      <c r="P42" s="104"/>
    </row>
    <row r="43" spans="3:17" s="105" customFormat="1">
      <c r="E43" s="104"/>
      <c r="F43" s="104"/>
      <c r="G43" s="104"/>
      <c r="H43" s="104"/>
      <c r="I43" s="104"/>
      <c r="J43" s="104"/>
      <c r="K43" s="104"/>
      <c r="L43" s="104"/>
      <c r="M43" s="104"/>
      <c r="N43" s="104"/>
      <c r="O43" s="104"/>
      <c r="P43" s="104"/>
    </row>
    <row r="44" spans="3:17" s="105" customFormat="1"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</row>
    <row r="45" spans="3:17" s="105" customFormat="1">
      <c r="E45" s="104"/>
      <c r="F45" s="104"/>
      <c r="G45" s="104"/>
      <c r="H45" s="104"/>
      <c r="I45" s="104"/>
      <c r="J45" s="104"/>
      <c r="K45" s="104"/>
      <c r="L45" s="104"/>
      <c r="M45" s="104"/>
      <c r="N45" s="104"/>
      <c r="O45" s="104"/>
      <c r="P45" s="104"/>
    </row>
    <row r="46" spans="3:17" s="105" customFormat="1">
      <c r="E46" s="104"/>
      <c r="F46" s="104"/>
      <c r="G46" s="104"/>
      <c r="H46" s="104"/>
      <c r="I46" s="104"/>
      <c r="J46" s="104"/>
      <c r="K46" s="104"/>
      <c r="L46" s="104"/>
      <c r="M46" s="104"/>
      <c r="N46" s="104"/>
      <c r="O46" s="104"/>
      <c r="P46" s="104"/>
    </row>
    <row r="47" spans="3:17" s="105" customFormat="1">
      <c r="E47" s="104"/>
      <c r="F47" s="104"/>
      <c r="G47" s="104"/>
      <c r="H47" s="104"/>
      <c r="I47" s="104"/>
      <c r="J47" s="104"/>
      <c r="K47" s="104"/>
      <c r="L47" s="104"/>
      <c r="M47" s="104"/>
      <c r="N47" s="104"/>
      <c r="O47" s="104"/>
      <c r="P47" s="104"/>
    </row>
  </sheetData>
  <mergeCells count="11">
    <mergeCell ref="C37:D37"/>
    <mergeCell ref="C38:D38"/>
    <mergeCell ref="C39:D39"/>
    <mergeCell ref="C40:D40"/>
    <mergeCell ref="C41:D41"/>
    <mergeCell ref="C36:D36"/>
    <mergeCell ref="C31:D31"/>
    <mergeCell ref="C32:D32"/>
    <mergeCell ref="C33:D33"/>
    <mergeCell ref="C34:D34"/>
    <mergeCell ref="C35:D35"/>
  </mergeCells>
  <phoneticPr fontId="1"/>
  <pageMargins left="0.7" right="0.7" top="0.75" bottom="0.75" header="0.3" footer="0.3"/>
  <pageSetup paperSize="9" orientation="portrait" verticalDpi="0" copies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3:CL259"/>
  <sheetViews>
    <sheetView topLeftCell="A5" zoomScale="91" zoomScaleNormal="91" workbookViewId="0">
      <pane xSplit="6" ySplit="6" topLeftCell="L85" activePane="bottomRight" state="frozen"/>
      <selection activeCell="A5" sqref="A5"/>
      <selection pane="topRight" activeCell="G5" sqref="G5"/>
      <selection pane="bottomLeft" activeCell="A11" sqref="A11"/>
      <selection pane="bottomRight" activeCell="P40" sqref="P40:R40"/>
    </sheetView>
  </sheetViews>
  <sheetFormatPr defaultColWidth="9" defaultRowHeight="12.75"/>
  <cols>
    <col min="1" max="1" width="9" style="187"/>
    <col min="2" max="2" width="14.625" style="187" customWidth="1"/>
    <col min="3" max="3" width="13.25" style="187" bestFit="1" customWidth="1"/>
    <col min="4" max="4" width="11.75" style="187" bestFit="1" customWidth="1"/>
    <col min="5" max="5" width="6.125" style="187" customWidth="1"/>
    <col min="6" max="6" width="13.25" style="187" customWidth="1"/>
    <col min="7" max="7" width="12.5" style="187" bestFit="1" customWidth="1"/>
    <col min="8" max="26" width="13.625" style="187" bestFit="1" customWidth="1"/>
    <col min="27" max="16384" width="9" style="187"/>
  </cols>
  <sheetData>
    <row r="3" spans="2:26" ht="13.15" thickBot="1"/>
    <row r="4" spans="2:26" ht="13.5" thickBot="1">
      <c r="E4" s="188"/>
    </row>
    <row r="5" spans="2:26" ht="20.65">
      <c r="E5" s="189" t="s">
        <v>221</v>
      </c>
      <c r="F5" s="190"/>
    </row>
    <row r="6" spans="2:26" ht="4.1500000000000004" customHeight="1">
      <c r="E6" s="191"/>
      <c r="F6" s="192"/>
    </row>
    <row r="7" spans="2:26" ht="20.25" customHeight="1">
      <c r="E7" s="193"/>
      <c r="F7" s="194"/>
    </row>
    <row r="8" spans="2:26" s="438" customFormat="1" ht="13.5" thickBot="1">
      <c r="E8" s="439"/>
      <c r="F8" s="440" t="s">
        <v>354</v>
      </c>
      <c r="I8" s="441"/>
      <c r="K8" s="453" t="s">
        <v>361</v>
      </c>
      <c r="L8" s="453" t="s">
        <v>360</v>
      </c>
    </row>
    <row r="9" spans="2:26" ht="14.65" customHeight="1">
      <c r="E9" s="586" t="s">
        <v>222</v>
      </c>
      <c r="F9" s="587"/>
      <c r="G9" s="469"/>
      <c r="H9" s="196"/>
      <c r="I9" s="196"/>
      <c r="J9" s="196"/>
      <c r="K9" s="196"/>
      <c r="L9" s="196"/>
      <c r="M9" s="196"/>
      <c r="N9" s="196"/>
      <c r="O9" s="196"/>
      <c r="P9" s="196"/>
      <c r="Q9" s="196"/>
      <c r="R9" s="196"/>
      <c r="S9" s="196" t="s">
        <v>334</v>
      </c>
      <c r="T9" s="196" t="s">
        <v>334</v>
      </c>
      <c r="U9" s="196"/>
      <c r="V9" s="196"/>
      <c r="W9" s="196"/>
      <c r="X9" s="196"/>
      <c r="Y9" s="196"/>
      <c r="Z9" s="196"/>
    </row>
    <row r="10" spans="2:26" ht="14.65" customHeight="1" thickBot="1">
      <c r="E10" s="588"/>
      <c r="F10" s="589"/>
      <c r="G10" s="470">
        <f>+月次PL!C1</f>
        <v>7</v>
      </c>
      <c r="H10" s="452">
        <f>+月次PL!D1</f>
        <v>8</v>
      </c>
      <c r="I10" s="452">
        <f>+月次PL!E1</f>
        <v>9</v>
      </c>
      <c r="J10" s="452">
        <f>+月次PL!F1</f>
        <v>10</v>
      </c>
      <c r="K10" s="452">
        <f>+月次PL!G1</f>
        <v>11</v>
      </c>
      <c r="L10" s="452">
        <f>+月次PL!H1</f>
        <v>12</v>
      </c>
      <c r="M10" s="452">
        <f>+月次PL!I1</f>
        <v>1</v>
      </c>
      <c r="N10" s="452">
        <f>+月次PL!J1</f>
        <v>2</v>
      </c>
      <c r="O10" s="452">
        <f>+月次PL!K1</f>
        <v>3</v>
      </c>
      <c r="P10" s="452">
        <f>+月次PL!L1</f>
        <v>4</v>
      </c>
      <c r="Q10" s="452">
        <f>+月次PL!M1</f>
        <v>5</v>
      </c>
      <c r="R10" s="452">
        <f>+月次PL!N1</f>
        <v>6</v>
      </c>
      <c r="S10" s="197">
        <f>+[1]収支予測!CN$10</f>
        <v>2026.04</v>
      </c>
      <c r="T10" s="197" t="s">
        <v>335</v>
      </c>
      <c r="U10" s="197" t="s">
        <v>336</v>
      </c>
      <c r="V10" s="197" t="s">
        <v>337</v>
      </c>
      <c r="W10" s="197" t="s">
        <v>338</v>
      </c>
      <c r="X10" s="197" t="s">
        <v>339</v>
      </c>
      <c r="Y10" s="197" t="s">
        <v>340</v>
      </c>
      <c r="Z10" s="197" t="s">
        <v>341</v>
      </c>
    </row>
    <row r="11" spans="2:26" ht="14.65" customHeight="1" thickTop="1" thickBot="1">
      <c r="E11" s="590" t="s">
        <v>223</v>
      </c>
      <c r="F11" s="455"/>
      <c r="G11" s="471">
        <v>622833</v>
      </c>
      <c r="H11" s="198">
        <v>559842</v>
      </c>
      <c r="I11" s="198">
        <v>621881.27919999999</v>
      </c>
      <c r="J11" s="198">
        <v>576500.29839999997</v>
      </c>
      <c r="K11" s="198">
        <v>553809.80800000008</v>
      </c>
      <c r="L11" s="198">
        <v>576500.29839999997</v>
      </c>
      <c r="M11" s="198">
        <v>599190.78879999998</v>
      </c>
      <c r="N11" s="198">
        <v>599190.78879999998</v>
      </c>
      <c r="O11" s="198">
        <v>599190.78879999998</v>
      </c>
      <c r="P11" s="198">
        <v>793196</v>
      </c>
      <c r="Q11" s="198">
        <v>761687</v>
      </c>
      <c r="R11" s="198">
        <v>793196</v>
      </c>
      <c r="S11" s="198"/>
      <c r="T11" s="198"/>
      <c r="U11" s="198"/>
      <c r="V11" s="198"/>
      <c r="W11" s="198"/>
      <c r="X11" s="198"/>
      <c r="Y11" s="198"/>
      <c r="Z11" s="198"/>
    </row>
    <row r="12" spans="2:26" ht="14.65" customHeight="1" thickTop="1">
      <c r="E12" s="591"/>
      <c r="F12" s="456"/>
      <c r="G12" s="472"/>
      <c r="H12" s="199"/>
      <c r="I12" s="199"/>
      <c r="J12" s="199"/>
      <c r="K12" s="199"/>
      <c r="L12" s="199"/>
      <c r="M12" s="199"/>
      <c r="N12" s="199"/>
      <c r="O12" s="199"/>
      <c r="P12" s="199"/>
      <c r="Q12" s="199"/>
      <c r="R12" s="199"/>
      <c r="S12" s="199"/>
      <c r="T12" s="199"/>
      <c r="U12" s="199"/>
      <c r="V12" s="199"/>
      <c r="W12" s="199"/>
      <c r="X12" s="199"/>
      <c r="Y12" s="198"/>
      <c r="Z12" s="198"/>
    </row>
    <row r="13" spans="2:26" ht="14.65" customHeight="1">
      <c r="E13" s="591"/>
      <c r="F13" s="457"/>
      <c r="G13" s="472"/>
      <c r="H13" s="199"/>
      <c r="I13" s="199"/>
      <c r="J13" s="199"/>
      <c r="K13" s="199"/>
      <c r="L13" s="199"/>
      <c r="M13" s="199"/>
      <c r="N13" s="199"/>
      <c r="O13" s="199"/>
      <c r="P13" s="199"/>
      <c r="Q13" s="199"/>
      <c r="R13" s="199"/>
      <c r="S13" s="199"/>
      <c r="T13" s="199"/>
      <c r="U13" s="199"/>
      <c r="V13" s="199"/>
      <c r="W13" s="199"/>
      <c r="X13" s="199"/>
      <c r="Y13" s="199"/>
      <c r="Z13" s="199"/>
    </row>
    <row r="14" spans="2:26" ht="14.65" customHeight="1">
      <c r="E14" s="591"/>
      <c r="F14" s="458"/>
      <c r="G14" s="473"/>
      <c r="H14" s="200"/>
      <c r="I14" s="200"/>
      <c r="J14" s="200"/>
      <c r="K14" s="200"/>
      <c r="L14" s="200"/>
      <c r="M14" s="200"/>
      <c r="N14" s="200"/>
      <c r="O14" s="200"/>
      <c r="P14" s="200"/>
      <c r="Q14" s="200"/>
      <c r="R14" s="200"/>
      <c r="S14" s="200"/>
      <c r="T14" s="200"/>
      <c r="U14" s="200"/>
      <c r="V14" s="200"/>
      <c r="W14" s="200"/>
      <c r="X14" s="200"/>
      <c r="Y14" s="200"/>
      <c r="Z14" s="200"/>
    </row>
    <row r="15" spans="2:26" ht="14.65" customHeight="1">
      <c r="E15" s="591"/>
      <c r="F15" s="459"/>
      <c r="G15" s="473"/>
      <c r="H15" s="200"/>
      <c r="I15" s="200"/>
      <c r="J15" s="200"/>
      <c r="K15" s="200"/>
      <c r="L15" s="200"/>
      <c r="M15" s="200"/>
      <c r="N15" s="200"/>
      <c r="O15" s="200"/>
      <c r="P15" s="200"/>
      <c r="Q15" s="200"/>
      <c r="R15" s="200"/>
      <c r="S15" s="201"/>
      <c r="T15" s="201"/>
      <c r="U15" s="201"/>
      <c r="V15" s="201"/>
      <c r="W15" s="201"/>
      <c r="X15" s="201"/>
      <c r="Y15" s="201"/>
      <c r="Z15" s="201"/>
    </row>
    <row r="16" spans="2:26" ht="13.9" customHeight="1">
      <c r="B16" s="202" t="s">
        <v>224</v>
      </c>
      <c r="C16" s="203" t="s">
        <v>225</v>
      </c>
      <c r="E16" s="591"/>
      <c r="F16" s="460"/>
      <c r="G16" s="476"/>
      <c r="H16" s="204"/>
      <c r="I16" s="204"/>
      <c r="J16" s="204"/>
      <c r="K16" s="204"/>
      <c r="L16" s="204"/>
      <c r="M16" s="204"/>
      <c r="N16" s="204"/>
      <c r="O16" s="204"/>
      <c r="P16" s="204"/>
      <c r="Q16" s="204"/>
      <c r="R16" s="204"/>
      <c r="S16" s="204"/>
      <c r="T16" s="204"/>
      <c r="U16" s="204"/>
      <c r="V16" s="204"/>
      <c r="W16" s="204"/>
      <c r="X16" s="204"/>
      <c r="Y16" s="204"/>
      <c r="Z16" s="204"/>
    </row>
    <row r="17" spans="1:26" ht="14.65" customHeight="1" thickBot="1">
      <c r="A17" s="205" t="s">
        <v>226</v>
      </c>
      <c r="B17" s="206">
        <v>0.34</v>
      </c>
      <c r="C17" s="206">
        <f>1-B17</f>
        <v>0.65999999999999992</v>
      </c>
      <c r="E17" s="592"/>
      <c r="F17" s="516" t="s">
        <v>227</v>
      </c>
      <c r="G17" s="474">
        <f t="shared" ref="G17:N17" si="0">SUM(G11:G16)</f>
        <v>622833</v>
      </c>
      <c r="H17" s="436">
        <f t="shared" si="0"/>
        <v>559842</v>
      </c>
      <c r="I17" s="436">
        <f t="shared" si="0"/>
        <v>621881.27919999999</v>
      </c>
      <c r="J17" s="436">
        <f t="shared" si="0"/>
        <v>576500.29839999997</v>
      </c>
      <c r="K17" s="436">
        <f t="shared" si="0"/>
        <v>553809.80800000008</v>
      </c>
      <c r="L17" s="436">
        <f t="shared" si="0"/>
        <v>576500.29839999997</v>
      </c>
      <c r="M17" s="436">
        <f t="shared" si="0"/>
        <v>599190.78879999998</v>
      </c>
      <c r="N17" s="436">
        <f t="shared" si="0"/>
        <v>599190.78879999998</v>
      </c>
      <c r="O17" s="436">
        <f t="shared" ref="O17:Z17" si="1">SUM(O11:O16)</f>
        <v>599190.78879999998</v>
      </c>
      <c r="P17" s="436">
        <f t="shared" si="1"/>
        <v>793196</v>
      </c>
      <c r="Q17" s="436">
        <f t="shared" si="1"/>
        <v>761687</v>
      </c>
      <c r="R17" s="436">
        <f t="shared" si="1"/>
        <v>793196</v>
      </c>
      <c r="S17" s="436">
        <f t="shared" si="1"/>
        <v>0</v>
      </c>
      <c r="T17" s="436">
        <f t="shared" si="1"/>
        <v>0</v>
      </c>
      <c r="U17" s="436">
        <f t="shared" si="1"/>
        <v>0</v>
      </c>
      <c r="V17" s="436">
        <f t="shared" si="1"/>
        <v>0</v>
      </c>
      <c r="W17" s="436">
        <f t="shared" si="1"/>
        <v>0</v>
      </c>
      <c r="X17" s="436">
        <f t="shared" si="1"/>
        <v>0</v>
      </c>
      <c r="Y17" s="396">
        <f t="shared" si="1"/>
        <v>0</v>
      </c>
      <c r="Z17" s="396">
        <f t="shared" si="1"/>
        <v>0</v>
      </c>
    </row>
    <row r="18" spans="1:26" ht="14.65" customHeight="1" thickTop="1" thickBot="1">
      <c r="A18" s="207">
        <v>0.3</v>
      </c>
      <c r="E18" s="593" t="s">
        <v>228</v>
      </c>
      <c r="F18" s="461"/>
      <c r="G18" s="437"/>
      <c r="H18" s="218"/>
      <c r="I18" s="218"/>
      <c r="J18" s="218"/>
      <c r="K18" s="218"/>
      <c r="L18" s="218"/>
      <c r="M18" s="218"/>
      <c r="N18" s="218"/>
      <c r="O18" s="218"/>
      <c r="P18" s="218"/>
      <c r="Q18" s="218"/>
      <c r="R18" s="218"/>
      <c r="S18" s="218"/>
      <c r="T18" s="218"/>
      <c r="U18" s="218"/>
      <c r="V18" s="218"/>
      <c r="W18" s="218"/>
      <c r="X18" s="218"/>
      <c r="Y18" s="198"/>
      <c r="Z18" s="198"/>
    </row>
    <row r="19" spans="1:26" ht="14.65" customHeight="1" thickTop="1">
      <c r="A19" s="207">
        <v>0.34</v>
      </c>
      <c r="E19" s="578"/>
      <c r="F19" s="458"/>
      <c r="G19" s="472"/>
      <c r="H19" s="199"/>
      <c r="I19" s="199"/>
      <c r="J19" s="199"/>
      <c r="K19" s="199"/>
      <c r="L19" s="199"/>
      <c r="M19" s="199"/>
      <c r="N19" s="199"/>
      <c r="O19" s="199"/>
      <c r="P19" s="199"/>
      <c r="Q19" s="199"/>
      <c r="R19" s="199"/>
      <c r="S19" s="199"/>
      <c r="T19" s="199"/>
      <c r="U19" s="199"/>
      <c r="V19" s="199"/>
      <c r="W19" s="199"/>
      <c r="X19" s="199"/>
      <c r="Y19" s="198"/>
      <c r="Z19" s="198"/>
    </row>
    <row r="20" spans="1:26" ht="14.65" customHeight="1">
      <c r="A20" s="207"/>
      <c r="E20" s="578"/>
      <c r="F20" s="457"/>
      <c r="G20" s="472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/>
      <c r="V20" s="199"/>
      <c r="W20" s="199"/>
      <c r="X20" s="199"/>
      <c r="Y20" s="199"/>
      <c r="Z20" s="199"/>
    </row>
    <row r="21" spans="1:26" ht="14.65" customHeight="1">
      <c r="A21" s="207">
        <v>0.32</v>
      </c>
      <c r="E21" s="578"/>
      <c r="F21" s="458"/>
      <c r="G21" s="473"/>
      <c r="H21" s="200"/>
      <c r="I21" s="200"/>
      <c r="J21" s="200"/>
      <c r="K21" s="200"/>
      <c r="L21" s="200"/>
      <c r="M21" s="200"/>
      <c r="N21" s="200"/>
      <c r="O21" s="200"/>
      <c r="P21" s="200"/>
      <c r="Q21" s="200"/>
      <c r="R21" s="200"/>
      <c r="S21" s="200"/>
      <c r="T21" s="200"/>
      <c r="U21" s="200"/>
      <c r="V21" s="200"/>
      <c r="W21" s="200"/>
      <c r="X21" s="200"/>
      <c r="Y21" s="200"/>
      <c r="Z21" s="200"/>
    </row>
    <row r="22" spans="1:26" ht="14.65" customHeight="1">
      <c r="A22" s="207"/>
      <c r="E22" s="578"/>
      <c r="F22" s="459"/>
      <c r="G22" s="475"/>
      <c r="H22" s="201"/>
      <c r="I22" s="201"/>
      <c r="J22" s="201"/>
      <c r="K22" s="201"/>
      <c r="L22" s="201"/>
      <c r="M22" s="201"/>
      <c r="N22" s="201"/>
      <c r="O22" s="201"/>
      <c r="P22" s="201"/>
      <c r="Q22" s="201"/>
      <c r="R22" s="201"/>
      <c r="S22" s="201"/>
      <c r="T22" s="201"/>
      <c r="U22" s="201"/>
      <c r="V22" s="201"/>
      <c r="W22" s="201"/>
      <c r="X22" s="201"/>
      <c r="Y22" s="201"/>
      <c r="Z22" s="201"/>
    </row>
    <row r="23" spans="1:26" ht="14.65" customHeight="1">
      <c r="A23" s="208">
        <v>0.34</v>
      </c>
      <c r="B23" s="202" t="s">
        <v>229</v>
      </c>
      <c r="C23" s="203" t="s">
        <v>225</v>
      </c>
      <c r="E23" s="578"/>
      <c r="F23" s="460"/>
      <c r="G23" s="476"/>
      <c r="H23" s="204"/>
      <c r="I23" s="204"/>
      <c r="J23" s="204"/>
      <c r="K23" s="204"/>
      <c r="L23" s="204"/>
      <c r="M23" s="204"/>
      <c r="N23" s="204"/>
      <c r="O23" s="204"/>
      <c r="P23" s="204"/>
      <c r="Q23" s="204"/>
      <c r="R23" s="204"/>
      <c r="S23" s="204"/>
      <c r="T23" s="204"/>
      <c r="U23" s="204"/>
      <c r="V23" s="204"/>
      <c r="W23" s="204"/>
      <c r="X23" s="204"/>
      <c r="Y23" s="204"/>
      <c r="Z23" s="204"/>
    </row>
    <row r="24" spans="1:26" ht="14.65" customHeight="1" thickBot="1">
      <c r="B24" s="206">
        <v>0.99</v>
      </c>
      <c r="C24" s="206">
        <f>1-B24</f>
        <v>1.0000000000000009E-2</v>
      </c>
      <c r="E24" s="579"/>
      <c r="F24" s="462" t="s">
        <v>230</v>
      </c>
      <c r="G24" s="477">
        <f>SUM(G18:G23)</f>
        <v>0</v>
      </c>
      <c r="H24" s="209">
        <f t="shared" ref="H24:Z24" si="2">SUM(H18:H23)</f>
        <v>0</v>
      </c>
      <c r="I24" s="209">
        <f t="shared" si="2"/>
        <v>0</v>
      </c>
      <c r="J24" s="209">
        <f t="shared" si="2"/>
        <v>0</v>
      </c>
      <c r="K24" s="209">
        <f t="shared" si="2"/>
        <v>0</v>
      </c>
      <c r="L24" s="209">
        <f t="shared" si="2"/>
        <v>0</v>
      </c>
      <c r="M24" s="209">
        <f t="shared" si="2"/>
        <v>0</v>
      </c>
      <c r="N24" s="209">
        <f t="shared" si="2"/>
        <v>0</v>
      </c>
      <c r="O24" s="209">
        <f t="shared" si="2"/>
        <v>0</v>
      </c>
      <c r="P24" s="209">
        <f t="shared" si="2"/>
        <v>0</v>
      </c>
      <c r="Q24" s="209">
        <f t="shared" si="2"/>
        <v>0</v>
      </c>
      <c r="R24" s="209">
        <f t="shared" si="2"/>
        <v>0</v>
      </c>
      <c r="S24" s="209">
        <f t="shared" si="2"/>
        <v>0</v>
      </c>
      <c r="T24" s="209">
        <f t="shared" si="2"/>
        <v>0</v>
      </c>
      <c r="U24" s="209">
        <f t="shared" si="2"/>
        <v>0</v>
      </c>
      <c r="V24" s="209">
        <f t="shared" si="2"/>
        <v>0</v>
      </c>
      <c r="W24" s="209">
        <f t="shared" si="2"/>
        <v>0</v>
      </c>
      <c r="X24" s="209">
        <f t="shared" si="2"/>
        <v>0</v>
      </c>
      <c r="Y24" s="209">
        <f t="shared" si="2"/>
        <v>0</v>
      </c>
      <c r="Z24" s="209">
        <f t="shared" si="2"/>
        <v>0</v>
      </c>
    </row>
    <row r="25" spans="1:26" ht="14.65" customHeight="1" thickTop="1">
      <c r="E25" s="594" t="s">
        <v>231</v>
      </c>
      <c r="F25" s="595"/>
      <c r="G25" s="478">
        <f t="shared" ref="G25:K25" si="3">G17-G24</f>
        <v>622833</v>
      </c>
      <c r="H25" s="210">
        <f t="shared" si="3"/>
        <v>559842</v>
      </c>
      <c r="I25" s="210">
        <f t="shared" si="3"/>
        <v>621881.27919999999</v>
      </c>
      <c r="J25" s="210">
        <f t="shared" si="3"/>
        <v>576500.29839999997</v>
      </c>
      <c r="K25" s="210">
        <f t="shared" si="3"/>
        <v>553809.80800000008</v>
      </c>
      <c r="L25" s="210">
        <f>L17-L24</f>
        <v>576500.29839999997</v>
      </c>
      <c r="M25" s="210">
        <f t="shared" ref="M25:Z25" si="4">M17-M24</f>
        <v>599190.78879999998</v>
      </c>
      <c r="N25" s="210">
        <f t="shared" si="4"/>
        <v>599190.78879999998</v>
      </c>
      <c r="O25" s="210">
        <f t="shared" si="4"/>
        <v>599190.78879999998</v>
      </c>
      <c r="P25" s="210">
        <f t="shared" si="4"/>
        <v>793196</v>
      </c>
      <c r="Q25" s="210">
        <f t="shared" si="4"/>
        <v>761687</v>
      </c>
      <c r="R25" s="210">
        <f t="shared" si="4"/>
        <v>793196</v>
      </c>
      <c r="S25" s="210">
        <f t="shared" si="4"/>
        <v>0</v>
      </c>
      <c r="T25" s="210">
        <f t="shared" si="4"/>
        <v>0</v>
      </c>
      <c r="U25" s="210">
        <f t="shared" si="4"/>
        <v>0</v>
      </c>
      <c r="V25" s="210">
        <f t="shared" si="4"/>
        <v>0</v>
      </c>
      <c r="W25" s="210">
        <f t="shared" si="4"/>
        <v>0</v>
      </c>
      <c r="X25" s="210">
        <f t="shared" si="4"/>
        <v>0</v>
      </c>
      <c r="Y25" s="210">
        <f t="shared" si="4"/>
        <v>0</v>
      </c>
      <c r="Z25" s="210">
        <f t="shared" si="4"/>
        <v>0</v>
      </c>
    </row>
    <row r="26" spans="1:26" ht="14.65" customHeight="1" thickBot="1">
      <c r="A26" s="211" t="s">
        <v>232</v>
      </c>
      <c r="B26" s="212"/>
      <c r="C26" s="212"/>
      <c r="E26" s="596"/>
      <c r="F26" s="597"/>
      <c r="G26" s="479">
        <f t="shared" ref="G26:Z26" si="5">G25/G17</f>
        <v>1</v>
      </c>
      <c r="H26" s="213">
        <f t="shared" si="5"/>
        <v>1</v>
      </c>
      <c r="I26" s="213">
        <f t="shared" si="5"/>
        <v>1</v>
      </c>
      <c r="J26" s="213">
        <f t="shared" si="5"/>
        <v>1</v>
      </c>
      <c r="K26" s="213">
        <f t="shared" si="5"/>
        <v>1</v>
      </c>
      <c r="L26" s="213">
        <f t="shared" si="5"/>
        <v>1</v>
      </c>
      <c r="M26" s="213">
        <f t="shared" si="5"/>
        <v>1</v>
      </c>
      <c r="N26" s="213">
        <f t="shared" si="5"/>
        <v>1</v>
      </c>
      <c r="O26" s="213">
        <f t="shared" si="5"/>
        <v>1</v>
      </c>
      <c r="P26" s="213">
        <f t="shared" si="5"/>
        <v>1</v>
      </c>
      <c r="Q26" s="213">
        <f t="shared" si="5"/>
        <v>1</v>
      </c>
      <c r="R26" s="213">
        <f t="shared" si="5"/>
        <v>1</v>
      </c>
      <c r="S26" s="213" t="e">
        <f t="shared" si="5"/>
        <v>#DIV/0!</v>
      </c>
      <c r="T26" s="213" t="e">
        <f t="shared" si="5"/>
        <v>#DIV/0!</v>
      </c>
      <c r="U26" s="213" t="e">
        <f t="shared" si="5"/>
        <v>#DIV/0!</v>
      </c>
      <c r="V26" s="213" t="e">
        <f t="shared" si="5"/>
        <v>#DIV/0!</v>
      </c>
      <c r="W26" s="213" t="e">
        <f t="shared" si="5"/>
        <v>#DIV/0!</v>
      </c>
      <c r="X26" s="213" t="e">
        <f t="shared" si="5"/>
        <v>#DIV/0!</v>
      </c>
      <c r="Y26" s="213" t="e">
        <f t="shared" si="5"/>
        <v>#DIV/0!</v>
      </c>
      <c r="Z26" s="213" t="e">
        <f t="shared" si="5"/>
        <v>#DIV/0!</v>
      </c>
    </row>
    <row r="27" spans="1:26" ht="14.65" customHeight="1" thickTop="1">
      <c r="A27" s="214">
        <v>590</v>
      </c>
      <c r="B27" s="212"/>
      <c r="C27" s="212"/>
      <c r="E27" s="598" t="s">
        <v>233</v>
      </c>
      <c r="F27" s="463" t="s">
        <v>234</v>
      </c>
      <c r="G27" s="471">
        <v>0</v>
      </c>
      <c r="H27" s="198">
        <v>100000</v>
      </c>
      <c r="I27" s="198">
        <v>100000</v>
      </c>
      <c r="J27" s="198">
        <v>100000</v>
      </c>
      <c r="K27" s="198">
        <v>100000</v>
      </c>
      <c r="L27" s="198">
        <v>100000</v>
      </c>
      <c r="M27" s="198">
        <v>100000</v>
      </c>
      <c r="N27" s="198">
        <v>100000</v>
      </c>
      <c r="O27" s="198">
        <v>100000</v>
      </c>
      <c r="P27" s="198">
        <v>100000</v>
      </c>
      <c r="Q27" s="198">
        <v>100000</v>
      </c>
      <c r="R27" s="198">
        <v>100000</v>
      </c>
      <c r="S27" s="198"/>
      <c r="T27" s="198"/>
      <c r="U27" s="198"/>
      <c r="V27" s="198"/>
      <c r="W27" s="198"/>
      <c r="X27" s="198"/>
      <c r="Y27" s="198"/>
      <c r="Z27" s="198"/>
    </row>
    <row r="28" spans="1:26" ht="14.65" customHeight="1">
      <c r="A28" s="214"/>
      <c r="B28" s="212"/>
      <c r="C28" s="212"/>
      <c r="E28" s="578"/>
      <c r="F28" s="464" t="s">
        <v>235</v>
      </c>
      <c r="G28" s="473"/>
      <c r="H28" s="200"/>
      <c r="I28" s="200"/>
      <c r="J28" s="200"/>
      <c r="K28" s="200"/>
      <c r="L28" s="200"/>
      <c r="M28" s="200"/>
      <c r="N28" s="200"/>
      <c r="O28" s="200"/>
      <c r="P28" s="200"/>
      <c r="Q28" s="200"/>
      <c r="R28" s="200"/>
      <c r="S28" s="200"/>
      <c r="T28" s="200"/>
      <c r="U28" s="200"/>
      <c r="V28" s="200"/>
      <c r="W28" s="200"/>
      <c r="X28" s="200"/>
      <c r="Y28" s="200"/>
      <c r="Z28" s="200"/>
    </row>
    <row r="29" spans="1:26" ht="14.65" customHeight="1">
      <c r="A29" s="215" t="s">
        <v>236</v>
      </c>
      <c r="B29" s="212"/>
      <c r="C29" s="212"/>
      <c r="E29" s="578"/>
      <c r="F29" s="464" t="s">
        <v>237</v>
      </c>
      <c r="G29" s="473"/>
      <c r="H29" s="200"/>
      <c r="I29" s="200"/>
      <c r="J29" s="200"/>
      <c r="K29" s="200"/>
      <c r="L29" s="200"/>
      <c r="M29" s="200"/>
      <c r="N29" s="200"/>
      <c r="O29" s="200"/>
      <c r="P29" s="200"/>
      <c r="Q29" s="200"/>
      <c r="R29" s="200"/>
      <c r="S29" s="200"/>
      <c r="T29" s="200"/>
      <c r="U29" s="200"/>
      <c r="V29" s="200"/>
      <c r="W29" s="200"/>
      <c r="X29" s="200"/>
      <c r="Y29" s="200"/>
      <c r="Z29" s="200"/>
    </row>
    <row r="30" spans="1:26" ht="14.65" customHeight="1">
      <c r="A30" s="215" t="s">
        <v>236</v>
      </c>
      <c r="B30" s="212"/>
      <c r="C30" s="212"/>
      <c r="E30" s="578"/>
      <c r="F30" s="464" t="s">
        <v>238</v>
      </c>
      <c r="G30" s="473"/>
      <c r="H30" s="200"/>
      <c r="I30" s="200"/>
      <c r="J30" s="200"/>
      <c r="K30" s="200"/>
      <c r="L30" s="200"/>
      <c r="M30" s="200"/>
      <c r="N30" s="200"/>
      <c r="O30" s="200"/>
      <c r="P30" s="200"/>
      <c r="Q30" s="200"/>
      <c r="R30" s="200"/>
      <c r="S30" s="200"/>
      <c r="T30" s="200"/>
      <c r="U30" s="200"/>
      <c r="V30" s="200"/>
      <c r="W30" s="200"/>
      <c r="X30" s="200"/>
      <c r="Y30" s="200"/>
      <c r="Z30" s="200"/>
    </row>
    <row r="31" spans="1:26" ht="14.65" customHeight="1">
      <c r="A31" s="215"/>
      <c r="B31" s="212"/>
      <c r="C31" s="212"/>
      <c r="E31" s="578"/>
      <c r="F31" s="464" t="s">
        <v>371</v>
      </c>
      <c r="G31" s="473">
        <v>535456</v>
      </c>
      <c r="H31" s="200">
        <v>231819</v>
      </c>
      <c r="I31" s="200">
        <v>231819</v>
      </c>
      <c r="J31" s="200">
        <v>231819</v>
      </c>
      <c r="K31" s="200">
        <v>231819</v>
      </c>
      <c r="L31" s="200">
        <v>231819</v>
      </c>
      <c r="M31" s="200">
        <v>231819</v>
      </c>
      <c r="N31" s="200">
        <v>231819</v>
      </c>
      <c r="O31" s="200">
        <v>231819</v>
      </c>
      <c r="P31" s="200">
        <v>231819</v>
      </c>
      <c r="Q31" s="200">
        <v>231819</v>
      </c>
      <c r="R31" s="200">
        <v>231819</v>
      </c>
      <c r="S31" s="201"/>
      <c r="T31" s="201"/>
      <c r="U31" s="201"/>
      <c r="V31" s="201"/>
      <c r="W31" s="201"/>
      <c r="X31" s="201"/>
      <c r="Y31" s="201"/>
      <c r="Z31" s="201"/>
    </row>
    <row r="32" spans="1:26" ht="14.65" customHeight="1">
      <c r="A32" s="215"/>
      <c r="B32" s="212"/>
      <c r="C32" s="212"/>
      <c r="E32" s="578"/>
      <c r="F32" s="464"/>
      <c r="G32" s="473"/>
      <c r="H32" s="200"/>
      <c r="I32" s="200"/>
      <c r="J32" s="200"/>
      <c r="K32" s="200"/>
      <c r="L32" s="200"/>
      <c r="M32" s="200"/>
      <c r="N32" s="200"/>
      <c r="O32" s="200"/>
      <c r="P32" s="200"/>
      <c r="Q32" s="200"/>
      <c r="R32" s="200"/>
      <c r="S32" s="201"/>
      <c r="T32" s="201"/>
      <c r="U32" s="201"/>
      <c r="V32" s="201"/>
      <c r="W32" s="201"/>
      <c r="X32" s="201"/>
      <c r="Y32" s="201"/>
      <c r="Z32" s="201"/>
    </row>
    <row r="33" spans="1:26" ht="14.65" customHeight="1">
      <c r="A33" s="216">
        <v>3780</v>
      </c>
      <c r="B33" s="212"/>
      <c r="C33" s="212"/>
      <c r="E33" s="578"/>
      <c r="F33" s="465"/>
      <c r="G33" s="475"/>
      <c r="H33" s="201"/>
      <c r="I33" s="201"/>
      <c r="J33" s="201"/>
      <c r="K33" s="201"/>
      <c r="L33" s="201"/>
      <c r="M33" s="201"/>
      <c r="N33" s="201"/>
      <c r="O33" s="201"/>
      <c r="P33" s="201"/>
      <c r="Q33" s="201"/>
      <c r="R33" s="201"/>
      <c r="S33" s="201"/>
      <c r="T33" s="201"/>
      <c r="U33" s="204"/>
      <c r="V33" s="204"/>
      <c r="W33" s="204"/>
      <c r="X33" s="204"/>
      <c r="Y33" s="204"/>
      <c r="Z33" s="204"/>
    </row>
    <row r="34" spans="1:26" ht="14.65" customHeight="1">
      <c r="A34" s="211" t="s">
        <v>232</v>
      </c>
      <c r="B34" s="212"/>
      <c r="C34" s="212"/>
      <c r="E34" s="599"/>
      <c r="F34" s="466" t="s">
        <v>239</v>
      </c>
      <c r="G34" s="480">
        <f>SUM(G27:G33)</f>
        <v>535456</v>
      </c>
      <c r="H34" s="454">
        <f t="shared" ref="H34:Z34" si="6">SUM(H27:H33)</f>
        <v>331819</v>
      </c>
      <c r="I34" s="454">
        <f t="shared" si="6"/>
        <v>331819</v>
      </c>
      <c r="J34" s="454">
        <f t="shared" si="6"/>
        <v>331819</v>
      </c>
      <c r="K34" s="454">
        <f t="shared" si="6"/>
        <v>331819</v>
      </c>
      <c r="L34" s="454">
        <f t="shared" si="6"/>
        <v>331819</v>
      </c>
      <c r="M34" s="454">
        <f t="shared" si="6"/>
        <v>331819</v>
      </c>
      <c r="N34" s="454">
        <f t="shared" si="6"/>
        <v>331819</v>
      </c>
      <c r="O34" s="454">
        <f t="shared" si="6"/>
        <v>331819</v>
      </c>
      <c r="P34" s="454">
        <f t="shared" si="6"/>
        <v>331819</v>
      </c>
      <c r="Q34" s="454">
        <f t="shared" si="6"/>
        <v>331819</v>
      </c>
      <c r="R34" s="454">
        <f t="shared" si="6"/>
        <v>331819</v>
      </c>
      <c r="S34" s="454">
        <f t="shared" si="6"/>
        <v>0</v>
      </c>
      <c r="T34" s="454">
        <f t="shared" si="6"/>
        <v>0</v>
      </c>
      <c r="U34" s="217">
        <f t="shared" si="6"/>
        <v>0</v>
      </c>
      <c r="V34" s="217">
        <f t="shared" si="6"/>
        <v>0</v>
      </c>
      <c r="W34" s="217">
        <f t="shared" si="6"/>
        <v>0</v>
      </c>
      <c r="X34" s="217">
        <f t="shared" si="6"/>
        <v>0</v>
      </c>
      <c r="Y34" s="217">
        <f t="shared" si="6"/>
        <v>0</v>
      </c>
      <c r="Z34" s="217">
        <f t="shared" si="6"/>
        <v>0</v>
      </c>
    </row>
    <row r="35" spans="1:26" ht="14.65" customHeight="1">
      <c r="A35" s="214">
        <v>661</v>
      </c>
      <c r="B35" s="212"/>
      <c r="C35" s="212"/>
      <c r="E35" s="577" t="s">
        <v>240</v>
      </c>
      <c r="F35" s="463" t="s">
        <v>241</v>
      </c>
      <c r="G35" s="473">
        <v>9720</v>
      </c>
      <c r="H35" s="200">
        <v>5371</v>
      </c>
      <c r="I35" s="200">
        <v>50000</v>
      </c>
      <c r="J35" s="200">
        <v>50000</v>
      </c>
      <c r="K35" s="200">
        <v>50000</v>
      </c>
      <c r="L35" s="200">
        <v>50000</v>
      </c>
      <c r="M35" s="200">
        <v>50000</v>
      </c>
      <c r="N35" s="200">
        <v>50000</v>
      </c>
      <c r="O35" s="200">
        <v>50000</v>
      </c>
      <c r="P35" s="200">
        <v>50000</v>
      </c>
      <c r="Q35" s="200">
        <v>50000</v>
      </c>
      <c r="R35" s="200">
        <v>50000</v>
      </c>
      <c r="S35" s="218"/>
      <c r="T35" s="218"/>
      <c r="U35" s="218"/>
      <c r="V35" s="218"/>
      <c r="W35" s="218"/>
      <c r="X35" s="218"/>
      <c r="Y35" s="218"/>
      <c r="Z35" s="218"/>
    </row>
    <row r="36" spans="1:26" ht="14.65" customHeight="1">
      <c r="A36" s="214" t="s">
        <v>220</v>
      </c>
      <c r="B36" s="212"/>
      <c r="C36" s="212"/>
      <c r="E36" s="578"/>
      <c r="F36" s="464" t="s">
        <v>242</v>
      </c>
      <c r="G36" s="473">
        <v>1200</v>
      </c>
      <c r="H36" s="200">
        <v>55560</v>
      </c>
      <c r="I36" s="200">
        <v>600</v>
      </c>
      <c r="J36" s="200">
        <v>600</v>
      </c>
      <c r="K36" s="200">
        <v>600</v>
      </c>
      <c r="L36" s="200">
        <v>600</v>
      </c>
      <c r="M36" s="200">
        <v>600</v>
      </c>
      <c r="N36" s="200">
        <v>600</v>
      </c>
      <c r="O36" s="200">
        <v>600</v>
      </c>
      <c r="P36" s="200">
        <v>600</v>
      </c>
      <c r="Q36" s="200">
        <v>600</v>
      </c>
      <c r="R36" s="200">
        <v>600</v>
      </c>
      <c r="S36" s="200"/>
      <c r="T36" s="200"/>
      <c r="U36" s="200"/>
      <c r="V36" s="200"/>
      <c r="W36" s="200"/>
      <c r="X36" s="200"/>
      <c r="Y36" s="200"/>
      <c r="Z36" s="200"/>
    </row>
    <row r="37" spans="1:26" ht="14.65" customHeight="1">
      <c r="A37" s="215" t="s">
        <v>236</v>
      </c>
      <c r="B37" s="212"/>
      <c r="C37" s="212"/>
      <c r="E37" s="578"/>
      <c r="F37" s="464" t="s">
        <v>243</v>
      </c>
      <c r="G37" s="473"/>
      <c r="H37" s="200"/>
      <c r="I37" s="200"/>
      <c r="J37" s="200"/>
      <c r="K37" s="200"/>
      <c r="L37" s="200"/>
      <c r="M37" s="200"/>
      <c r="N37" s="200"/>
      <c r="O37" s="200"/>
      <c r="P37" s="200">
        <v>0</v>
      </c>
      <c r="Q37" s="200">
        <v>0</v>
      </c>
      <c r="R37" s="200">
        <v>0</v>
      </c>
      <c r="S37" s="200"/>
      <c r="T37" s="200"/>
      <c r="U37" s="200"/>
      <c r="V37" s="200"/>
      <c r="W37" s="200"/>
      <c r="X37" s="200"/>
      <c r="Y37" s="200"/>
      <c r="Z37" s="200"/>
    </row>
    <row r="38" spans="1:26" ht="14.65" customHeight="1">
      <c r="A38" s="215"/>
      <c r="B38" s="212"/>
      <c r="C38" s="212"/>
      <c r="E38" s="578"/>
      <c r="F38" s="464" t="s">
        <v>244</v>
      </c>
      <c r="G38" s="473">
        <v>13438</v>
      </c>
      <c r="H38" s="200">
        <v>50137</v>
      </c>
      <c r="I38" s="200">
        <v>50000</v>
      </c>
      <c r="J38" s="200">
        <v>50000</v>
      </c>
      <c r="K38" s="200">
        <v>50000</v>
      </c>
      <c r="L38" s="200">
        <v>50000</v>
      </c>
      <c r="M38" s="200">
        <v>50000</v>
      </c>
      <c r="N38" s="200">
        <v>50000</v>
      </c>
      <c r="O38" s="200">
        <v>50000</v>
      </c>
      <c r="P38" s="200">
        <v>50000</v>
      </c>
      <c r="Q38" s="200">
        <v>50000</v>
      </c>
      <c r="R38" s="200">
        <v>50000</v>
      </c>
      <c r="S38" s="200"/>
      <c r="T38" s="200"/>
      <c r="U38" s="200"/>
      <c r="V38" s="200"/>
      <c r="W38" s="200"/>
      <c r="X38" s="200"/>
      <c r="Y38" s="200"/>
      <c r="Z38" s="200"/>
    </row>
    <row r="39" spans="1:26" ht="14.65" customHeight="1">
      <c r="A39" s="215"/>
      <c r="B39" s="212"/>
      <c r="C39" s="212"/>
      <c r="E39" s="578"/>
      <c r="F39" s="464" t="s">
        <v>245</v>
      </c>
      <c r="G39" s="473"/>
      <c r="H39" s="200"/>
      <c r="I39" s="200"/>
      <c r="J39" s="200"/>
      <c r="K39" s="200"/>
      <c r="L39" s="200"/>
      <c r="M39" s="200"/>
      <c r="N39" s="200"/>
      <c r="O39" s="200"/>
      <c r="P39" s="200"/>
      <c r="Q39" s="200"/>
      <c r="R39" s="200"/>
      <c r="S39" s="200"/>
      <c r="T39" s="200"/>
      <c r="U39" s="200"/>
      <c r="V39" s="200"/>
      <c r="W39" s="200"/>
      <c r="X39" s="200"/>
      <c r="Y39" s="200"/>
      <c r="Z39" s="200"/>
    </row>
    <row r="40" spans="1:26" ht="14.65" customHeight="1">
      <c r="A40" s="215"/>
      <c r="B40" s="212"/>
      <c r="C40" s="212"/>
      <c r="E40" s="578"/>
      <c r="F40" s="464" t="s">
        <v>246</v>
      </c>
      <c r="G40" s="473">
        <v>26500</v>
      </c>
      <c r="H40" s="200">
        <v>26500</v>
      </c>
      <c r="I40" s="200">
        <v>66666</v>
      </c>
      <c r="J40" s="200">
        <v>66666</v>
      </c>
      <c r="K40" s="200">
        <v>66666</v>
      </c>
      <c r="L40" s="200">
        <v>66666</v>
      </c>
      <c r="M40" s="200">
        <v>0</v>
      </c>
      <c r="N40" s="200">
        <v>0</v>
      </c>
      <c r="O40" s="200">
        <v>0</v>
      </c>
      <c r="P40" s="200">
        <v>26500</v>
      </c>
      <c r="Q40" s="200">
        <v>26500</v>
      </c>
      <c r="R40" s="200">
        <v>26500</v>
      </c>
      <c r="S40" s="200"/>
      <c r="T40" s="200"/>
      <c r="U40" s="200"/>
      <c r="V40" s="200"/>
      <c r="W40" s="200"/>
      <c r="X40" s="200"/>
      <c r="Y40" s="200"/>
      <c r="Z40" s="200"/>
    </row>
    <row r="41" spans="1:26" ht="14.65" customHeight="1">
      <c r="A41" s="215"/>
      <c r="B41" s="212"/>
      <c r="C41" s="212"/>
      <c r="E41" s="578"/>
      <c r="F41" s="464" t="s">
        <v>247</v>
      </c>
      <c r="G41" s="473"/>
      <c r="H41" s="200"/>
      <c r="I41" s="200"/>
      <c r="J41" s="200"/>
      <c r="K41" s="200"/>
      <c r="L41" s="200"/>
      <c r="M41" s="200"/>
      <c r="N41" s="200"/>
      <c r="O41" s="200"/>
      <c r="P41" s="200"/>
      <c r="Q41" s="200"/>
      <c r="R41" s="200"/>
      <c r="S41" s="200"/>
      <c r="T41" s="200"/>
      <c r="U41" s="200"/>
      <c r="V41" s="200"/>
      <c r="W41" s="200"/>
      <c r="X41" s="200"/>
      <c r="Y41" s="200"/>
      <c r="Z41" s="200"/>
    </row>
    <row r="42" spans="1:26" ht="14.65" customHeight="1">
      <c r="A42" s="215"/>
      <c r="B42" s="212"/>
      <c r="C42" s="212"/>
      <c r="E42" s="578"/>
      <c r="F42" s="464" t="s">
        <v>248</v>
      </c>
      <c r="G42" s="473">
        <v>44500</v>
      </c>
      <c r="H42" s="200">
        <v>44500</v>
      </c>
      <c r="I42" s="200">
        <v>44500</v>
      </c>
      <c r="J42" s="200">
        <v>44500</v>
      </c>
      <c r="K42" s="200">
        <v>44500</v>
      </c>
      <c r="L42" s="200">
        <v>44500</v>
      </c>
      <c r="M42" s="200">
        <v>44500</v>
      </c>
      <c r="N42" s="200">
        <v>44500</v>
      </c>
      <c r="O42" s="200">
        <v>44500</v>
      </c>
      <c r="P42" s="200">
        <v>44500</v>
      </c>
      <c r="Q42" s="200">
        <v>44500</v>
      </c>
      <c r="R42" s="200">
        <v>44500</v>
      </c>
      <c r="S42" s="200"/>
      <c r="T42" s="200"/>
      <c r="U42" s="200"/>
      <c r="V42" s="200"/>
      <c r="W42" s="200"/>
      <c r="X42" s="200"/>
      <c r="Y42" s="200"/>
      <c r="Z42" s="200"/>
    </row>
    <row r="43" spans="1:26" ht="14.65" customHeight="1">
      <c r="A43" s="215"/>
      <c r="B43" s="212"/>
      <c r="C43" s="212"/>
      <c r="E43" s="578"/>
      <c r="F43" s="464" t="s">
        <v>249</v>
      </c>
      <c r="G43" s="473"/>
      <c r="H43" s="200"/>
      <c r="I43" s="200"/>
      <c r="J43" s="200"/>
      <c r="K43" s="200"/>
      <c r="L43" s="200"/>
      <c r="M43" s="200"/>
      <c r="N43" s="200"/>
      <c r="O43" s="200"/>
      <c r="P43" s="200"/>
      <c r="Q43" s="200"/>
      <c r="R43" s="200"/>
      <c r="S43" s="200"/>
      <c r="T43" s="200"/>
      <c r="U43" s="200"/>
      <c r="V43" s="200"/>
      <c r="W43" s="200"/>
      <c r="X43" s="200"/>
      <c r="Y43" s="200"/>
      <c r="Z43" s="200"/>
    </row>
    <row r="44" spans="1:26" ht="14.65" customHeight="1">
      <c r="A44" s="215"/>
      <c r="B44" s="212"/>
      <c r="C44" s="212"/>
      <c r="E44" s="578"/>
      <c r="F44" s="464" t="s">
        <v>250</v>
      </c>
      <c r="G44" s="473"/>
      <c r="H44" s="200"/>
      <c r="I44" s="200"/>
      <c r="J44" s="200"/>
      <c r="K44" s="200"/>
      <c r="L44" s="200"/>
      <c r="M44" s="200"/>
      <c r="N44" s="200"/>
      <c r="O44" s="200"/>
      <c r="P44" s="200"/>
      <c r="Q44" s="200"/>
      <c r="R44" s="200"/>
      <c r="S44" s="200"/>
      <c r="T44" s="200"/>
      <c r="U44" s="200"/>
      <c r="V44" s="200"/>
      <c r="W44" s="200"/>
      <c r="X44" s="200"/>
      <c r="Y44" s="200"/>
      <c r="Z44" s="200"/>
    </row>
    <row r="45" spans="1:26" ht="14.65" customHeight="1">
      <c r="A45" s="215"/>
      <c r="B45" s="212"/>
      <c r="C45" s="212"/>
      <c r="E45" s="578"/>
      <c r="F45" s="464" t="s">
        <v>251</v>
      </c>
      <c r="G45" s="473"/>
      <c r="H45" s="200"/>
      <c r="I45" s="200"/>
      <c r="J45" s="200"/>
      <c r="K45" s="200"/>
      <c r="L45" s="200"/>
      <c r="M45" s="200"/>
      <c r="N45" s="200"/>
      <c r="O45" s="200"/>
      <c r="P45" s="200"/>
      <c r="Q45" s="200"/>
      <c r="R45" s="200"/>
      <c r="S45" s="200"/>
      <c r="T45" s="200"/>
      <c r="U45" s="200"/>
      <c r="V45" s="200"/>
      <c r="W45" s="200"/>
      <c r="X45" s="200"/>
      <c r="Y45" s="200"/>
      <c r="Z45" s="200"/>
    </row>
    <row r="46" spans="1:26" ht="14.65" customHeight="1">
      <c r="A46" s="215"/>
      <c r="B46" s="212"/>
      <c r="C46" s="212"/>
      <c r="E46" s="578"/>
      <c r="F46" s="464" t="s">
        <v>252</v>
      </c>
      <c r="G46" s="473"/>
      <c r="H46" s="200"/>
      <c r="I46" s="200"/>
      <c r="J46" s="200"/>
      <c r="K46" s="200"/>
      <c r="L46" s="200"/>
      <c r="M46" s="200"/>
      <c r="N46" s="200"/>
      <c r="O46" s="200"/>
      <c r="P46" s="200"/>
      <c r="Q46" s="200"/>
      <c r="R46" s="200"/>
      <c r="S46" s="200"/>
      <c r="T46" s="200"/>
      <c r="U46" s="200"/>
      <c r="V46" s="200"/>
      <c r="W46" s="200"/>
      <c r="X46" s="200"/>
      <c r="Y46" s="200"/>
      <c r="Z46" s="200"/>
    </row>
    <row r="47" spans="1:26" ht="14.65" customHeight="1">
      <c r="A47" s="215"/>
      <c r="B47" s="212"/>
      <c r="C47" s="212"/>
      <c r="E47" s="578"/>
      <c r="F47" s="464" t="s">
        <v>253</v>
      </c>
      <c r="G47" s="473">
        <v>4797</v>
      </c>
      <c r="H47" s="200">
        <v>0</v>
      </c>
      <c r="I47" s="200">
        <v>0</v>
      </c>
      <c r="J47" s="200">
        <v>0</v>
      </c>
      <c r="K47" s="200">
        <v>0</v>
      </c>
      <c r="L47" s="200">
        <v>0</v>
      </c>
      <c r="M47" s="200">
        <v>0</v>
      </c>
      <c r="N47" s="200">
        <v>0</v>
      </c>
      <c r="O47" s="200">
        <v>0</v>
      </c>
      <c r="P47" s="200">
        <v>0</v>
      </c>
      <c r="Q47" s="200">
        <v>0</v>
      </c>
      <c r="R47" s="200">
        <v>0</v>
      </c>
      <c r="S47" s="200"/>
      <c r="T47" s="200"/>
      <c r="U47" s="200"/>
      <c r="V47" s="200"/>
      <c r="W47" s="200"/>
      <c r="X47" s="200"/>
      <c r="Y47" s="200"/>
      <c r="Z47" s="200"/>
    </row>
    <row r="48" spans="1:26" ht="14.65" customHeight="1">
      <c r="A48" s="215"/>
      <c r="B48" s="212"/>
      <c r="C48" s="212"/>
      <c r="E48" s="578"/>
      <c r="F48" s="464" t="s">
        <v>254</v>
      </c>
      <c r="G48" s="473"/>
      <c r="H48" s="200"/>
      <c r="I48" s="200"/>
      <c r="J48" s="200"/>
      <c r="K48" s="200"/>
      <c r="L48" s="200"/>
      <c r="M48" s="200"/>
      <c r="N48" s="200"/>
      <c r="O48" s="200"/>
      <c r="P48" s="200"/>
      <c r="Q48" s="200"/>
      <c r="R48" s="200"/>
      <c r="S48" s="200"/>
      <c r="T48" s="200"/>
      <c r="U48" s="200"/>
      <c r="V48" s="200"/>
      <c r="W48" s="200"/>
      <c r="X48" s="200"/>
      <c r="Y48" s="200"/>
      <c r="Z48" s="200"/>
    </row>
    <row r="49" spans="1:26" ht="14.65" customHeight="1">
      <c r="A49" s="219">
        <v>1750</v>
      </c>
      <c r="B49" s="212"/>
      <c r="C49" s="212"/>
      <c r="E49" s="578"/>
      <c r="F49" s="464" t="s">
        <v>255</v>
      </c>
      <c r="G49" s="473"/>
      <c r="H49" s="200"/>
      <c r="I49" s="200"/>
      <c r="J49" s="200"/>
      <c r="K49" s="200"/>
      <c r="L49" s="200"/>
      <c r="M49" s="200"/>
      <c r="N49" s="200"/>
      <c r="O49" s="200"/>
      <c r="P49" s="200"/>
      <c r="Q49" s="200"/>
      <c r="R49" s="200"/>
      <c r="S49" s="200"/>
      <c r="T49" s="200"/>
      <c r="U49" s="200"/>
      <c r="V49" s="200"/>
      <c r="W49" s="200"/>
      <c r="X49" s="200"/>
      <c r="Y49" s="200"/>
      <c r="Z49" s="200"/>
    </row>
    <row r="50" spans="1:26" ht="14.65" customHeight="1">
      <c r="A50" s="219"/>
      <c r="B50" s="212"/>
      <c r="C50" s="212"/>
      <c r="E50" s="578"/>
      <c r="F50" s="464" t="s">
        <v>256</v>
      </c>
      <c r="G50" s="473">
        <v>12455</v>
      </c>
      <c r="H50" s="200">
        <v>1955</v>
      </c>
      <c r="I50" s="200">
        <v>0</v>
      </c>
      <c r="J50" s="200">
        <v>0</v>
      </c>
      <c r="K50" s="200">
        <v>0</v>
      </c>
      <c r="L50" s="200">
        <v>0</v>
      </c>
      <c r="M50" s="200">
        <v>0</v>
      </c>
      <c r="N50" s="200">
        <v>0</v>
      </c>
      <c r="O50" s="200">
        <v>0</v>
      </c>
      <c r="P50" s="200">
        <v>0</v>
      </c>
      <c r="Q50" s="200">
        <v>0</v>
      </c>
      <c r="R50" s="200">
        <v>0</v>
      </c>
      <c r="S50" s="200"/>
      <c r="T50" s="200"/>
      <c r="U50" s="200"/>
      <c r="V50" s="200"/>
      <c r="W50" s="200"/>
      <c r="X50" s="200"/>
      <c r="Y50" s="200"/>
      <c r="Z50" s="200"/>
    </row>
    <row r="51" spans="1:26" ht="14.65" customHeight="1">
      <c r="A51" s="219"/>
      <c r="B51" s="212"/>
      <c r="C51" s="212"/>
      <c r="E51" s="578"/>
      <c r="F51" s="464" t="s">
        <v>257</v>
      </c>
      <c r="G51" s="473"/>
      <c r="H51" s="200"/>
      <c r="I51" s="200"/>
      <c r="J51" s="200"/>
      <c r="K51" s="200"/>
      <c r="L51" s="200"/>
      <c r="M51" s="200"/>
      <c r="N51" s="200"/>
      <c r="O51" s="200"/>
      <c r="P51" s="200"/>
      <c r="Q51" s="200"/>
      <c r="R51" s="200"/>
      <c r="S51" s="200"/>
      <c r="T51" s="200"/>
      <c r="U51" s="200"/>
      <c r="V51" s="200"/>
      <c r="W51" s="200"/>
      <c r="X51" s="200"/>
      <c r="Y51" s="200"/>
      <c r="Z51" s="200"/>
    </row>
    <row r="52" spans="1:26" ht="14.65" customHeight="1">
      <c r="A52" s="219"/>
      <c r="B52" s="212"/>
      <c r="C52" s="212"/>
      <c r="E52" s="578"/>
      <c r="F52" s="464" t="s">
        <v>258</v>
      </c>
      <c r="G52" s="473"/>
      <c r="H52" s="200"/>
      <c r="I52" s="200"/>
      <c r="J52" s="200"/>
      <c r="K52" s="200"/>
      <c r="L52" s="200"/>
      <c r="M52" s="200"/>
      <c r="N52" s="200"/>
      <c r="O52" s="200"/>
      <c r="P52" s="200"/>
      <c r="Q52" s="200"/>
      <c r="R52" s="200"/>
      <c r="S52" s="200"/>
      <c r="T52" s="200"/>
      <c r="U52" s="200"/>
      <c r="V52" s="200"/>
      <c r="W52" s="200"/>
      <c r="X52" s="200"/>
      <c r="Y52" s="200"/>
      <c r="Z52" s="200"/>
    </row>
    <row r="53" spans="1:26" ht="14.65" customHeight="1">
      <c r="A53" s="219"/>
      <c r="B53" s="212"/>
      <c r="C53" s="212"/>
      <c r="E53" s="578"/>
      <c r="F53" s="464" t="s">
        <v>259</v>
      </c>
      <c r="G53" s="473"/>
      <c r="H53" s="200"/>
      <c r="I53" s="200"/>
      <c r="J53" s="200"/>
      <c r="K53" s="200"/>
      <c r="L53" s="200"/>
      <c r="M53" s="200"/>
      <c r="N53" s="200"/>
      <c r="O53" s="200"/>
      <c r="P53" s="200"/>
      <c r="Q53" s="200"/>
      <c r="R53" s="200"/>
      <c r="S53" s="200"/>
      <c r="T53" s="200"/>
      <c r="U53" s="200"/>
      <c r="V53" s="200"/>
      <c r="W53" s="200"/>
      <c r="X53" s="200"/>
      <c r="Y53" s="200"/>
      <c r="Z53" s="200"/>
    </row>
    <row r="54" spans="1:26" ht="14.65" customHeight="1">
      <c r="A54" s="219">
        <v>2758</v>
      </c>
      <c r="B54" s="212"/>
      <c r="C54" s="212"/>
      <c r="E54" s="578"/>
      <c r="F54" s="467" t="s">
        <v>363</v>
      </c>
      <c r="G54" s="485">
        <v>250137</v>
      </c>
      <c r="H54" s="226">
        <v>52081</v>
      </c>
      <c r="I54" s="226">
        <v>146550</v>
      </c>
      <c r="J54" s="226">
        <v>26550</v>
      </c>
      <c r="K54" s="226">
        <v>26550</v>
      </c>
      <c r="L54" s="226">
        <v>26550</v>
      </c>
      <c r="M54" s="226">
        <v>26550</v>
      </c>
      <c r="N54" s="226">
        <v>26550</v>
      </c>
      <c r="O54" s="226">
        <v>26550</v>
      </c>
      <c r="P54" s="226">
        <v>26550</v>
      </c>
      <c r="Q54" s="226">
        <v>26550</v>
      </c>
      <c r="R54" s="226">
        <v>26500</v>
      </c>
      <c r="S54" s="226"/>
      <c r="T54" s="204"/>
      <c r="U54" s="200"/>
      <c r="V54" s="200"/>
      <c r="W54" s="200"/>
      <c r="X54" s="200"/>
      <c r="Y54" s="200"/>
      <c r="Z54" s="200"/>
    </row>
    <row r="55" spans="1:26" ht="14.65" customHeight="1">
      <c r="A55" s="220"/>
      <c r="B55" s="212"/>
      <c r="C55" s="212"/>
      <c r="E55" s="579"/>
      <c r="F55" s="468" t="s">
        <v>239</v>
      </c>
      <c r="G55" s="481">
        <f t="shared" ref="G55:Z55" si="7">SUM(G35:G54)</f>
        <v>362747</v>
      </c>
      <c r="H55" s="221">
        <f t="shared" si="7"/>
        <v>236104</v>
      </c>
      <c r="I55" s="221">
        <f t="shared" si="7"/>
        <v>358316</v>
      </c>
      <c r="J55" s="221">
        <f t="shared" si="7"/>
        <v>238316</v>
      </c>
      <c r="K55" s="221">
        <f t="shared" si="7"/>
        <v>238316</v>
      </c>
      <c r="L55" s="221">
        <f t="shared" si="7"/>
        <v>238316</v>
      </c>
      <c r="M55" s="221">
        <f t="shared" si="7"/>
        <v>171650</v>
      </c>
      <c r="N55" s="221">
        <f t="shared" si="7"/>
        <v>171650</v>
      </c>
      <c r="O55" s="221">
        <f t="shared" si="7"/>
        <v>171650</v>
      </c>
      <c r="P55" s="221">
        <f t="shared" si="7"/>
        <v>198150</v>
      </c>
      <c r="Q55" s="221">
        <f t="shared" si="7"/>
        <v>198150</v>
      </c>
      <c r="R55" s="221">
        <f t="shared" si="7"/>
        <v>198100</v>
      </c>
      <c r="S55" s="221">
        <f t="shared" si="7"/>
        <v>0</v>
      </c>
      <c r="T55" s="221">
        <f t="shared" si="7"/>
        <v>0</v>
      </c>
      <c r="U55" s="221">
        <f t="shared" si="7"/>
        <v>0</v>
      </c>
      <c r="V55" s="221">
        <f t="shared" si="7"/>
        <v>0</v>
      </c>
      <c r="W55" s="221">
        <f t="shared" si="7"/>
        <v>0</v>
      </c>
      <c r="X55" s="221">
        <f t="shared" si="7"/>
        <v>0</v>
      </c>
      <c r="Y55" s="221">
        <f t="shared" si="7"/>
        <v>0</v>
      </c>
      <c r="Z55" s="221">
        <f t="shared" si="7"/>
        <v>0</v>
      </c>
    </row>
    <row r="56" spans="1:26" ht="14.65" customHeight="1" thickBot="1">
      <c r="A56" s="220"/>
      <c r="B56" s="212"/>
      <c r="C56" s="212"/>
      <c r="E56" s="580" t="s">
        <v>260</v>
      </c>
      <c r="F56" s="581"/>
      <c r="G56" s="482">
        <f t="shared" ref="G56:Z56" si="8">G34+G55</f>
        <v>898203</v>
      </c>
      <c r="H56" s="222">
        <f t="shared" si="8"/>
        <v>567923</v>
      </c>
      <c r="I56" s="222">
        <f t="shared" si="8"/>
        <v>690135</v>
      </c>
      <c r="J56" s="222">
        <f t="shared" si="8"/>
        <v>570135</v>
      </c>
      <c r="K56" s="222">
        <f t="shared" si="8"/>
        <v>570135</v>
      </c>
      <c r="L56" s="222">
        <f t="shared" si="8"/>
        <v>570135</v>
      </c>
      <c r="M56" s="222">
        <f t="shared" si="8"/>
        <v>503469</v>
      </c>
      <c r="N56" s="222">
        <f t="shared" si="8"/>
        <v>503469</v>
      </c>
      <c r="O56" s="222">
        <f t="shared" si="8"/>
        <v>503469</v>
      </c>
      <c r="P56" s="222">
        <f t="shared" si="8"/>
        <v>529969</v>
      </c>
      <c r="Q56" s="222">
        <f t="shared" si="8"/>
        <v>529969</v>
      </c>
      <c r="R56" s="222">
        <f t="shared" si="8"/>
        <v>529919</v>
      </c>
      <c r="S56" s="222">
        <f t="shared" si="8"/>
        <v>0</v>
      </c>
      <c r="T56" s="222">
        <f t="shared" si="8"/>
        <v>0</v>
      </c>
      <c r="U56" s="222">
        <f t="shared" si="8"/>
        <v>0</v>
      </c>
      <c r="V56" s="222">
        <f t="shared" si="8"/>
        <v>0</v>
      </c>
      <c r="W56" s="222">
        <f t="shared" si="8"/>
        <v>0</v>
      </c>
      <c r="X56" s="222">
        <f t="shared" si="8"/>
        <v>0</v>
      </c>
      <c r="Y56" s="222">
        <f t="shared" si="8"/>
        <v>0</v>
      </c>
      <c r="Z56" s="222">
        <f t="shared" si="8"/>
        <v>0</v>
      </c>
    </row>
    <row r="57" spans="1:26" ht="14.65" customHeight="1" thickTop="1" thickBot="1">
      <c r="A57" s="211" t="s">
        <v>232</v>
      </c>
      <c r="B57" s="212"/>
      <c r="C57" s="212"/>
      <c r="E57" s="573" t="s">
        <v>261</v>
      </c>
      <c r="F57" s="574"/>
      <c r="G57" s="483">
        <f t="shared" ref="G57:Z57" si="9">G25-G56</f>
        <v>-275370</v>
      </c>
      <c r="H57" s="223">
        <f t="shared" si="9"/>
        <v>-8081</v>
      </c>
      <c r="I57" s="223">
        <f t="shared" si="9"/>
        <v>-68253.72080000001</v>
      </c>
      <c r="J57" s="223">
        <f t="shared" si="9"/>
        <v>6365.2983999999706</v>
      </c>
      <c r="K57" s="223">
        <f t="shared" si="9"/>
        <v>-16325.191999999923</v>
      </c>
      <c r="L57" s="223">
        <f t="shared" si="9"/>
        <v>6365.2983999999706</v>
      </c>
      <c r="M57" s="223">
        <f t="shared" si="9"/>
        <v>95721.78879999998</v>
      </c>
      <c r="N57" s="223">
        <f t="shared" si="9"/>
        <v>95721.78879999998</v>
      </c>
      <c r="O57" s="223">
        <f t="shared" si="9"/>
        <v>95721.78879999998</v>
      </c>
      <c r="P57" s="223">
        <f t="shared" si="9"/>
        <v>263227</v>
      </c>
      <c r="Q57" s="223">
        <f t="shared" si="9"/>
        <v>231718</v>
      </c>
      <c r="R57" s="223">
        <f t="shared" si="9"/>
        <v>263277</v>
      </c>
      <c r="S57" s="223">
        <f t="shared" si="9"/>
        <v>0</v>
      </c>
      <c r="T57" s="223">
        <f t="shared" si="9"/>
        <v>0</v>
      </c>
      <c r="U57" s="223">
        <f t="shared" si="9"/>
        <v>0</v>
      </c>
      <c r="V57" s="223">
        <f t="shared" si="9"/>
        <v>0</v>
      </c>
      <c r="W57" s="223">
        <f t="shared" si="9"/>
        <v>0</v>
      </c>
      <c r="X57" s="223">
        <f t="shared" si="9"/>
        <v>0</v>
      </c>
      <c r="Y57" s="223">
        <f t="shared" si="9"/>
        <v>0</v>
      </c>
      <c r="Z57" s="223">
        <f t="shared" si="9"/>
        <v>0</v>
      </c>
    </row>
    <row r="58" spans="1:26" ht="14.65" customHeight="1" thickTop="1">
      <c r="A58" s="219"/>
      <c r="B58" s="212"/>
      <c r="C58" s="212"/>
      <c r="E58" s="582" t="s">
        <v>262</v>
      </c>
      <c r="F58" s="583"/>
      <c r="G58" s="471">
        <v>0</v>
      </c>
      <c r="H58" s="198">
        <v>1782</v>
      </c>
      <c r="I58" s="198">
        <v>0</v>
      </c>
      <c r="J58" s="198">
        <v>0</v>
      </c>
      <c r="K58" s="198">
        <v>0</v>
      </c>
      <c r="L58" s="198">
        <v>0</v>
      </c>
      <c r="M58" s="198">
        <v>0</v>
      </c>
      <c r="N58" s="198">
        <v>0</v>
      </c>
      <c r="O58" s="198">
        <v>0</v>
      </c>
      <c r="P58" s="198">
        <v>0</v>
      </c>
      <c r="Q58" s="198">
        <v>0</v>
      </c>
      <c r="R58" s="198">
        <v>0</v>
      </c>
      <c r="S58" s="198"/>
      <c r="T58" s="198"/>
      <c r="U58" s="198"/>
      <c r="V58" s="198"/>
      <c r="W58" s="198"/>
      <c r="X58" s="198"/>
      <c r="Y58" s="198"/>
      <c r="Z58" s="198"/>
    </row>
    <row r="59" spans="1:26" ht="14.65" customHeight="1" thickBot="1">
      <c r="A59" s="224">
        <v>76</v>
      </c>
      <c r="B59" s="212"/>
      <c r="C59" s="212"/>
      <c r="E59" s="584" t="s">
        <v>263</v>
      </c>
      <c r="F59" s="585"/>
      <c r="G59" s="484">
        <v>8493</v>
      </c>
      <c r="H59" s="225">
        <v>8493</v>
      </c>
      <c r="I59" s="225">
        <v>8000</v>
      </c>
      <c r="J59" s="225">
        <v>8000</v>
      </c>
      <c r="K59" s="225">
        <v>8000</v>
      </c>
      <c r="L59" s="225">
        <v>8000</v>
      </c>
      <c r="M59" s="225">
        <v>8000</v>
      </c>
      <c r="N59" s="225">
        <v>8000</v>
      </c>
      <c r="O59" s="225">
        <v>8000</v>
      </c>
      <c r="P59" s="225">
        <v>8000</v>
      </c>
      <c r="Q59" s="225">
        <v>8000</v>
      </c>
      <c r="R59" s="225">
        <v>8000</v>
      </c>
      <c r="S59" s="225"/>
      <c r="T59" s="225"/>
      <c r="U59" s="225"/>
      <c r="V59" s="225"/>
      <c r="W59" s="225"/>
      <c r="X59" s="225"/>
      <c r="Y59" s="225"/>
      <c r="Z59" s="225"/>
    </row>
    <row r="60" spans="1:26" ht="14.65" customHeight="1" thickTop="1" thickBot="1">
      <c r="A60" s="211" t="s">
        <v>232</v>
      </c>
      <c r="B60" s="212"/>
      <c r="C60" s="212"/>
      <c r="E60" s="573" t="s">
        <v>264</v>
      </c>
      <c r="F60" s="574"/>
      <c r="G60" s="483">
        <f t="shared" ref="G60:Z60" si="10">G57+G58-G59</f>
        <v>-283863</v>
      </c>
      <c r="H60" s="223">
        <f t="shared" si="10"/>
        <v>-14792</v>
      </c>
      <c r="I60" s="223">
        <f t="shared" si="10"/>
        <v>-76253.72080000001</v>
      </c>
      <c r="J60" s="223">
        <f t="shared" si="10"/>
        <v>-1634.7016000000294</v>
      </c>
      <c r="K60" s="223">
        <f t="shared" si="10"/>
        <v>-24325.191999999923</v>
      </c>
      <c r="L60" s="223">
        <f t="shared" si="10"/>
        <v>-1634.7016000000294</v>
      </c>
      <c r="M60" s="223">
        <f t="shared" si="10"/>
        <v>87721.78879999998</v>
      </c>
      <c r="N60" s="223">
        <f t="shared" si="10"/>
        <v>87721.78879999998</v>
      </c>
      <c r="O60" s="223">
        <f t="shared" si="10"/>
        <v>87721.78879999998</v>
      </c>
      <c r="P60" s="223">
        <f t="shared" si="10"/>
        <v>255227</v>
      </c>
      <c r="Q60" s="223">
        <f t="shared" si="10"/>
        <v>223718</v>
      </c>
      <c r="R60" s="223">
        <f t="shared" si="10"/>
        <v>255277</v>
      </c>
      <c r="S60" s="223">
        <f t="shared" si="10"/>
        <v>0</v>
      </c>
      <c r="T60" s="223">
        <f t="shared" si="10"/>
        <v>0</v>
      </c>
      <c r="U60" s="223">
        <f t="shared" si="10"/>
        <v>0</v>
      </c>
      <c r="V60" s="223">
        <f t="shared" si="10"/>
        <v>0</v>
      </c>
      <c r="W60" s="223">
        <f t="shared" si="10"/>
        <v>0</v>
      </c>
      <c r="X60" s="223">
        <f t="shared" si="10"/>
        <v>0</v>
      </c>
      <c r="Y60" s="223">
        <f t="shared" si="10"/>
        <v>0</v>
      </c>
      <c r="Z60" s="223">
        <f t="shared" si="10"/>
        <v>0</v>
      </c>
    </row>
    <row r="61" spans="1:26" ht="14.65" customHeight="1" thickTop="1">
      <c r="A61" s="219"/>
      <c r="B61" s="212"/>
      <c r="C61" s="212"/>
      <c r="E61" s="575" t="s">
        <v>265</v>
      </c>
      <c r="F61" s="576"/>
      <c r="G61" s="485"/>
      <c r="H61" s="226"/>
      <c r="I61" s="226"/>
      <c r="J61" s="226"/>
      <c r="K61" s="226"/>
      <c r="L61" s="226"/>
      <c r="M61" s="226"/>
      <c r="N61" s="226"/>
      <c r="O61" s="226"/>
      <c r="P61" s="226"/>
      <c r="Q61" s="226"/>
      <c r="R61" s="226"/>
      <c r="S61" s="226"/>
      <c r="T61" s="226"/>
      <c r="U61" s="226"/>
      <c r="V61" s="226"/>
      <c r="W61" s="226"/>
      <c r="X61" s="226"/>
      <c r="Y61" s="226"/>
      <c r="Z61" s="226"/>
    </row>
    <row r="62" spans="1:26" ht="14.65" customHeight="1" thickBot="1">
      <c r="A62" s="224"/>
      <c r="B62" s="212"/>
      <c r="C62" s="212"/>
      <c r="E62" s="604" t="s">
        <v>266</v>
      </c>
      <c r="F62" s="605"/>
      <c r="G62" s="486"/>
      <c r="H62" s="227"/>
      <c r="I62" s="227"/>
      <c r="J62" s="227"/>
      <c r="K62" s="227"/>
      <c r="L62" s="227"/>
      <c r="M62" s="227"/>
      <c r="N62" s="227"/>
      <c r="O62" s="227"/>
      <c r="P62" s="227"/>
      <c r="Q62" s="227"/>
      <c r="R62" s="227"/>
      <c r="S62" s="227"/>
      <c r="T62" s="227"/>
      <c r="U62" s="227"/>
      <c r="V62" s="227"/>
      <c r="W62" s="227"/>
      <c r="X62" s="227"/>
      <c r="Y62" s="227"/>
      <c r="Z62" s="227"/>
    </row>
    <row r="63" spans="1:26" ht="14.65" customHeight="1" thickTop="1" thickBot="1">
      <c r="B63" s="212"/>
      <c r="C63" s="212"/>
      <c r="E63" s="573" t="s">
        <v>267</v>
      </c>
      <c r="F63" s="574"/>
      <c r="G63" s="483">
        <f t="shared" ref="G63:Z63" si="11">G60+G61-G62</f>
        <v>-283863</v>
      </c>
      <c r="H63" s="223">
        <f t="shared" si="11"/>
        <v>-14792</v>
      </c>
      <c r="I63" s="223">
        <f t="shared" si="11"/>
        <v>-76253.72080000001</v>
      </c>
      <c r="J63" s="223">
        <f t="shared" si="11"/>
        <v>-1634.7016000000294</v>
      </c>
      <c r="K63" s="223">
        <f t="shared" si="11"/>
        <v>-24325.191999999923</v>
      </c>
      <c r="L63" s="223">
        <f t="shared" si="11"/>
        <v>-1634.7016000000294</v>
      </c>
      <c r="M63" s="223">
        <f t="shared" si="11"/>
        <v>87721.78879999998</v>
      </c>
      <c r="N63" s="223">
        <f t="shared" si="11"/>
        <v>87721.78879999998</v>
      </c>
      <c r="O63" s="223">
        <f t="shared" si="11"/>
        <v>87721.78879999998</v>
      </c>
      <c r="P63" s="223">
        <f t="shared" si="11"/>
        <v>255227</v>
      </c>
      <c r="Q63" s="223">
        <f t="shared" si="11"/>
        <v>223718</v>
      </c>
      <c r="R63" s="223">
        <f t="shared" si="11"/>
        <v>255277</v>
      </c>
      <c r="S63" s="223">
        <f t="shared" si="11"/>
        <v>0</v>
      </c>
      <c r="T63" s="223">
        <f t="shared" si="11"/>
        <v>0</v>
      </c>
      <c r="U63" s="223">
        <f t="shared" si="11"/>
        <v>0</v>
      </c>
      <c r="V63" s="223">
        <f t="shared" si="11"/>
        <v>0</v>
      </c>
      <c r="W63" s="223">
        <f t="shared" si="11"/>
        <v>0</v>
      </c>
      <c r="X63" s="223">
        <f t="shared" si="11"/>
        <v>0</v>
      </c>
      <c r="Y63" s="223">
        <f t="shared" si="11"/>
        <v>0</v>
      </c>
      <c r="Z63" s="223">
        <f t="shared" si="11"/>
        <v>0</v>
      </c>
    </row>
    <row r="64" spans="1:26" ht="14.65" customHeight="1" thickTop="1" thickBot="1">
      <c r="E64" s="606" t="s">
        <v>268</v>
      </c>
      <c r="F64" s="607"/>
      <c r="G64" s="487">
        <f>G63</f>
        <v>-283863</v>
      </c>
      <c r="H64" s="228">
        <f t="shared" ref="H64:R64" si="12">+G64+H63</f>
        <v>-298655</v>
      </c>
      <c r="I64" s="228">
        <f t="shared" si="12"/>
        <v>-374908.72080000001</v>
      </c>
      <c r="J64" s="228">
        <f t="shared" si="12"/>
        <v>-376543.42240000004</v>
      </c>
      <c r="K64" s="228">
        <f t="shared" si="12"/>
        <v>-400868.61439999996</v>
      </c>
      <c r="L64" s="228">
        <f t="shared" si="12"/>
        <v>-402503.31599999999</v>
      </c>
      <c r="M64" s="228">
        <f t="shared" si="12"/>
        <v>-314781.52720000001</v>
      </c>
      <c r="N64" s="228">
        <f t="shared" si="12"/>
        <v>-227059.73840000003</v>
      </c>
      <c r="O64" s="228">
        <f t="shared" si="12"/>
        <v>-139337.94960000005</v>
      </c>
      <c r="P64" s="228">
        <f t="shared" si="12"/>
        <v>115889.05039999995</v>
      </c>
      <c r="Q64" s="228">
        <f t="shared" si="12"/>
        <v>339607.05039999995</v>
      </c>
      <c r="R64" s="228">
        <f t="shared" si="12"/>
        <v>594884.05039999995</v>
      </c>
      <c r="S64" s="228">
        <f>S63</f>
        <v>0</v>
      </c>
      <c r="T64" s="228">
        <f t="shared" ref="T64:Z64" si="13">+S64+T63</f>
        <v>0</v>
      </c>
      <c r="U64" s="228">
        <f t="shared" si="13"/>
        <v>0</v>
      </c>
      <c r="V64" s="228">
        <f t="shared" si="13"/>
        <v>0</v>
      </c>
      <c r="W64" s="228">
        <f t="shared" si="13"/>
        <v>0</v>
      </c>
      <c r="X64" s="228">
        <f t="shared" si="13"/>
        <v>0</v>
      </c>
      <c r="Y64" s="228">
        <f t="shared" si="13"/>
        <v>0</v>
      </c>
      <c r="Z64" s="228">
        <f t="shared" si="13"/>
        <v>0</v>
      </c>
    </row>
    <row r="65" spans="5:26" ht="6" customHeight="1" thickBot="1">
      <c r="E65" s="229"/>
      <c r="F65" s="229"/>
      <c r="G65" s="230"/>
      <c r="H65" s="230"/>
      <c r="I65" s="230"/>
      <c r="J65" s="230"/>
      <c r="K65" s="230"/>
      <c r="L65" s="230"/>
      <c r="M65" s="230"/>
      <c r="N65" s="230"/>
      <c r="O65" s="230"/>
      <c r="P65" s="230"/>
      <c r="Q65" s="230"/>
      <c r="R65" s="230"/>
      <c r="S65" s="230"/>
      <c r="T65" s="230"/>
      <c r="U65" s="230"/>
      <c r="V65" s="230"/>
      <c r="W65" s="230"/>
      <c r="X65" s="230"/>
      <c r="Y65" s="230"/>
      <c r="Z65" s="230"/>
    </row>
    <row r="66" spans="5:26" ht="13.15" thickTop="1">
      <c r="E66" s="608" t="s">
        <v>269</v>
      </c>
      <c r="F66" s="609"/>
      <c r="G66" s="231">
        <f t="shared" ref="G66:Z66" si="14">+G24+G34</f>
        <v>535456</v>
      </c>
      <c r="H66" s="231">
        <f t="shared" si="14"/>
        <v>331819</v>
      </c>
      <c r="I66" s="231">
        <f t="shared" si="14"/>
        <v>331819</v>
      </c>
      <c r="J66" s="231">
        <f t="shared" si="14"/>
        <v>331819</v>
      </c>
      <c r="K66" s="231">
        <f t="shared" si="14"/>
        <v>331819</v>
      </c>
      <c r="L66" s="231">
        <f t="shared" si="14"/>
        <v>331819</v>
      </c>
      <c r="M66" s="231">
        <f t="shared" si="14"/>
        <v>331819</v>
      </c>
      <c r="N66" s="231">
        <f t="shared" si="14"/>
        <v>331819</v>
      </c>
      <c r="O66" s="231">
        <f t="shared" si="14"/>
        <v>331819</v>
      </c>
      <c r="P66" s="231">
        <f t="shared" si="14"/>
        <v>331819</v>
      </c>
      <c r="Q66" s="231">
        <f t="shared" si="14"/>
        <v>331819</v>
      </c>
      <c r="R66" s="231">
        <f t="shared" si="14"/>
        <v>331819</v>
      </c>
      <c r="S66" s="231">
        <f t="shared" si="14"/>
        <v>0</v>
      </c>
      <c r="T66" s="231">
        <f t="shared" si="14"/>
        <v>0</v>
      </c>
      <c r="U66" s="231">
        <f t="shared" si="14"/>
        <v>0</v>
      </c>
      <c r="V66" s="231">
        <f t="shared" si="14"/>
        <v>0</v>
      </c>
      <c r="W66" s="231">
        <f t="shared" si="14"/>
        <v>0</v>
      </c>
      <c r="X66" s="231">
        <f t="shared" si="14"/>
        <v>0</v>
      </c>
      <c r="Y66" s="231">
        <f t="shared" si="14"/>
        <v>0</v>
      </c>
      <c r="Z66" s="231">
        <f t="shared" si="14"/>
        <v>0</v>
      </c>
    </row>
    <row r="67" spans="5:26" ht="13.15" thickBot="1">
      <c r="E67" s="610"/>
      <c r="F67" s="611"/>
      <c r="G67" s="232">
        <f t="shared" ref="G67:Z67" si="15">+G66/G17</f>
        <v>0.859710387856777</v>
      </c>
      <c r="H67" s="232">
        <f t="shared" si="15"/>
        <v>0.59270115496872333</v>
      </c>
      <c r="I67" s="232">
        <f t="shared" si="15"/>
        <v>0.53357290386174405</v>
      </c>
      <c r="J67" s="232">
        <f t="shared" si="15"/>
        <v>0.57557472376149599</v>
      </c>
      <c r="K67" s="232">
        <f t="shared" si="15"/>
        <v>0.5991569582314078</v>
      </c>
      <c r="L67" s="232">
        <f t="shared" si="15"/>
        <v>0.57557472376149599</v>
      </c>
      <c r="M67" s="232">
        <f t="shared" si="15"/>
        <v>0.55377853966102231</v>
      </c>
      <c r="N67" s="232">
        <f t="shared" si="15"/>
        <v>0.55377853966102231</v>
      </c>
      <c r="O67" s="232">
        <f t="shared" si="15"/>
        <v>0.55377853966102231</v>
      </c>
      <c r="P67" s="232">
        <f t="shared" si="15"/>
        <v>0.41833166077489042</v>
      </c>
      <c r="Q67" s="232">
        <f t="shared" si="15"/>
        <v>0.43563694798519603</v>
      </c>
      <c r="R67" s="232">
        <f t="shared" si="15"/>
        <v>0.41833166077489042</v>
      </c>
      <c r="S67" s="232" t="e">
        <f t="shared" si="15"/>
        <v>#DIV/0!</v>
      </c>
      <c r="T67" s="232" t="e">
        <f t="shared" si="15"/>
        <v>#DIV/0!</v>
      </c>
      <c r="U67" s="232" t="e">
        <f t="shared" si="15"/>
        <v>#DIV/0!</v>
      </c>
      <c r="V67" s="232" t="e">
        <f t="shared" si="15"/>
        <v>#DIV/0!</v>
      </c>
      <c r="W67" s="232" t="e">
        <f t="shared" si="15"/>
        <v>#DIV/0!</v>
      </c>
      <c r="X67" s="232" t="e">
        <f t="shared" si="15"/>
        <v>#DIV/0!</v>
      </c>
      <c r="Y67" s="232" t="e">
        <f t="shared" si="15"/>
        <v>#DIV/0!</v>
      </c>
      <c r="Z67" s="232" t="e">
        <f t="shared" si="15"/>
        <v>#DIV/0!</v>
      </c>
    </row>
    <row r="68" spans="5:26" s="251" customFormat="1" ht="13.5" customHeight="1" thickTop="1">
      <c r="E68" s="433"/>
      <c r="F68" s="434" t="s">
        <v>353</v>
      </c>
      <c r="G68" s="433">
        <f>+G66-G22</f>
        <v>535456</v>
      </c>
      <c r="H68" s="433">
        <f>+H66-H22</f>
        <v>331819</v>
      </c>
      <c r="I68" s="433">
        <f>+I66-I22</f>
        <v>331819</v>
      </c>
      <c r="J68" s="433">
        <f t="shared" ref="J68:T68" si="16">+J66-J22</f>
        <v>331819</v>
      </c>
      <c r="K68" s="433">
        <f t="shared" si="16"/>
        <v>331819</v>
      </c>
      <c r="L68" s="433">
        <f t="shared" si="16"/>
        <v>331819</v>
      </c>
      <c r="M68" s="433">
        <f t="shared" si="16"/>
        <v>331819</v>
      </c>
      <c r="N68" s="433">
        <f t="shared" si="16"/>
        <v>331819</v>
      </c>
      <c r="O68" s="433">
        <f t="shared" si="16"/>
        <v>331819</v>
      </c>
      <c r="P68" s="433">
        <f t="shared" si="16"/>
        <v>331819</v>
      </c>
      <c r="Q68" s="433">
        <f t="shared" si="16"/>
        <v>331819</v>
      </c>
      <c r="R68" s="433">
        <f t="shared" si="16"/>
        <v>331819</v>
      </c>
      <c r="S68" s="433">
        <f t="shared" si="16"/>
        <v>0</v>
      </c>
      <c r="T68" s="433">
        <f t="shared" si="16"/>
        <v>0</v>
      </c>
      <c r="U68" s="433"/>
      <c r="V68" s="433"/>
      <c r="W68" s="433"/>
      <c r="X68" s="433"/>
      <c r="Y68" s="433"/>
      <c r="Z68" s="433"/>
    </row>
    <row r="69" spans="5:26" s="435" customFormat="1" ht="13.5" customHeight="1">
      <c r="E69" s="206"/>
      <c r="F69" s="206"/>
      <c r="G69" s="206">
        <f>+G68/(G17-G15)</f>
        <v>0.859710387856777</v>
      </c>
      <c r="H69" s="206">
        <f>+H68/(H17-H15)</f>
        <v>0.59270115496872333</v>
      </c>
      <c r="I69" s="206">
        <f>+I68/(I17-I15)</f>
        <v>0.53357290386174405</v>
      </c>
      <c r="J69" s="206">
        <f t="shared" ref="J69:T69" si="17">+J68/(J17-J15)</f>
        <v>0.57557472376149599</v>
      </c>
      <c r="K69" s="206">
        <f t="shared" si="17"/>
        <v>0.5991569582314078</v>
      </c>
      <c r="L69" s="206">
        <f t="shared" si="17"/>
        <v>0.57557472376149599</v>
      </c>
      <c r="M69" s="206">
        <f t="shared" si="17"/>
        <v>0.55377853966102231</v>
      </c>
      <c r="N69" s="206">
        <f t="shared" si="17"/>
        <v>0.55377853966102231</v>
      </c>
      <c r="O69" s="206">
        <f t="shared" si="17"/>
        <v>0.55377853966102231</v>
      </c>
      <c r="P69" s="206">
        <f t="shared" si="17"/>
        <v>0.41833166077489042</v>
      </c>
      <c r="Q69" s="206">
        <f t="shared" si="17"/>
        <v>0.43563694798519603</v>
      </c>
      <c r="R69" s="206">
        <f t="shared" si="17"/>
        <v>0.41833166077489042</v>
      </c>
      <c r="S69" s="206" t="e">
        <f t="shared" si="17"/>
        <v>#DIV/0!</v>
      </c>
      <c r="T69" s="206" t="e">
        <f t="shared" si="17"/>
        <v>#DIV/0!</v>
      </c>
      <c r="U69" s="206"/>
      <c r="V69" s="206"/>
      <c r="W69" s="206"/>
      <c r="X69" s="206"/>
      <c r="Y69" s="206"/>
      <c r="Z69" s="206"/>
    </row>
    <row r="70" spans="5:26" ht="13.5" customHeight="1">
      <c r="E70" s="195"/>
      <c r="F70" s="195"/>
      <c r="G70" s="195"/>
      <c r="H70" s="195"/>
      <c r="I70" s="195"/>
      <c r="J70" s="195"/>
      <c r="K70" s="195"/>
      <c r="L70" s="195"/>
      <c r="M70" s="195"/>
      <c r="N70" s="195"/>
      <c r="O70" s="195"/>
      <c r="P70" s="195"/>
      <c r="Q70" s="195"/>
      <c r="R70" s="195"/>
      <c r="S70" s="195"/>
      <c r="T70" s="195"/>
      <c r="U70" s="195"/>
      <c r="V70" s="195"/>
      <c r="W70" s="195"/>
      <c r="X70" s="195"/>
      <c r="Y70" s="195"/>
      <c r="Z70" s="195"/>
    </row>
    <row r="71" spans="5:26" ht="13.5" customHeight="1">
      <c r="E71" s="195"/>
      <c r="F71" s="195"/>
      <c r="G71" s="195"/>
      <c r="H71" s="195"/>
      <c r="I71" s="195"/>
      <c r="J71" s="195"/>
      <c r="K71" s="195"/>
      <c r="L71" s="195"/>
      <c r="M71" s="195"/>
      <c r="N71" s="195"/>
      <c r="O71" s="195"/>
      <c r="P71" s="195"/>
      <c r="Q71" s="195"/>
      <c r="R71" s="195"/>
      <c r="S71" s="195"/>
      <c r="T71" s="195"/>
      <c r="U71" s="195"/>
      <c r="V71" s="195"/>
      <c r="W71" s="195"/>
      <c r="X71" s="195"/>
      <c r="Y71" s="195"/>
      <c r="Z71" s="195"/>
    </row>
    <row r="72" spans="5:26" ht="13.5" customHeight="1">
      <c r="E72" s="195"/>
      <c r="F72" s="195"/>
      <c r="G72" s="195"/>
      <c r="H72" s="195"/>
      <c r="I72" s="195"/>
      <c r="J72" s="195"/>
      <c r="K72" s="195"/>
      <c r="L72" s="195"/>
      <c r="M72" s="195"/>
      <c r="N72" s="195"/>
      <c r="O72" s="195"/>
      <c r="P72" s="195"/>
      <c r="Q72" s="195"/>
      <c r="R72" s="195"/>
      <c r="S72" s="195"/>
      <c r="T72" s="195"/>
      <c r="U72" s="195"/>
      <c r="V72" s="195"/>
      <c r="W72" s="195"/>
      <c r="X72" s="195"/>
      <c r="Y72" s="195"/>
      <c r="Z72" s="195"/>
    </row>
    <row r="73" spans="5:26" ht="17.25" customHeight="1" thickBot="1">
      <c r="E73" s="233" t="s">
        <v>270</v>
      </c>
      <c r="F73" s="233"/>
      <c r="G73" s="195"/>
      <c r="H73" s="195"/>
      <c r="I73" s="195"/>
      <c r="J73" s="195"/>
      <c r="K73" s="195"/>
      <c r="L73" s="195"/>
      <c r="M73" s="195"/>
      <c r="N73" s="195"/>
      <c r="O73" s="195"/>
      <c r="P73" s="195"/>
      <c r="Q73" s="195"/>
      <c r="R73" s="195"/>
      <c r="S73" s="195"/>
      <c r="T73" s="195"/>
      <c r="U73" s="195"/>
      <c r="V73" s="195"/>
      <c r="W73" s="195"/>
      <c r="X73" s="195"/>
      <c r="Y73" s="195"/>
      <c r="Z73" s="195"/>
    </row>
    <row r="74" spans="5:26" ht="18" customHeight="1">
      <c r="E74" s="600" t="s">
        <v>271</v>
      </c>
      <c r="F74" s="601"/>
      <c r="G74" s="234">
        <v>1</v>
      </c>
      <c r="H74" s="234">
        <f t="shared" ref="H74:Z74" si="18">+H9</f>
        <v>0</v>
      </c>
      <c r="I74" s="234">
        <f t="shared" si="18"/>
        <v>0</v>
      </c>
      <c r="J74" s="234">
        <f t="shared" si="18"/>
        <v>0</v>
      </c>
      <c r="K74" s="234">
        <f t="shared" si="18"/>
        <v>0</v>
      </c>
      <c r="L74" s="234">
        <f t="shared" si="18"/>
        <v>0</v>
      </c>
      <c r="M74" s="234">
        <f t="shared" si="18"/>
        <v>0</v>
      </c>
      <c r="N74" s="234">
        <f t="shared" si="18"/>
        <v>0</v>
      </c>
      <c r="O74" s="234">
        <f t="shared" si="18"/>
        <v>0</v>
      </c>
      <c r="P74" s="234">
        <f t="shared" si="18"/>
        <v>0</v>
      </c>
      <c r="Q74" s="234">
        <f t="shared" si="18"/>
        <v>0</v>
      </c>
      <c r="R74" s="234">
        <f t="shared" si="18"/>
        <v>0</v>
      </c>
      <c r="S74" s="234" t="str">
        <f t="shared" si="18"/>
        <v>手入力</v>
      </c>
      <c r="T74" s="234" t="str">
        <f t="shared" si="18"/>
        <v>手入力</v>
      </c>
      <c r="U74" s="234">
        <f t="shared" si="18"/>
        <v>0</v>
      </c>
      <c r="V74" s="234">
        <f t="shared" si="18"/>
        <v>0</v>
      </c>
      <c r="W74" s="234">
        <f t="shared" si="18"/>
        <v>0</v>
      </c>
      <c r="X74" s="234">
        <f t="shared" si="18"/>
        <v>0</v>
      </c>
      <c r="Y74" s="234">
        <f t="shared" si="18"/>
        <v>0</v>
      </c>
      <c r="Z74" s="234">
        <f t="shared" si="18"/>
        <v>0</v>
      </c>
    </row>
    <row r="75" spans="5:26" ht="18" customHeight="1" thickBot="1">
      <c r="E75" s="602"/>
      <c r="F75" s="603"/>
      <c r="G75" s="235">
        <f>+G10</f>
        <v>7</v>
      </c>
      <c r="H75" s="235">
        <f t="shared" ref="H75:Z75" si="19">H10</f>
        <v>8</v>
      </c>
      <c r="I75" s="235">
        <f t="shared" si="19"/>
        <v>9</v>
      </c>
      <c r="J75" s="235">
        <f t="shared" si="19"/>
        <v>10</v>
      </c>
      <c r="K75" s="235">
        <f t="shared" si="19"/>
        <v>11</v>
      </c>
      <c r="L75" s="235">
        <f t="shared" si="19"/>
        <v>12</v>
      </c>
      <c r="M75" s="235">
        <f t="shared" si="19"/>
        <v>1</v>
      </c>
      <c r="N75" s="235">
        <f t="shared" si="19"/>
        <v>2</v>
      </c>
      <c r="O75" s="235">
        <f t="shared" si="19"/>
        <v>3</v>
      </c>
      <c r="P75" s="235">
        <f t="shared" si="19"/>
        <v>4</v>
      </c>
      <c r="Q75" s="235">
        <f t="shared" si="19"/>
        <v>5</v>
      </c>
      <c r="R75" s="235">
        <f t="shared" si="19"/>
        <v>6</v>
      </c>
      <c r="S75" s="235">
        <f t="shared" si="19"/>
        <v>2026.04</v>
      </c>
      <c r="T75" s="235" t="str">
        <f t="shared" si="19"/>
        <v>R8.08</v>
      </c>
      <c r="U75" s="235" t="str">
        <f t="shared" si="19"/>
        <v>R8.09</v>
      </c>
      <c r="V75" s="235" t="str">
        <f t="shared" si="19"/>
        <v>R8.10</v>
      </c>
      <c r="W75" s="235" t="str">
        <f t="shared" si="19"/>
        <v>R8.11</v>
      </c>
      <c r="X75" s="235" t="str">
        <f t="shared" si="19"/>
        <v>R8.12</v>
      </c>
      <c r="Y75" s="235" t="str">
        <f t="shared" si="19"/>
        <v>R9.01</v>
      </c>
      <c r="Z75" s="235" t="str">
        <f t="shared" si="19"/>
        <v>R9.02</v>
      </c>
    </row>
    <row r="76" spans="5:26" ht="18" customHeight="1" thickTop="1" thickBot="1">
      <c r="E76" s="612" t="s">
        <v>272</v>
      </c>
      <c r="F76" s="613"/>
      <c r="G76" s="236">
        <v>2348989</v>
      </c>
      <c r="H76" s="236">
        <f>+G105</f>
        <v>2644592</v>
      </c>
      <c r="I76" s="236">
        <f t="shared" ref="I76:R76" si="20">+H105</f>
        <v>1932572</v>
      </c>
      <c r="J76" s="236">
        <f t="shared" si="20"/>
        <v>1924491</v>
      </c>
      <c r="K76" s="236">
        <f t="shared" si="20"/>
        <v>1856237.2792</v>
      </c>
      <c r="L76" s="236">
        <f t="shared" si="20"/>
        <v>1695602.5776</v>
      </c>
      <c r="M76" s="236">
        <f t="shared" si="20"/>
        <v>1512277.3856000002</v>
      </c>
      <c r="N76" s="236">
        <f t="shared" si="20"/>
        <v>1351642.6840000001</v>
      </c>
      <c r="O76" s="236">
        <f t="shared" si="20"/>
        <v>1287364.4728000001</v>
      </c>
      <c r="P76" s="236">
        <f t="shared" si="20"/>
        <v>1216086.2616000001</v>
      </c>
      <c r="Q76" s="236">
        <f t="shared" si="20"/>
        <v>1144808.0504000001</v>
      </c>
      <c r="R76" s="236">
        <f t="shared" si="20"/>
        <v>1073529.8392</v>
      </c>
      <c r="S76" s="236">
        <f t="shared" ref="S76" si="21">R105</f>
        <v>1002251.628</v>
      </c>
      <c r="T76" s="236">
        <f t="shared" ref="T76:Z76" si="22">S108</f>
        <v>-29213.371999999974</v>
      </c>
      <c r="U76" s="236">
        <f t="shared" si="22"/>
        <v>-236382.37199999997</v>
      </c>
      <c r="V76" s="236">
        <f t="shared" si="22"/>
        <v>-237958.37199999997</v>
      </c>
      <c r="W76" s="236">
        <f t="shared" si="22"/>
        <v>-239697.37199999997</v>
      </c>
      <c r="X76" s="236">
        <f t="shared" si="22"/>
        <v>-241051.37199999997</v>
      </c>
      <c r="Y76" s="236">
        <f t="shared" si="22"/>
        <v>-241051.37199999997</v>
      </c>
      <c r="Z76" s="236">
        <f t="shared" si="22"/>
        <v>-241051.37199999997</v>
      </c>
    </row>
    <row r="77" spans="5:26" ht="18" customHeight="1" thickTop="1">
      <c r="E77" s="614" t="s">
        <v>273</v>
      </c>
      <c r="F77" s="237" t="s">
        <v>274</v>
      </c>
      <c r="G77" s="238">
        <v>0</v>
      </c>
      <c r="H77" s="238">
        <v>0</v>
      </c>
      <c r="I77" s="238">
        <v>0</v>
      </c>
      <c r="J77" s="238">
        <v>0</v>
      </c>
      <c r="K77" s="238">
        <v>0</v>
      </c>
      <c r="L77" s="238">
        <v>0</v>
      </c>
      <c r="M77" s="238">
        <v>0</v>
      </c>
      <c r="N77" s="238">
        <v>7000</v>
      </c>
      <c r="O77" s="238">
        <v>0</v>
      </c>
      <c r="P77" s="238">
        <v>0</v>
      </c>
      <c r="Q77" s="238">
        <v>0</v>
      </c>
      <c r="R77" s="238">
        <v>0</v>
      </c>
      <c r="S77" s="238"/>
      <c r="T77" s="238">
        <f t="shared" ref="T77:Z77" si="23">+T17*$C17</f>
        <v>0</v>
      </c>
      <c r="U77" s="238">
        <f t="shared" si="23"/>
        <v>0</v>
      </c>
      <c r="V77" s="238">
        <f t="shared" si="23"/>
        <v>0</v>
      </c>
      <c r="W77" s="238">
        <f t="shared" si="23"/>
        <v>0</v>
      </c>
      <c r="X77" s="238">
        <f t="shared" si="23"/>
        <v>0</v>
      </c>
      <c r="Y77" s="238">
        <f t="shared" si="23"/>
        <v>0</v>
      </c>
      <c r="Z77" s="238">
        <f t="shared" si="23"/>
        <v>0</v>
      </c>
    </row>
    <row r="78" spans="5:26" ht="18" customHeight="1">
      <c r="E78" s="615"/>
      <c r="F78" s="239" t="s">
        <v>275</v>
      </c>
      <c r="G78" s="240">
        <v>1200000</v>
      </c>
      <c r="H78" s="240">
        <v>110000</v>
      </c>
      <c r="I78" s="240">
        <v>559842</v>
      </c>
      <c r="J78" s="240">
        <v>621881.27919999999</v>
      </c>
      <c r="K78" s="240">
        <v>576500.29839999997</v>
      </c>
      <c r="L78" s="240">
        <v>553809.80800000008</v>
      </c>
      <c r="M78" s="240">
        <v>576500.29839999997</v>
      </c>
      <c r="N78" s="240">
        <v>599190.78879999998</v>
      </c>
      <c r="O78" s="240">
        <v>599190.78879999998</v>
      </c>
      <c r="P78" s="240">
        <v>599190.78879999998</v>
      </c>
      <c r="Q78" s="240">
        <v>599190.78879999998</v>
      </c>
      <c r="R78" s="240">
        <v>599190.78879999998</v>
      </c>
      <c r="S78" s="240"/>
      <c r="T78" s="240">
        <f t="shared" ref="T78:Z78" si="24">+S17*$B17</f>
        <v>0</v>
      </c>
      <c r="U78" s="240">
        <f t="shared" si="24"/>
        <v>0</v>
      </c>
      <c r="V78" s="240">
        <f t="shared" si="24"/>
        <v>0</v>
      </c>
      <c r="W78" s="240">
        <f t="shared" si="24"/>
        <v>0</v>
      </c>
      <c r="X78" s="240">
        <f t="shared" si="24"/>
        <v>0</v>
      </c>
      <c r="Y78" s="240">
        <f t="shared" si="24"/>
        <v>0</v>
      </c>
      <c r="Z78" s="240">
        <f t="shared" si="24"/>
        <v>0</v>
      </c>
    </row>
    <row r="79" spans="5:26" ht="18" customHeight="1">
      <c r="E79" s="615"/>
      <c r="F79" s="241" t="s">
        <v>276</v>
      </c>
      <c r="G79" s="242">
        <v>0</v>
      </c>
      <c r="H79" s="242">
        <v>1782</v>
      </c>
      <c r="I79" s="242">
        <v>0</v>
      </c>
      <c r="J79" s="242">
        <v>0</v>
      </c>
      <c r="K79" s="242">
        <v>0</v>
      </c>
      <c r="L79" s="242">
        <v>0</v>
      </c>
      <c r="M79" s="242">
        <v>0</v>
      </c>
      <c r="N79" s="242">
        <v>0</v>
      </c>
      <c r="O79" s="242">
        <v>0</v>
      </c>
      <c r="P79" s="242">
        <v>0</v>
      </c>
      <c r="Q79" s="242">
        <v>0</v>
      </c>
      <c r="R79" s="242">
        <v>0</v>
      </c>
      <c r="S79" s="242"/>
      <c r="T79" s="242">
        <f t="shared" ref="T79:Z79" si="25">+T58</f>
        <v>0</v>
      </c>
      <c r="U79" s="242">
        <f t="shared" si="25"/>
        <v>0</v>
      </c>
      <c r="V79" s="242">
        <f t="shared" si="25"/>
        <v>0</v>
      </c>
      <c r="W79" s="242">
        <f t="shared" si="25"/>
        <v>0</v>
      </c>
      <c r="X79" s="242">
        <f t="shared" si="25"/>
        <v>0</v>
      </c>
      <c r="Y79" s="242">
        <f t="shared" si="25"/>
        <v>0</v>
      </c>
      <c r="Z79" s="242">
        <f t="shared" si="25"/>
        <v>0</v>
      </c>
    </row>
    <row r="80" spans="5:26" ht="18" customHeight="1">
      <c r="E80" s="616"/>
      <c r="F80" s="243" t="s">
        <v>277</v>
      </c>
      <c r="G80" s="244">
        <f>SUM(G77:G79)</f>
        <v>1200000</v>
      </c>
      <c r="H80" s="244">
        <f t="shared" ref="H80:R80" si="26">SUM(H77:H79)</f>
        <v>111782</v>
      </c>
      <c r="I80" s="244">
        <f t="shared" si="26"/>
        <v>559842</v>
      </c>
      <c r="J80" s="244">
        <f t="shared" si="26"/>
        <v>621881.27919999999</v>
      </c>
      <c r="K80" s="244">
        <f t="shared" si="26"/>
        <v>576500.29839999997</v>
      </c>
      <c r="L80" s="244">
        <f t="shared" si="26"/>
        <v>553809.80800000008</v>
      </c>
      <c r="M80" s="244">
        <f t="shared" si="26"/>
        <v>576500.29839999997</v>
      </c>
      <c r="N80" s="244">
        <f t="shared" si="26"/>
        <v>606190.78879999998</v>
      </c>
      <c r="O80" s="244">
        <f t="shared" si="26"/>
        <v>599190.78879999998</v>
      </c>
      <c r="P80" s="244">
        <f t="shared" si="26"/>
        <v>599190.78879999998</v>
      </c>
      <c r="Q80" s="244">
        <f t="shared" si="26"/>
        <v>599190.78879999998</v>
      </c>
      <c r="R80" s="244">
        <f t="shared" si="26"/>
        <v>599190.78879999998</v>
      </c>
      <c r="S80" s="244">
        <f t="shared" ref="S80:Z80" si="27">SUM(S77:S79)</f>
        <v>0</v>
      </c>
      <c r="T80" s="244">
        <f t="shared" si="27"/>
        <v>0</v>
      </c>
      <c r="U80" s="244">
        <f t="shared" si="27"/>
        <v>0</v>
      </c>
      <c r="V80" s="244">
        <f t="shared" si="27"/>
        <v>0</v>
      </c>
      <c r="W80" s="244">
        <f t="shared" si="27"/>
        <v>0</v>
      </c>
      <c r="X80" s="244">
        <f t="shared" si="27"/>
        <v>0</v>
      </c>
      <c r="Y80" s="244">
        <f t="shared" si="27"/>
        <v>0</v>
      </c>
      <c r="Z80" s="244">
        <f t="shared" si="27"/>
        <v>0</v>
      </c>
    </row>
    <row r="81" spans="2:82" ht="18" customHeight="1">
      <c r="E81" s="617" t="s">
        <v>278</v>
      </c>
      <c r="F81" s="245" t="s">
        <v>279</v>
      </c>
      <c r="G81" s="246">
        <v>0</v>
      </c>
      <c r="H81" s="246">
        <v>0</v>
      </c>
      <c r="I81" s="246">
        <v>0</v>
      </c>
      <c r="J81" s="246">
        <v>0</v>
      </c>
      <c r="K81" s="246">
        <v>0</v>
      </c>
      <c r="L81" s="246">
        <v>0</v>
      </c>
      <c r="M81" s="246">
        <v>0</v>
      </c>
      <c r="N81" s="246">
        <v>0</v>
      </c>
      <c r="O81" s="246">
        <v>0</v>
      </c>
      <c r="P81" s="246">
        <v>0</v>
      </c>
      <c r="Q81" s="246">
        <v>0</v>
      </c>
      <c r="R81" s="246">
        <v>0</v>
      </c>
      <c r="S81" s="246">
        <f t="shared" ref="S81:Z81" si="28">+S24*$C24</f>
        <v>0</v>
      </c>
      <c r="T81" s="246">
        <f t="shared" si="28"/>
        <v>0</v>
      </c>
      <c r="U81" s="246">
        <f t="shared" si="28"/>
        <v>0</v>
      </c>
      <c r="V81" s="246">
        <f t="shared" si="28"/>
        <v>0</v>
      </c>
      <c r="W81" s="246">
        <f t="shared" si="28"/>
        <v>0</v>
      </c>
      <c r="X81" s="246">
        <f t="shared" si="28"/>
        <v>0</v>
      </c>
      <c r="Y81" s="246">
        <f t="shared" si="28"/>
        <v>0</v>
      </c>
      <c r="Z81" s="246">
        <f t="shared" si="28"/>
        <v>0</v>
      </c>
    </row>
    <row r="82" spans="2:82" ht="18" customHeight="1">
      <c r="E82" s="615"/>
      <c r="F82" s="239" t="s">
        <v>280</v>
      </c>
      <c r="G82" s="240">
        <v>0</v>
      </c>
      <c r="H82" s="240">
        <v>0</v>
      </c>
      <c r="I82" s="240">
        <v>0</v>
      </c>
      <c r="J82" s="240">
        <v>0</v>
      </c>
      <c r="K82" s="240">
        <v>0</v>
      </c>
      <c r="L82" s="240">
        <v>0</v>
      </c>
      <c r="M82" s="240">
        <v>0</v>
      </c>
      <c r="N82" s="240">
        <v>0</v>
      </c>
      <c r="O82" s="240">
        <v>0</v>
      </c>
      <c r="P82" s="240">
        <v>0</v>
      </c>
      <c r="Q82" s="240">
        <v>0</v>
      </c>
      <c r="R82" s="240">
        <v>0</v>
      </c>
      <c r="S82" s="240">
        <f t="shared" ref="S82:Z82" si="29">+R24*$B24</f>
        <v>0</v>
      </c>
      <c r="T82" s="240">
        <f t="shared" si="29"/>
        <v>0</v>
      </c>
      <c r="U82" s="240">
        <f t="shared" si="29"/>
        <v>0</v>
      </c>
      <c r="V82" s="240">
        <f t="shared" si="29"/>
        <v>0</v>
      </c>
      <c r="W82" s="240">
        <f t="shared" si="29"/>
        <v>0</v>
      </c>
      <c r="X82" s="240">
        <f t="shared" si="29"/>
        <v>0</v>
      </c>
      <c r="Y82" s="240">
        <f t="shared" si="29"/>
        <v>0</v>
      </c>
      <c r="Z82" s="240">
        <f t="shared" si="29"/>
        <v>0</v>
      </c>
    </row>
    <row r="83" spans="2:82" ht="18" customHeight="1">
      <c r="E83" s="615"/>
      <c r="F83" s="247" t="s">
        <v>281</v>
      </c>
      <c r="G83" s="240">
        <v>404397</v>
      </c>
      <c r="H83" s="240">
        <v>618202</v>
      </c>
      <c r="I83" s="240">
        <v>567923</v>
      </c>
      <c r="J83" s="240">
        <v>690135</v>
      </c>
      <c r="K83" s="240">
        <v>570135</v>
      </c>
      <c r="L83" s="240">
        <v>570135</v>
      </c>
      <c r="M83" s="240">
        <v>570135</v>
      </c>
      <c r="N83" s="240">
        <v>503469</v>
      </c>
      <c r="O83" s="240">
        <v>503469</v>
      </c>
      <c r="P83" s="240">
        <v>503469</v>
      </c>
      <c r="Q83" s="240">
        <v>503469</v>
      </c>
      <c r="R83" s="240">
        <v>503469</v>
      </c>
      <c r="S83" s="240">
        <f>R34+R55-R84+S40</f>
        <v>529919</v>
      </c>
      <c r="T83" s="240">
        <f>S34+S55-S84+T40</f>
        <v>0</v>
      </c>
      <c r="U83" s="240">
        <f>T34+T55-T84+U40</f>
        <v>0</v>
      </c>
      <c r="V83" s="240">
        <f>U34+U55-U84</f>
        <v>0</v>
      </c>
      <c r="W83" s="240">
        <f>V34+V55-V84</f>
        <v>0</v>
      </c>
      <c r="X83" s="240">
        <f>W34+W55-W84</f>
        <v>0</v>
      </c>
      <c r="Y83" s="240">
        <f>X34+X55-X84</f>
        <v>0</v>
      </c>
      <c r="Z83" s="240">
        <f>Y34+Y55-Y84</f>
        <v>0</v>
      </c>
    </row>
    <row r="84" spans="2:82" ht="18" customHeight="1">
      <c r="B84" s="248"/>
      <c r="E84" s="615"/>
      <c r="F84" s="249" t="s">
        <v>282</v>
      </c>
      <c r="G84" s="250"/>
      <c r="H84" s="250"/>
      <c r="I84" s="250"/>
      <c r="J84" s="250"/>
      <c r="K84" s="250"/>
      <c r="L84" s="250"/>
      <c r="M84" s="250"/>
      <c r="N84" s="250"/>
      <c r="O84" s="250"/>
      <c r="P84" s="250"/>
      <c r="Q84" s="250"/>
      <c r="R84" s="250"/>
      <c r="S84" s="250">
        <f t="shared" ref="S84:Z84" si="30">S36+S54+S46+S47+S38+S49+S42+S43+S45+S41+S39+S48+S50+S51+S53</f>
        <v>0</v>
      </c>
      <c r="T84" s="250">
        <f t="shared" si="30"/>
        <v>0</v>
      </c>
      <c r="U84" s="250">
        <f t="shared" si="30"/>
        <v>0</v>
      </c>
      <c r="V84" s="250">
        <f t="shared" si="30"/>
        <v>0</v>
      </c>
      <c r="W84" s="250">
        <f t="shared" si="30"/>
        <v>0</v>
      </c>
      <c r="X84" s="250">
        <f t="shared" si="30"/>
        <v>0</v>
      </c>
      <c r="Y84" s="250">
        <f t="shared" si="30"/>
        <v>0</v>
      </c>
      <c r="Z84" s="250">
        <f t="shared" si="30"/>
        <v>0</v>
      </c>
    </row>
    <row r="85" spans="2:82" ht="18" customHeight="1">
      <c r="C85" s="203"/>
      <c r="D85" s="251"/>
      <c r="E85" s="615"/>
      <c r="F85" s="241" t="s">
        <v>283</v>
      </c>
      <c r="G85" s="242"/>
      <c r="H85" s="242"/>
      <c r="I85" s="242"/>
      <c r="J85" s="242"/>
      <c r="K85" s="242"/>
      <c r="L85" s="242"/>
      <c r="M85" s="242"/>
      <c r="N85" s="242"/>
      <c r="O85" s="242"/>
      <c r="P85" s="242"/>
      <c r="Q85" s="242"/>
      <c r="R85" s="242"/>
      <c r="S85" s="242">
        <f t="shared" ref="S85:Z85" si="31">+S59</f>
        <v>0</v>
      </c>
      <c r="T85" s="242">
        <f t="shared" si="31"/>
        <v>0</v>
      </c>
      <c r="U85" s="242">
        <f t="shared" si="31"/>
        <v>0</v>
      </c>
      <c r="V85" s="242">
        <f t="shared" si="31"/>
        <v>0</v>
      </c>
      <c r="W85" s="242">
        <f t="shared" si="31"/>
        <v>0</v>
      </c>
      <c r="X85" s="242">
        <f t="shared" si="31"/>
        <v>0</v>
      </c>
      <c r="Y85" s="242">
        <f t="shared" si="31"/>
        <v>0</v>
      </c>
      <c r="Z85" s="242">
        <f t="shared" si="31"/>
        <v>0</v>
      </c>
    </row>
    <row r="86" spans="2:82" ht="18" customHeight="1" thickBot="1">
      <c r="C86" s="203"/>
      <c r="D86" s="251"/>
      <c r="E86" s="618"/>
      <c r="F86" s="252" t="s">
        <v>284</v>
      </c>
      <c r="G86" s="253">
        <f t="shared" ref="G86:I86" si="32">SUM(G81:G85)</f>
        <v>404397</v>
      </c>
      <c r="H86" s="253">
        <f t="shared" si="32"/>
        <v>618202</v>
      </c>
      <c r="I86" s="253">
        <f t="shared" si="32"/>
        <v>567923</v>
      </c>
      <c r="J86" s="253">
        <f>SUM(J81:J85)</f>
        <v>690135</v>
      </c>
      <c r="K86" s="253">
        <f t="shared" ref="K86:R86" si="33">SUM(K81:K85)</f>
        <v>570135</v>
      </c>
      <c r="L86" s="253">
        <f t="shared" si="33"/>
        <v>570135</v>
      </c>
      <c r="M86" s="253">
        <f t="shared" si="33"/>
        <v>570135</v>
      </c>
      <c r="N86" s="253">
        <f t="shared" si="33"/>
        <v>503469</v>
      </c>
      <c r="O86" s="253">
        <f t="shared" si="33"/>
        <v>503469</v>
      </c>
      <c r="P86" s="253">
        <f t="shared" si="33"/>
        <v>503469</v>
      </c>
      <c r="Q86" s="253">
        <f t="shared" si="33"/>
        <v>503469</v>
      </c>
      <c r="R86" s="253">
        <f t="shared" si="33"/>
        <v>503469</v>
      </c>
      <c r="S86" s="253">
        <f t="shared" ref="S86:Z86" si="34">SUM(S81:S85)</f>
        <v>529919</v>
      </c>
      <c r="T86" s="253">
        <f t="shared" si="34"/>
        <v>0</v>
      </c>
      <c r="U86" s="253">
        <f t="shared" si="34"/>
        <v>0</v>
      </c>
      <c r="V86" s="253">
        <f t="shared" si="34"/>
        <v>0</v>
      </c>
      <c r="W86" s="253">
        <f t="shared" si="34"/>
        <v>0</v>
      </c>
      <c r="X86" s="253">
        <f t="shared" si="34"/>
        <v>0</v>
      </c>
      <c r="Y86" s="253">
        <f t="shared" si="34"/>
        <v>0</v>
      </c>
      <c r="Z86" s="253">
        <f t="shared" si="34"/>
        <v>0</v>
      </c>
    </row>
    <row r="87" spans="2:82" ht="18" customHeight="1" thickTop="1" thickBot="1">
      <c r="D87" s="203"/>
      <c r="E87" s="619" t="s">
        <v>285</v>
      </c>
      <c r="F87" s="620"/>
      <c r="G87" s="254">
        <f t="shared" ref="G87:I87" si="35">+G80-G86</f>
        <v>795603</v>
      </c>
      <c r="H87" s="254">
        <f t="shared" si="35"/>
        <v>-506420</v>
      </c>
      <c r="I87" s="254">
        <f t="shared" si="35"/>
        <v>-8081</v>
      </c>
      <c r="J87" s="254">
        <f>+J80-J86</f>
        <v>-68253.72080000001</v>
      </c>
      <c r="K87" s="254">
        <f t="shared" ref="K87:R87" si="36">+K80-K86</f>
        <v>6365.2983999999706</v>
      </c>
      <c r="L87" s="254">
        <f t="shared" si="36"/>
        <v>-16325.191999999923</v>
      </c>
      <c r="M87" s="254">
        <f t="shared" si="36"/>
        <v>6365.2983999999706</v>
      </c>
      <c r="N87" s="254">
        <f t="shared" si="36"/>
        <v>102721.78879999998</v>
      </c>
      <c r="O87" s="254">
        <f t="shared" si="36"/>
        <v>95721.78879999998</v>
      </c>
      <c r="P87" s="254">
        <f t="shared" si="36"/>
        <v>95721.78879999998</v>
      </c>
      <c r="Q87" s="254">
        <f t="shared" si="36"/>
        <v>95721.78879999998</v>
      </c>
      <c r="R87" s="254">
        <f t="shared" si="36"/>
        <v>95721.78879999998</v>
      </c>
      <c r="S87" s="254">
        <f t="shared" ref="S87:Z87" si="37">+S80-S86</f>
        <v>-529919</v>
      </c>
      <c r="T87" s="254">
        <f t="shared" si="37"/>
        <v>0</v>
      </c>
      <c r="U87" s="254">
        <f t="shared" si="37"/>
        <v>0</v>
      </c>
      <c r="V87" s="254">
        <f t="shared" si="37"/>
        <v>0</v>
      </c>
      <c r="W87" s="254">
        <f t="shared" si="37"/>
        <v>0</v>
      </c>
      <c r="X87" s="254">
        <f t="shared" si="37"/>
        <v>0</v>
      </c>
      <c r="Y87" s="254">
        <f t="shared" si="37"/>
        <v>0</v>
      </c>
      <c r="Z87" s="254">
        <f t="shared" si="37"/>
        <v>0</v>
      </c>
    </row>
    <row r="88" spans="2:82" ht="18" customHeight="1" thickTop="1">
      <c r="C88" s="203"/>
      <c r="E88" s="614" t="s">
        <v>286</v>
      </c>
      <c r="F88" s="255" t="s">
        <v>287</v>
      </c>
      <c r="G88" s="246"/>
      <c r="H88" s="246"/>
      <c r="I88" s="246"/>
      <c r="J88" s="246"/>
      <c r="K88" s="246"/>
      <c r="L88" s="246"/>
      <c r="M88" s="246"/>
      <c r="N88" s="246"/>
      <c r="O88" s="246"/>
      <c r="P88" s="246"/>
      <c r="Q88" s="246"/>
      <c r="R88" s="246"/>
      <c r="S88" s="246"/>
      <c r="T88" s="246"/>
      <c r="U88" s="246"/>
      <c r="V88" s="246"/>
      <c r="W88" s="246"/>
      <c r="X88" s="246"/>
      <c r="Y88" s="246"/>
      <c r="Z88" s="246"/>
    </row>
    <row r="89" spans="2:82" ht="18" customHeight="1">
      <c r="C89" s="203"/>
      <c r="E89" s="615"/>
      <c r="F89" s="249" t="s">
        <v>288</v>
      </c>
      <c r="G89" s="250"/>
      <c r="H89" s="250"/>
      <c r="I89" s="250"/>
      <c r="J89" s="250"/>
      <c r="K89" s="250"/>
      <c r="L89" s="250"/>
      <c r="M89" s="250"/>
      <c r="N89" s="250"/>
      <c r="O89" s="250"/>
      <c r="P89" s="250"/>
      <c r="Q89" s="250"/>
      <c r="R89" s="250"/>
      <c r="S89" s="250"/>
      <c r="T89" s="250"/>
      <c r="U89" s="250"/>
      <c r="V89" s="250"/>
      <c r="W89" s="250"/>
      <c r="X89" s="250"/>
      <c r="Y89" s="250"/>
      <c r="Z89" s="250"/>
    </row>
    <row r="90" spans="2:82" ht="18" customHeight="1">
      <c r="D90" s="203"/>
      <c r="E90" s="615"/>
      <c r="F90" s="397" t="s">
        <v>342</v>
      </c>
      <c r="G90" s="398"/>
      <c r="H90" s="398"/>
      <c r="I90" s="398"/>
      <c r="J90" s="398"/>
      <c r="K90" s="398"/>
      <c r="L90" s="398"/>
      <c r="M90" s="398"/>
      <c r="N90" s="398"/>
      <c r="O90" s="398"/>
      <c r="P90" s="398"/>
      <c r="Q90" s="398"/>
      <c r="R90" s="398"/>
      <c r="S90" s="398"/>
      <c r="T90" s="398"/>
      <c r="U90" s="398"/>
      <c r="V90" s="398"/>
      <c r="W90" s="398"/>
      <c r="X90" s="398"/>
      <c r="Y90" s="398"/>
      <c r="Z90" s="398"/>
    </row>
    <row r="91" spans="2:82" ht="18" customHeight="1">
      <c r="C91" s="203"/>
      <c r="E91" s="615"/>
      <c r="F91" s="256" t="s">
        <v>289</v>
      </c>
      <c r="G91" s="257"/>
      <c r="H91" s="257"/>
      <c r="I91" s="257"/>
      <c r="J91" s="257"/>
      <c r="K91" s="257"/>
      <c r="L91" s="257"/>
      <c r="M91" s="257"/>
      <c r="N91" s="257"/>
      <c r="O91" s="257"/>
      <c r="P91" s="257"/>
      <c r="Q91" s="257"/>
      <c r="R91" s="257"/>
      <c r="S91" s="257"/>
      <c r="T91" s="257"/>
      <c r="U91" s="257"/>
      <c r="V91" s="257"/>
      <c r="W91" s="257"/>
      <c r="X91" s="257"/>
      <c r="Y91" s="257"/>
      <c r="Z91" s="257"/>
    </row>
    <row r="92" spans="2:82" ht="18" customHeight="1">
      <c r="C92" s="203"/>
      <c r="E92" s="615"/>
      <c r="F92" s="258" t="s">
        <v>343</v>
      </c>
      <c r="G92" s="242"/>
      <c r="H92" s="242"/>
      <c r="I92" s="242"/>
      <c r="J92" s="242"/>
      <c r="K92" s="242"/>
      <c r="L92" s="242"/>
      <c r="M92" s="242"/>
      <c r="N92" s="242"/>
      <c r="O92" s="242"/>
      <c r="P92" s="242"/>
      <c r="Q92" s="242"/>
      <c r="R92" s="242"/>
      <c r="S92" s="242"/>
      <c r="T92" s="242"/>
      <c r="U92" s="242"/>
      <c r="V92" s="242"/>
      <c r="W92" s="242"/>
      <c r="X92" s="242"/>
      <c r="Y92" s="242"/>
      <c r="Z92" s="242"/>
    </row>
    <row r="93" spans="2:82" ht="18" customHeight="1">
      <c r="E93" s="616"/>
      <c r="F93" s="243" t="s">
        <v>290</v>
      </c>
      <c r="G93" s="244">
        <f>SUM(G88:G92)</f>
        <v>0</v>
      </c>
      <c r="H93" s="244">
        <f t="shared" ref="H93:R93" si="38">SUM(H88:H92)</f>
        <v>0</v>
      </c>
      <c r="I93" s="244">
        <f t="shared" si="38"/>
        <v>0</v>
      </c>
      <c r="J93" s="244">
        <f t="shared" si="38"/>
        <v>0</v>
      </c>
      <c r="K93" s="244">
        <f t="shared" si="38"/>
        <v>0</v>
      </c>
      <c r="L93" s="244">
        <f t="shared" si="38"/>
        <v>0</v>
      </c>
      <c r="M93" s="244">
        <f t="shared" si="38"/>
        <v>0</v>
      </c>
      <c r="N93" s="244">
        <f t="shared" si="38"/>
        <v>0</v>
      </c>
      <c r="O93" s="244">
        <f t="shared" si="38"/>
        <v>0</v>
      </c>
      <c r="P93" s="244">
        <f t="shared" si="38"/>
        <v>0</v>
      </c>
      <c r="Q93" s="244">
        <f t="shared" si="38"/>
        <v>0</v>
      </c>
      <c r="R93" s="244">
        <f t="shared" si="38"/>
        <v>0</v>
      </c>
      <c r="S93" s="244">
        <f t="shared" ref="S93:Z93" si="39">SUM(S88:S92)</f>
        <v>0</v>
      </c>
      <c r="T93" s="244">
        <f t="shared" si="39"/>
        <v>0</v>
      </c>
      <c r="U93" s="244">
        <f t="shared" si="39"/>
        <v>0</v>
      </c>
      <c r="V93" s="244">
        <f t="shared" si="39"/>
        <v>0</v>
      </c>
      <c r="W93" s="244">
        <f t="shared" si="39"/>
        <v>0</v>
      </c>
      <c r="X93" s="244">
        <f t="shared" si="39"/>
        <v>0</v>
      </c>
      <c r="Y93" s="244">
        <f t="shared" si="39"/>
        <v>0</v>
      </c>
      <c r="Z93" s="244">
        <f t="shared" si="39"/>
        <v>0</v>
      </c>
    </row>
    <row r="94" spans="2:82" ht="18" customHeight="1">
      <c r="E94" s="617" t="s">
        <v>291</v>
      </c>
      <c r="F94" s="259" t="s">
        <v>372</v>
      </c>
      <c r="G94" s="260">
        <v>500000</v>
      </c>
      <c r="H94" s="260"/>
      <c r="I94" s="260"/>
      <c r="J94" s="260"/>
      <c r="K94" s="260"/>
      <c r="L94" s="260"/>
      <c r="M94" s="260"/>
      <c r="N94" s="260"/>
      <c r="O94" s="260"/>
      <c r="P94" s="260"/>
      <c r="Q94" s="260"/>
      <c r="R94" s="260"/>
      <c r="S94" s="260">
        <v>500000</v>
      </c>
      <c r="T94" s="260"/>
      <c r="U94" s="260"/>
      <c r="V94" s="260"/>
      <c r="W94" s="260"/>
      <c r="X94" s="260"/>
      <c r="Y94" s="260"/>
      <c r="Z94" s="260"/>
      <c r="BL94" s="187">
        <v>670272</v>
      </c>
    </row>
    <row r="95" spans="2:82" ht="18" customHeight="1">
      <c r="E95" s="615"/>
      <c r="F95" s="261" t="s">
        <v>373</v>
      </c>
      <c r="G95" s="240"/>
      <c r="H95" s="240">
        <v>135600</v>
      </c>
      <c r="I95" s="240"/>
      <c r="J95" s="240"/>
      <c r="K95" s="240"/>
      <c r="L95" s="240"/>
      <c r="M95" s="240"/>
      <c r="N95" s="240"/>
      <c r="O95" s="240"/>
      <c r="P95" s="240"/>
      <c r="Q95" s="240"/>
      <c r="R95" s="240"/>
      <c r="S95" s="240"/>
      <c r="T95" s="240">
        <v>135600</v>
      </c>
      <c r="U95" s="240"/>
      <c r="V95" s="240"/>
      <c r="W95" s="240"/>
      <c r="X95" s="240"/>
      <c r="Y95" s="240"/>
      <c r="Z95" s="240"/>
      <c r="AF95" s="187">
        <v>526900</v>
      </c>
      <c r="AQ95" s="187">
        <v>18762</v>
      </c>
      <c r="AR95" s="187">
        <v>418000</v>
      </c>
      <c r="BD95" s="187">
        <v>133000</v>
      </c>
    </row>
    <row r="96" spans="2:82" ht="18" customHeight="1">
      <c r="E96" s="615"/>
      <c r="F96" s="261" t="s">
        <v>181</v>
      </c>
      <c r="G96" s="240"/>
      <c r="H96" s="240">
        <v>70000</v>
      </c>
      <c r="I96" s="240"/>
      <c r="J96" s="240"/>
      <c r="K96" s="240"/>
      <c r="L96" s="240"/>
      <c r="M96" s="240"/>
      <c r="N96" s="240"/>
      <c r="O96" s="240"/>
      <c r="P96" s="240"/>
      <c r="Q96" s="240"/>
      <c r="R96" s="240"/>
      <c r="S96" s="240"/>
      <c r="T96" s="240">
        <v>70000</v>
      </c>
      <c r="U96" s="240"/>
      <c r="V96" s="240"/>
      <c r="W96" s="240"/>
      <c r="X96" s="240"/>
      <c r="Y96" s="240"/>
      <c r="Z96" s="240"/>
      <c r="AF96" s="187">
        <v>70000</v>
      </c>
      <c r="AR96" s="187">
        <v>132800</v>
      </c>
      <c r="BD96" s="187">
        <v>217700</v>
      </c>
      <c r="CA96" s="187">
        <v>114185</v>
      </c>
      <c r="CB96" s="187">
        <v>94185</v>
      </c>
      <c r="CC96" s="187">
        <v>94775</v>
      </c>
      <c r="CD96" s="187">
        <v>40300</v>
      </c>
    </row>
    <row r="97" spans="2:90" ht="18" customHeight="1">
      <c r="E97" s="615"/>
      <c r="F97" s="261" t="s">
        <v>364</v>
      </c>
      <c r="G97" s="240"/>
      <c r="H97" s="240"/>
      <c r="I97" s="240"/>
      <c r="J97" s="240"/>
      <c r="K97" s="240"/>
      <c r="L97" s="240"/>
      <c r="M97" s="240"/>
      <c r="N97" s="240"/>
      <c r="O97" s="240"/>
      <c r="P97" s="240"/>
      <c r="Q97" s="240"/>
      <c r="R97" s="240"/>
      <c r="S97" s="240"/>
      <c r="T97" s="240">
        <v>227</v>
      </c>
      <c r="U97" s="240">
        <v>230</v>
      </c>
      <c r="V97" s="240">
        <v>246</v>
      </c>
      <c r="W97" s="240">
        <v>157</v>
      </c>
      <c r="X97" s="240"/>
      <c r="Y97" s="240"/>
      <c r="Z97" s="240"/>
      <c r="AM97" s="187">
        <v>20460</v>
      </c>
      <c r="AN97" s="187">
        <v>6050</v>
      </c>
      <c r="AO97" s="187">
        <v>8030</v>
      </c>
      <c r="AP97" s="187">
        <v>5000</v>
      </c>
      <c r="AQ97" s="187">
        <v>5000</v>
      </c>
      <c r="AR97" s="187">
        <v>5000</v>
      </c>
      <c r="AV97" s="187">
        <v>23100</v>
      </c>
      <c r="AW97" s="187">
        <v>10210</v>
      </c>
      <c r="BI97" s="187">
        <v>10210</v>
      </c>
      <c r="BO97" s="187">
        <v>48480</v>
      </c>
      <c r="BS97" s="187">
        <v>20000</v>
      </c>
      <c r="BT97" s="187">
        <v>76300</v>
      </c>
      <c r="BU97" s="187">
        <v>64385</v>
      </c>
      <c r="BV97" s="187">
        <v>20000</v>
      </c>
      <c r="CB97" s="187">
        <v>227700</v>
      </c>
      <c r="CC97" s="187">
        <v>111600</v>
      </c>
      <c r="CD97" s="187">
        <v>214882</v>
      </c>
    </row>
    <row r="98" spans="2:90" ht="18" customHeight="1">
      <c r="E98" s="615"/>
      <c r="F98" s="262" t="s">
        <v>365</v>
      </c>
      <c r="G98" s="240"/>
      <c r="H98" s="240"/>
      <c r="I98" s="240"/>
      <c r="J98" s="240"/>
      <c r="K98" s="240"/>
      <c r="L98" s="240"/>
      <c r="M98" s="240"/>
      <c r="N98" s="240"/>
      <c r="O98" s="240"/>
      <c r="P98" s="240"/>
      <c r="Q98" s="240"/>
      <c r="R98" s="240"/>
      <c r="S98" s="240"/>
      <c r="T98" s="240"/>
      <c r="U98" s="240"/>
      <c r="V98" s="240"/>
      <c r="W98" s="240"/>
      <c r="X98" s="240"/>
      <c r="Y98" s="240"/>
      <c r="Z98" s="240"/>
      <c r="AI98" s="187">
        <v>-84194</v>
      </c>
      <c r="AM98" s="187">
        <v>3991</v>
      </c>
      <c r="AO98" s="187">
        <v>9006</v>
      </c>
      <c r="AP98" s="187">
        <v>9140</v>
      </c>
      <c r="AR98" s="187">
        <v>43955</v>
      </c>
      <c r="AS98" s="187">
        <v>31770</v>
      </c>
      <c r="AV98" s="187">
        <v>5099</v>
      </c>
      <c r="AW98" s="187">
        <v>800</v>
      </c>
      <c r="AX98" s="187">
        <v>9154</v>
      </c>
      <c r="AY98" s="187">
        <v>-2355</v>
      </c>
      <c r="AZ98" s="187">
        <v>-19236</v>
      </c>
      <c r="BA98" s="187">
        <v>-6657</v>
      </c>
      <c r="BB98" s="187">
        <v>-2989</v>
      </c>
      <c r="BC98" s="187">
        <v>13508</v>
      </c>
      <c r="BD98" s="187">
        <v>4869</v>
      </c>
      <c r="BE98" s="187">
        <v>11178</v>
      </c>
      <c r="BG98" s="187">
        <v>-4169</v>
      </c>
      <c r="BH98" s="187">
        <v>-4524</v>
      </c>
      <c r="BK98" s="187">
        <v>3140</v>
      </c>
      <c r="BL98" s="187">
        <v>-59211</v>
      </c>
      <c r="BM98" s="187">
        <v>30160</v>
      </c>
      <c r="BO98" s="187">
        <v>17735</v>
      </c>
      <c r="BP98" s="187">
        <v>32372</v>
      </c>
      <c r="BQ98" s="187">
        <v>15000</v>
      </c>
      <c r="BR98" s="187">
        <v>60550</v>
      </c>
      <c r="BS98" s="187">
        <v>15000</v>
      </c>
      <c r="BT98" s="187">
        <v>-12350</v>
      </c>
      <c r="BU98" s="187">
        <v>11181</v>
      </c>
      <c r="BV98" s="187">
        <v>15000</v>
      </c>
      <c r="BW98" s="187">
        <v>36238</v>
      </c>
      <c r="CA98" s="187">
        <v>20018.54</v>
      </c>
      <c r="CB98" s="187">
        <v>-12538</v>
      </c>
      <c r="CC98" s="187">
        <v>20389</v>
      </c>
      <c r="CD98" s="187">
        <v>-37028</v>
      </c>
      <c r="CE98" s="187">
        <v>24000</v>
      </c>
      <c r="CF98" s="187">
        <v>24000</v>
      </c>
      <c r="CG98" s="187">
        <v>24000</v>
      </c>
      <c r="CH98" s="187">
        <v>24000</v>
      </c>
      <c r="CI98" s="187">
        <v>24000</v>
      </c>
      <c r="CJ98" s="187">
        <v>24000</v>
      </c>
      <c r="CK98" s="187">
        <v>24000</v>
      </c>
      <c r="CL98" s="187">
        <v>24000</v>
      </c>
    </row>
    <row r="99" spans="2:90" ht="18" customHeight="1">
      <c r="E99" s="615"/>
      <c r="F99" s="263"/>
      <c r="G99" s="264"/>
      <c r="H99" s="264"/>
      <c r="I99" s="264"/>
      <c r="J99" s="264"/>
      <c r="K99" s="264"/>
      <c r="L99" s="264"/>
      <c r="M99" s="264"/>
      <c r="N99" s="264"/>
      <c r="O99" s="264"/>
      <c r="P99" s="264"/>
      <c r="Q99" s="264"/>
      <c r="R99" s="264"/>
      <c r="S99" s="264"/>
      <c r="T99" s="264"/>
      <c r="U99" s="264"/>
      <c r="V99" s="264"/>
      <c r="W99" s="264"/>
      <c r="X99" s="264"/>
      <c r="Y99" s="264"/>
      <c r="Z99" s="264"/>
      <c r="AZ99" s="187">
        <v>2780640</v>
      </c>
      <c r="BF99" s="187">
        <v>3000000</v>
      </c>
    </row>
    <row r="100" spans="2:90" ht="18" customHeight="1">
      <c r="E100" s="615"/>
      <c r="F100" s="265" t="s">
        <v>366</v>
      </c>
      <c r="G100" s="240">
        <v>0</v>
      </c>
      <c r="H100" s="240">
        <v>0</v>
      </c>
      <c r="I100" s="240">
        <v>0</v>
      </c>
      <c r="J100" s="240">
        <v>0</v>
      </c>
      <c r="K100" s="240">
        <v>167000</v>
      </c>
      <c r="L100" s="240">
        <v>167000</v>
      </c>
      <c r="M100" s="240">
        <v>167000</v>
      </c>
      <c r="N100" s="240">
        <v>167000</v>
      </c>
      <c r="O100" s="240">
        <v>167000</v>
      </c>
      <c r="P100" s="240">
        <v>167000</v>
      </c>
      <c r="Q100" s="240">
        <v>167000</v>
      </c>
      <c r="R100" s="240">
        <v>167000</v>
      </c>
      <c r="S100" s="240">
        <v>1156</v>
      </c>
      <c r="T100" s="240">
        <v>1156</v>
      </c>
      <c r="U100" s="240">
        <v>1156</v>
      </c>
      <c r="V100" s="240">
        <v>1156</v>
      </c>
      <c r="W100" s="240">
        <v>1156</v>
      </c>
      <c r="X100" s="240"/>
      <c r="Y100" s="240"/>
      <c r="Z100" s="240"/>
      <c r="AA100" s="187">
        <v>0</v>
      </c>
      <c r="AB100" s="187">
        <v>0</v>
      </c>
      <c r="AC100" s="187">
        <v>0</v>
      </c>
      <c r="AD100" s="187">
        <v>0</v>
      </c>
      <c r="AE100" s="187">
        <v>0</v>
      </c>
      <c r="AF100" s="187">
        <v>0</v>
      </c>
      <c r="AG100" s="187">
        <v>0</v>
      </c>
      <c r="AH100" s="187">
        <v>0</v>
      </c>
      <c r="AI100" s="187">
        <v>0</v>
      </c>
      <c r="AJ100" s="187">
        <v>0</v>
      </c>
      <c r="AK100" s="187">
        <v>0</v>
      </c>
      <c r="AL100" s="187">
        <v>0</v>
      </c>
      <c r="AM100" s="187">
        <v>0</v>
      </c>
      <c r="AN100" s="187">
        <v>0</v>
      </c>
      <c r="AO100" s="187">
        <v>0</v>
      </c>
      <c r="AP100" s="187">
        <v>0</v>
      </c>
      <c r="AQ100" s="187">
        <v>0</v>
      </c>
      <c r="AR100" s="187">
        <v>0</v>
      </c>
      <c r="AS100" s="187">
        <v>0</v>
      </c>
      <c r="AT100" s="187">
        <v>0</v>
      </c>
      <c r="AU100" s="187">
        <v>0</v>
      </c>
      <c r="AV100" s="187">
        <v>0</v>
      </c>
      <c r="AW100" s="187">
        <v>0</v>
      </c>
      <c r="AX100" s="187">
        <v>0</v>
      </c>
      <c r="AY100" s="187">
        <v>0</v>
      </c>
      <c r="AZ100" s="187">
        <v>0</v>
      </c>
      <c r="BA100" s="187">
        <v>0</v>
      </c>
      <c r="BB100" s="187">
        <v>0</v>
      </c>
      <c r="BC100" s="187">
        <v>0</v>
      </c>
      <c r="BD100" s="187">
        <v>0</v>
      </c>
      <c r="BE100" s="187">
        <v>0</v>
      </c>
      <c r="BF100" s="187">
        <v>0</v>
      </c>
      <c r="BG100" s="187">
        <v>0</v>
      </c>
      <c r="BH100" s="187">
        <v>0</v>
      </c>
      <c r="BI100" s="187">
        <v>0</v>
      </c>
      <c r="BJ100" s="187">
        <v>0</v>
      </c>
      <c r="BK100" s="187">
        <v>0</v>
      </c>
      <c r="BL100" s="187">
        <v>0</v>
      </c>
      <c r="BM100" s="187">
        <v>0</v>
      </c>
      <c r="BN100" s="187">
        <v>0</v>
      </c>
      <c r="BO100" s="187">
        <v>0</v>
      </c>
      <c r="BP100" s="187">
        <v>0</v>
      </c>
      <c r="BQ100" s="187">
        <v>0</v>
      </c>
      <c r="BR100" s="187">
        <v>0</v>
      </c>
      <c r="BS100" s="187">
        <v>0</v>
      </c>
      <c r="BT100" s="187">
        <v>0</v>
      </c>
      <c r="BU100" s="187">
        <v>0</v>
      </c>
      <c r="BV100" s="187">
        <v>0</v>
      </c>
      <c r="BW100" s="187">
        <v>0</v>
      </c>
      <c r="BX100" s="187">
        <v>0</v>
      </c>
      <c r="BY100" s="187">
        <v>0</v>
      </c>
      <c r="BZ100" s="187">
        <v>0</v>
      </c>
      <c r="CA100" s="187">
        <v>0</v>
      </c>
      <c r="CB100" s="187">
        <v>0</v>
      </c>
      <c r="CC100" s="187">
        <v>0</v>
      </c>
      <c r="CD100" s="187">
        <v>0</v>
      </c>
      <c r="CE100" s="187">
        <v>0</v>
      </c>
      <c r="CF100" s="187">
        <v>0</v>
      </c>
      <c r="CG100" s="187">
        <v>0</v>
      </c>
      <c r="CH100" s="187">
        <v>0</v>
      </c>
      <c r="CI100" s="187">
        <v>0</v>
      </c>
      <c r="CJ100" s="187">
        <v>0</v>
      </c>
      <c r="CK100" s="187">
        <v>0</v>
      </c>
      <c r="CL100" s="187">
        <v>0</v>
      </c>
    </row>
    <row r="101" spans="2:90" ht="18" customHeight="1">
      <c r="E101" s="615"/>
      <c r="F101" s="266" t="s">
        <v>362</v>
      </c>
      <c r="G101" s="242"/>
      <c r="H101" s="242"/>
      <c r="I101" s="242"/>
      <c r="J101" s="242"/>
      <c r="K101" s="242"/>
      <c r="L101" s="242"/>
      <c r="M101" s="242"/>
      <c r="N101" s="242"/>
      <c r="O101" s="242"/>
      <c r="P101" s="242"/>
      <c r="Q101" s="242"/>
      <c r="R101" s="242"/>
      <c r="S101" s="242">
        <v>390</v>
      </c>
      <c r="T101" s="242">
        <v>186</v>
      </c>
      <c r="U101" s="242">
        <v>190</v>
      </c>
      <c r="V101" s="242">
        <v>337</v>
      </c>
      <c r="W101" s="242">
        <v>41</v>
      </c>
      <c r="X101" s="242"/>
      <c r="Y101" s="242"/>
      <c r="Z101" s="242"/>
      <c r="AL101" s="187">
        <v>100000</v>
      </c>
    </row>
    <row r="102" spans="2:90" ht="18" customHeight="1" thickBot="1">
      <c r="E102" s="618"/>
      <c r="F102" s="252" t="s">
        <v>292</v>
      </c>
      <c r="G102" s="253">
        <f>SUM(G94:G101)</f>
        <v>500000</v>
      </c>
      <c r="H102" s="253">
        <f t="shared" ref="H102:R102" si="40">SUM(H94:H101)</f>
        <v>205600</v>
      </c>
      <c r="I102" s="253">
        <f t="shared" si="40"/>
        <v>0</v>
      </c>
      <c r="J102" s="253">
        <f t="shared" si="40"/>
        <v>0</v>
      </c>
      <c r="K102" s="253">
        <f t="shared" si="40"/>
        <v>167000</v>
      </c>
      <c r="L102" s="253">
        <f t="shared" si="40"/>
        <v>167000</v>
      </c>
      <c r="M102" s="253">
        <f t="shared" si="40"/>
        <v>167000</v>
      </c>
      <c r="N102" s="253">
        <f t="shared" si="40"/>
        <v>167000</v>
      </c>
      <c r="O102" s="253">
        <f t="shared" si="40"/>
        <v>167000</v>
      </c>
      <c r="P102" s="253">
        <f t="shared" si="40"/>
        <v>167000</v>
      </c>
      <c r="Q102" s="253">
        <f t="shared" si="40"/>
        <v>167000</v>
      </c>
      <c r="R102" s="253">
        <f t="shared" si="40"/>
        <v>167000</v>
      </c>
      <c r="S102" s="253">
        <f t="shared" ref="S102:Z102" si="41">SUM(S94:S101)</f>
        <v>501546</v>
      </c>
      <c r="T102" s="253">
        <f t="shared" si="41"/>
        <v>207169</v>
      </c>
      <c r="U102" s="253">
        <f t="shared" si="41"/>
        <v>1576</v>
      </c>
      <c r="V102" s="253">
        <f t="shared" si="41"/>
        <v>1739</v>
      </c>
      <c r="W102" s="253">
        <f t="shared" si="41"/>
        <v>1354</v>
      </c>
      <c r="X102" s="253">
        <f t="shared" si="41"/>
        <v>0</v>
      </c>
      <c r="Y102" s="253">
        <f t="shared" si="41"/>
        <v>0</v>
      </c>
      <c r="Z102" s="253">
        <f t="shared" si="41"/>
        <v>0</v>
      </c>
    </row>
    <row r="103" spans="2:90" ht="18" customHeight="1" thickTop="1" thickBot="1">
      <c r="E103" s="619" t="s">
        <v>293</v>
      </c>
      <c r="F103" s="620"/>
      <c r="G103" s="254">
        <f>+G93-G102</f>
        <v>-500000</v>
      </c>
      <c r="H103" s="254">
        <f t="shared" ref="H103:R103" si="42">+H93-H102</f>
        <v>-205600</v>
      </c>
      <c r="I103" s="254">
        <f t="shared" si="42"/>
        <v>0</v>
      </c>
      <c r="J103" s="254">
        <f t="shared" si="42"/>
        <v>0</v>
      </c>
      <c r="K103" s="254">
        <f t="shared" si="42"/>
        <v>-167000</v>
      </c>
      <c r="L103" s="254">
        <f t="shared" si="42"/>
        <v>-167000</v>
      </c>
      <c r="M103" s="254">
        <f t="shared" si="42"/>
        <v>-167000</v>
      </c>
      <c r="N103" s="254">
        <f t="shared" si="42"/>
        <v>-167000</v>
      </c>
      <c r="O103" s="254">
        <f t="shared" si="42"/>
        <v>-167000</v>
      </c>
      <c r="P103" s="254">
        <f t="shared" si="42"/>
        <v>-167000</v>
      </c>
      <c r="Q103" s="254">
        <f t="shared" si="42"/>
        <v>-167000</v>
      </c>
      <c r="R103" s="254">
        <f t="shared" si="42"/>
        <v>-167000</v>
      </c>
      <c r="S103" s="254">
        <f t="shared" ref="S103:Z103" si="43">+S93-S102</f>
        <v>-501546</v>
      </c>
      <c r="T103" s="254">
        <f t="shared" si="43"/>
        <v>-207169</v>
      </c>
      <c r="U103" s="254">
        <f t="shared" si="43"/>
        <v>-1576</v>
      </c>
      <c r="V103" s="254">
        <f t="shared" si="43"/>
        <v>-1739</v>
      </c>
      <c r="W103" s="254">
        <f t="shared" si="43"/>
        <v>-1354</v>
      </c>
      <c r="X103" s="254">
        <f t="shared" si="43"/>
        <v>0</v>
      </c>
      <c r="Y103" s="254">
        <f t="shared" si="43"/>
        <v>0</v>
      </c>
      <c r="Z103" s="254">
        <f t="shared" si="43"/>
        <v>0</v>
      </c>
    </row>
    <row r="104" spans="2:90" ht="35.450000000000003" customHeight="1" thickTop="1" thickBot="1">
      <c r="E104" s="619" t="s">
        <v>294</v>
      </c>
      <c r="F104" s="620"/>
      <c r="G104" s="267">
        <f>+G87+G103</f>
        <v>295603</v>
      </c>
      <c r="H104" s="267">
        <f t="shared" ref="H104:R104" si="44">+H87+H103</f>
        <v>-712020</v>
      </c>
      <c r="I104" s="267">
        <f t="shared" si="44"/>
        <v>-8081</v>
      </c>
      <c r="J104" s="267">
        <f t="shared" si="44"/>
        <v>-68253.72080000001</v>
      </c>
      <c r="K104" s="267">
        <f t="shared" si="44"/>
        <v>-160634.70160000003</v>
      </c>
      <c r="L104" s="267">
        <f t="shared" si="44"/>
        <v>-183325.19199999992</v>
      </c>
      <c r="M104" s="267">
        <f t="shared" si="44"/>
        <v>-160634.70160000003</v>
      </c>
      <c r="N104" s="267">
        <f t="shared" si="44"/>
        <v>-64278.21120000002</v>
      </c>
      <c r="O104" s="267">
        <f t="shared" si="44"/>
        <v>-71278.21120000002</v>
      </c>
      <c r="P104" s="267">
        <f t="shared" si="44"/>
        <v>-71278.21120000002</v>
      </c>
      <c r="Q104" s="267">
        <f t="shared" si="44"/>
        <v>-71278.21120000002</v>
      </c>
      <c r="R104" s="267">
        <f t="shared" si="44"/>
        <v>-71278.21120000002</v>
      </c>
      <c r="S104" s="267">
        <f t="shared" ref="S104:Z104" si="45">+S87+S103</f>
        <v>-1031465</v>
      </c>
      <c r="T104" s="267">
        <f t="shared" si="45"/>
        <v>-207169</v>
      </c>
      <c r="U104" s="267">
        <f t="shared" si="45"/>
        <v>-1576</v>
      </c>
      <c r="V104" s="267">
        <f t="shared" si="45"/>
        <v>-1739</v>
      </c>
      <c r="W104" s="267">
        <f t="shared" si="45"/>
        <v>-1354</v>
      </c>
      <c r="X104" s="267">
        <f t="shared" si="45"/>
        <v>0</v>
      </c>
      <c r="Y104" s="267">
        <f t="shared" si="45"/>
        <v>0</v>
      </c>
      <c r="Z104" s="267">
        <f t="shared" si="45"/>
        <v>0</v>
      </c>
    </row>
    <row r="105" spans="2:90" ht="43.5" customHeight="1" thickTop="1" thickBot="1">
      <c r="E105" s="621" t="s">
        <v>295</v>
      </c>
      <c r="F105" s="622"/>
      <c r="G105" s="399">
        <f>+G76+G104</f>
        <v>2644592</v>
      </c>
      <c r="H105" s="399">
        <f t="shared" ref="H105:R105" si="46">+H76+H104</f>
        <v>1932572</v>
      </c>
      <c r="I105" s="399">
        <f t="shared" si="46"/>
        <v>1924491</v>
      </c>
      <c r="J105" s="399">
        <f t="shared" si="46"/>
        <v>1856237.2792</v>
      </c>
      <c r="K105" s="399">
        <f t="shared" si="46"/>
        <v>1695602.5776</v>
      </c>
      <c r="L105" s="399">
        <f t="shared" si="46"/>
        <v>1512277.3856000002</v>
      </c>
      <c r="M105" s="399">
        <f t="shared" si="46"/>
        <v>1351642.6840000001</v>
      </c>
      <c r="N105" s="399">
        <f t="shared" si="46"/>
        <v>1287364.4728000001</v>
      </c>
      <c r="O105" s="399">
        <f t="shared" si="46"/>
        <v>1216086.2616000001</v>
      </c>
      <c r="P105" s="399">
        <f t="shared" si="46"/>
        <v>1144808.0504000001</v>
      </c>
      <c r="Q105" s="399">
        <f t="shared" si="46"/>
        <v>1073529.8392</v>
      </c>
      <c r="R105" s="399">
        <f t="shared" si="46"/>
        <v>1002251.628</v>
      </c>
      <c r="S105" s="399">
        <f t="shared" ref="S105:Z105" si="47">+S76+S104</f>
        <v>-29213.371999999974</v>
      </c>
      <c r="T105" s="399">
        <f t="shared" si="47"/>
        <v>-236382.37199999997</v>
      </c>
      <c r="U105" s="399">
        <f t="shared" si="47"/>
        <v>-237958.37199999997</v>
      </c>
      <c r="V105" s="399">
        <f t="shared" si="47"/>
        <v>-239697.37199999997</v>
      </c>
      <c r="W105" s="399">
        <f t="shared" si="47"/>
        <v>-241051.37199999997</v>
      </c>
      <c r="X105" s="399">
        <f t="shared" si="47"/>
        <v>-241051.37199999997</v>
      </c>
      <c r="Y105" s="399">
        <f t="shared" si="47"/>
        <v>-241051.37199999997</v>
      </c>
      <c r="Z105" s="399">
        <f t="shared" si="47"/>
        <v>-241051.37199999997</v>
      </c>
    </row>
    <row r="106" spans="2:90" ht="25.9" customHeight="1" thickTop="1" thickBot="1">
      <c r="E106" s="623" t="s">
        <v>344</v>
      </c>
      <c r="F106" s="624"/>
      <c r="G106" s="400"/>
      <c r="H106" s="400"/>
      <c r="I106" s="400"/>
      <c r="J106" s="400"/>
      <c r="K106" s="400"/>
      <c r="L106" s="400"/>
      <c r="M106" s="400"/>
      <c r="N106" s="400"/>
      <c r="O106" s="400"/>
      <c r="P106" s="400"/>
      <c r="Q106" s="400"/>
      <c r="R106" s="400"/>
      <c r="S106" s="400">
        <f t="shared" ref="S106:Z106" si="48">S57+S40-S100</f>
        <v>-1156</v>
      </c>
      <c r="T106" s="400">
        <f t="shared" si="48"/>
        <v>-1156</v>
      </c>
      <c r="U106" s="400">
        <f t="shared" si="48"/>
        <v>-1156</v>
      </c>
      <c r="V106" s="400">
        <f t="shared" si="48"/>
        <v>-1156</v>
      </c>
      <c r="W106" s="400">
        <f t="shared" si="48"/>
        <v>-1156</v>
      </c>
      <c r="X106" s="400">
        <f t="shared" si="48"/>
        <v>0</v>
      </c>
      <c r="Y106" s="400">
        <f t="shared" si="48"/>
        <v>0</v>
      </c>
      <c r="Z106" s="400">
        <f t="shared" si="48"/>
        <v>0</v>
      </c>
    </row>
    <row r="107" spans="2:90" s="251" customFormat="1" ht="38.65" customHeight="1">
      <c r="F107" s="268" t="s">
        <v>296</v>
      </c>
    </row>
    <row r="108" spans="2:90" ht="31.5" customHeight="1">
      <c r="F108" s="269" t="s">
        <v>297</v>
      </c>
      <c r="G108" s="270">
        <f t="shared" ref="G108:Z108" si="49">G105-G107</f>
        <v>2644592</v>
      </c>
      <c r="H108" s="270">
        <f t="shared" si="49"/>
        <v>1932572</v>
      </c>
      <c r="I108" s="270">
        <f t="shared" si="49"/>
        <v>1924491</v>
      </c>
      <c r="J108" s="270">
        <f t="shared" si="49"/>
        <v>1856237.2792</v>
      </c>
      <c r="K108" s="270">
        <f t="shared" si="49"/>
        <v>1695602.5776</v>
      </c>
      <c r="L108" s="270">
        <f t="shared" si="49"/>
        <v>1512277.3856000002</v>
      </c>
      <c r="M108" s="270">
        <f t="shared" si="49"/>
        <v>1351642.6840000001</v>
      </c>
      <c r="N108" s="270">
        <f t="shared" si="49"/>
        <v>1287364.4728000001</v>
      </c>
      <c r="O108" s="270">
        <f t="shared" si="49"/>
        <v>1216086.2616000001</v>
      </c>
      <c r="P108" s="270">
        <f t="shared" si="49"/>
        <v>1144808.0504000001</v>
      </c>
      <c r="Q108" s="270">
        <f t="shared" si="49"/>
        <v>1073529.8392</v>
      </c>
      <c r="R108" s="270">
        <f t="shared" si="49"/>
        <v>1002251.628</v>
      </c>
      <c r="S108" s="270">
        <f t="shared" si="49"/>
        <v>-29213.371999999974</v>
      </c>
      <c r="T108" s="270">
        <f t="shared" si="49"/>
        <v>-236382.37199999997</v>
      </c>
      <c r="U108" s="270">
        <f t="shared" si="49"/>
        <v>-237958.37199999997</v>
      </c>
      <c r="V108" s="270">
        <f t="shared" si="49"/>
        <v>-239697.37199999997</v>
      </c>
      <c r="W108" s="270">
        <f t="shared" si="49"/>
        <v>-241051.37199999997</v>
      </c>
      <c r="X108" s="270">
        <f t="shared" si="49"/>
        <v>-241051.37199999997</v>
      </c>
      <c r="Y108" s="270">
        <f t="shared" si="49"/>
        <v>-241051.37199999997</v>
      </c>
      <c r="Z108" s="270">
        <f t="shared" si="49"/>
        <v>-241051.37199999997</v>
      </c>
    </row>
    <row r="109" spans="2:90">
      <c r="D109" s="271"/>
    </row>
    <row r="110" spans="2:90">
      <c r="B110" s="272" t="s">
        <v>298</v>
      </c>
      <c r="C110" s="272"/>
      <c r="D110" s="273" t="s">
        <v>299</v>
      </c>
      <c r="E110" s="273"/>
      <c r="F110" s="273" t="s">
        <v>300</v>
      </c>
    </row>
    <row r="111" spans="2:90" ht="17.649999999999999">
      <c r="B111" s="274" t="s">
        <v>301</v>
      </c>
      <c r="C111" s="274" t="s">
        <v>302</v>
      </c>
      <c r="D111" s="274" t="s">
        <v>303</v>
      </c>
      <c r="E111" s="274" t="s">
        <v>304</v>
      </c>
      <c r="F111" s="274" t="s">
        <v>305</v>
      </c>
      <c r="G111" s="195" t="str">
        <f t="shared" ref="G111:Z111" si="50">IF($E111&gt;=G$110,$F111,0)</f>
        <v>備考</v>
      </c>
      <c r="H111" s="195" t="str">
        <f t="shared" si="50"/>
        <v>備考</v>
      </c>
      <c r="I111" s="195" t="str">
        <f t="shared" si="50"/>
        <v>備考</v>
      </c>
      <c r="J111" s="195" t="str">
        <f t="shared" si="50"/>
        <v>備考</v>
      </c>
      <c r="K111" s="195" t="str">
        <f t="shared" si="50"/>
        <v>備考</v>
      </c>
      <c r="L111" s="195" t="str">
        <f t="shared" si="50"/>
        <v>備考</v>
      </c>
      <c r="M111" s="195" t="str">
        <f t="shared" si="50"/>
        <v>備考</v>
      </c>
      <c r="N111" s="195" t="str">
        <f t="shared" si="50"/>
        <v>備考</v>
      </c>
      <c r="O111" s="195" t="str">
        <f t="shared" si="50"/>
        <v>備考</v>
      </c>
      <c r="P111" s="195" t="str">
        <f t="shared" si="50"/>
        <v>備考</v>
      </c>
      <c r="Q111" s="195" t="str">
        <f t="shared" si="50"/>
        <v>備考</v>
      </c>
      <c r="R111" s="195" t="str">
        <f t="shared" si="50"/>
        <v>備考</v>
      </c>
      <c r="S111" s="195" t="str">
        <f t="shared" si="50"/>
        <v>備考</v>
      </c>
      <c r="T111" s="195" t="str">
        <f t="shared" si="50"/>
        <v>備考</v>
      </c>
      <c r="U111" s="195" t="str">
        <f t="shared" si="50"/>
        <v>備考</v>
      </c>
      <c r="V111" s="195" t="str">
        <f t="shared" si="50"/>
        <v>備考</v>
      </c>
      <c r="W111" s="195" t="str">
        <f t="shared" si="50"/>
        <v>備考</v>
      </c>
      <c r="X111" s="195" t="str">
        <f t="shared" si="50"/>
        <v>備考</v>
      </c>
      <c r="Y111" s="195" t="str">
        <f t="shared" si="50"/>
        <v>備考</v>
      </c>
      <c r="Z111" s="195" t="str">
        <f t="shared" si="50"/>
        <v>備考</v>
      </c>
    </row>
    <row r="112" spans="2:90" ht="17.649999999999999">
      <c r="B112" s="274"/>
      <c r="C112" s="275"/>
      <c r="D112" s="276"/>
      <c r="E112" s="277"/>
      <c r="F112" s="274"/>
      <c r="G112" s="278"/>
      <c r="H112" s="278"/>
      <c r="I112" s="278"/>
      <c r="J112" s="278"/>
      <c r="K112" s="278"/>
      <c r="L112" s="278"/>
      <c r="M112" s="278"/>
      <c r="N112" s="278"/>
      <c r="O112" s="278"/>
      <c r="P112" s="278"/>
      <c r="Q112" s="278"/>
      <c r="R112" s="278"/>
      <c r="S112" s="278"/>
      <c r="T112" s="278"/>
      <c r="U112" s="278"/>
      <c r="V112" s="278"/>
      <c r="W112" s="278"/>
      <c r="X112" s="278"/>
      <c r="Y112" s="278"/>
      <c r="Z112" s="278"/>
    </row>
    <row r="113" spans="2:26" ht="17.649999999999999">
      <c r="B113" s="274" t="s">
        <v>306</v>
      </c>
      <c r="C113" s="275">
        <v>245000</v>
      </c>
      <c r="D113" s="275">
        <v>23000000</v>
      </c>
      <c r="E113" s="277">
        <v>48913</v>
      </c>
      <c r="F113" s="274" t="s">
        <v>345</v>
      </c>
      <c r="G113" s="278"/>
      <c r="H113" s="278"/>
      <c r="I113" s="278"/>
      <c r="J113" s="278"/>
      <c r="K113" s="278"/>
      <c r="L113" s="278"/>
      <c r="M113" s="278"/>
      <c r="N113" s="278">
        <v>215000</v>
      </c>
      <c r="O113" s="278">
        <v>245000</v>
      </c>
      <c r="P113" s="278">
        <v>245000</v>
      </c>
      <c r="Q113" s="278">
        <v>245000</v>
      </c>
      <c r="R113" s="278">
        <v>245000</v>
      </c>
      <c r="S113" s="278">
        <v>245000</v>
      </c>
      <c r="T113" s="278">
        <v>245000</v>
      </c>
      <c r="U113" s="278">
        <v>245000</v>
      </c>
      <c r="V113" s="278">
        <v>245000</v>
      </c>
      <c r="W113" s="278">
        <v>245000</v>
      </c>
      <c r="X113" s="278">
        <v>245000</v>
      </c>
      <c r="Y113" s="278">
        <v>245000</v>
      </c>
      <c r="Z113" s="278">
        <v>245000</v>
      </c>
    </row>
    <row r="114" spans="2:26" ht="17.649999999999999">
      <c r="B114" s="274" t="s">
        <v>346</v>
      </c>
      <c r="C114" s="275">
        <v>239000</v>
      </c>
      <c r="D114" s="275">
        <v>20000000</v>
      </c>
      <c r="E114" s="277">
        <v>48852</v>
      </c>
      <c r="F114" s="274" t="s">
        <v>347</v>
      </c>
      <c r="G114" s="278"/>
      <c r="H114" s="278"/>
      <c r="I114" s="278"/>
      <c r="J114" s="278"/>
      <c r="K114" s="278"/>
      <c r="L114" s="278"/>
      <c r="M114" s="278"/>
      <c r="N114" s="278"/>
      <c r="O114" s="278"/>
      <c r="P114" s="278"/>
      <c r="Q114" s="278"/>
      <c r="R114" s="278"/>
      <c r="S114" s="278"/>
      <c r="T114" s="278"/>
      <c r="U114" s="278"/>
      <c r="V114" s="278"/>
      <c r="W114" s="278">
        <v>239000</v>
      </c>
      <c r="X114" s="278">
        <v>239000</v>
      </c>
      <c r="Y114" s="278">
        <v>239000</v>
      </c>
      <c r="Z114" s="278">
        <v>239000</v>
      </c>
    </row>
    <row r="115" spans="2:26" ht="17.649999999999999">
      <c r="B115" s="274" t="s">
        <v>348</v>
      </c>
      <c r="C115" s="275">
        <v>239000</v>
      </c>
      <c r="D115" s="275">
        <v>20000000</v>
      </c>
      <c r="E115" s="277">
        <v>49018</v>
      </c>
      <c r="F115" s="274" t="s">
        <v>349</v>
      </c>
      <c r="G115" s="278"/>
      <c r="H115" s="278"/>
      <c r="I115" s="278"/>
      <c r="J115" s="278"/>
      <c r="K115" s="278"/>
      <c r="L115" s="278"/>
      <c r="M115" s="278"/>
      <c r="N115" s="278"/>
      <c r="O115" s="278"/>
      <c r="P115" s="278"/>
      <c r="Q115" s="278"/>
      <c r="R115" s="278"/>
      <c r="S115" s="278"/>
      <c r="T115" s="278"/>
      <c r="U115" s="278"/>
      <c r="V115" s="278"/>
      <c r="W115" s="278"/>
      <c r="X115" s="278"/>
      <c r="Y115" s="278"/>
      <c r="Z115" s="278"/>
    </row>
    <row r="116" spans="2:26" ht="17.649999999999999">
      <c r="B116" s="274" t="s">
        <v>350</v>
      </c>
      <c r="C116" s="275">
        <v>715000</v>
      </c>
      <c r="D116" s="275">
        <v>60000000</v>
      </c>
      <c r="E116" s="277">
        <v>49025</v>
      </c>
      <c r="F116" s="274" t="s">
        <v>351</v>
      </c>
      <c r="G116" s="278"/>
      <c r="H116" s="278"/>
      <c r="I116" s="278"/>
      <c r="J116" s="278"/>
      <c r="K116" s="278"/>
      <c r="L116" s="278"/>
      <c r="M116" s="278"/>
      <c r="N116" s="278"/>
      <c r="O116" s="278"/>
      <c r="P116" s="278"/>
      <c r="Q116" s="278"/>
      <c r="R116" s="278"/>
      <c r="S116" s="278"/>
      <c r="T116" s="278"/>
      <c r="U116" s="278"/>
      <c r="V116" s="278"/>
      <c r="W116" s="278"/>
      <c r="X116" s="278"/>
      <c r="Y116" s="278"/>
      <c r="Z116" s="278"/>
    </row>
    <row r="117" spans="2:26" ht="17.649999999999999">
      <c r="B117" s="274"/>
      <c r="C117" s="275"/>
      <c r="D117" s="275"/>
      <c r="E117" s="277"/>
      <c r="F117" s="274"/>
      <c r="G117" s="278"/>
      <c r="H117" s="278"/>
      <c r="I117" s="278"/>
      <c r="J117" s="278"/>
      <c r="K117" s="278"/>
      <c r="L117" s="278"/>
      <c r="M117" s="278"/>
      <c r="N117" s="278"/>
      <c r="O117" s="278"/>
      <c r="P117" s="278"/>
      <c r="Q117" s="278"/>
      <c r="R117" s="278"/>
      <c r="S117" s="278"/>
      <c r="T117" s="278"/>
      <c r="U117" s="278"/>
      <c r="V117" s="278"/>
      <c r="W117" s="278"/>
      <c r="X117" s="278"/>
      <c r="Y117" s="278"/>
      <c r="Z117" s="278"/>
    </row>
    <row r="118" spans="2:26" ht="17.649999999999999">
      <c r="B118" s="274" t="s">
        <v>307</v>
      </c>
      <c r="C118" s="275">
        <v>235000</v>
      </c>
      <c r="D118" s="275">
        <v>20000000</v>
      </c>
      <c r="E118" s="277">
        <v>47938</v>
      </c>
      <c r="F118" s="274" t="s">
        <v>308</v>
      </c>
      <c r="G118" s="278">
        <v>235000</v>
      </c>
      <c r="H118" s="278">
        <v>235000</v>
      </c>
      <c r="I118" s="278">
        <v>235000</v>
      </c>
      <c r="J118" s="278">
        <v>235000</v>
      </c>
      <c r="K118" s="278">
        <v>235000</v>
      </c>
      <c r="L118" s="278">
        <v>235000</v>
      </c>
      <c r="M118" s="278">
        <v>235000</v>
      </c>
      <c r="N118" s="278">
        <v>235000</v>
      </c>
      <c r="O118" s="278">
        <v>235000</v>
      </c>
      <c r="P118" s="278">
        <v>235000</v>
      </c>
      <c r="Q118" s="278">
        <v>235000</v>
      </c>
      <c r="R118" s="278">
        <v>235000</v>
      </c>
      <c r="S118" s="278">
        <v>235000</v>
      </c>
      <c r="T118" s="278">
        <v>235000</v>
      </c>
      <c r="U118" s="278">
        <v>235000</v>
      </c>
      <c r="V118" s="278">
        <v>235000</v>
      </c>
      <c r="W118" s="278">
        <v>235000</v>
      </c>
      <c r="X118" s="278">
        <v>235000</v>
      </c>
      <c r="Y118" s="278">
        <v>235000</v>
      </c>
      <c r="Z118" s="278">
        <v>235000</v>
      </c>
    </row>
    <row r="119" spans="2:26" ht="17.649999999999999">
      <c r="B119" s="274"/>
      <c r="C119" s="275"/>
      <c r="D119" s="275"/>
      <c r="E119" s="279"/>
      <c r="F119" s="274"/>
      <c r="G119" s="278"/>
      <c r="H119" s="278"/>
      <c r="I119" s="278"/>
      <c r="J119" s="278"/>
      <c r="K119" s="278"/>
      <c r="L119" s="278"/>
      <c r="M119" s="278"/>
      <c r="N119" s="278"/>
      <c r="O119" s="278"/>
      <c r="P119" s="278"/>
      <c r="Q119" s="278"/>
      <c r="R119" s="278"/>
      <c r="S119" s="278"/>
      <c r="T119" s="278"/>
      <c r="U119" s="278"/>
      <c r="V119" s="278"/>
      <c r="W119" s="278"/>
      <c r="X119" s="278"/>
      <c r="Y119" s="278"/>
      <c r="Z119" s="278"/>
    </row>
    <row r="120" spans="2:26" ht="17.649999999999999">
      <c r="B120" s="274" t="s">
        <v>309</v>
      </c>
      <c r="C120" s="275">
        <f>SUM(C112:C118)</f>
        <v>1673000</v>
      </c>
      <c r="D120" s="275">
        <f>SUM(D112:D119)</f>
        <v>143000000</v>
      </c>
      <c r="E120" s="274"/>
      <c r="F120" s="274"/>
      <c r="G120" s="274"/>
      <c r="H120" s="274"/>
      <c r="I120" s="274"/>
      <c r="J120" s="274"/>
      <c r="K120" s="274"/>
      <c r="L120" s="274"/>
      <c r="M120" s="274"/>
      <c r="N120" s="274"/>
      <c r="O120" s="274"/>
      <c r="P120" s="274"/>
      <c r="Q120" s="274"/>
      <c r="R120" s="274"/>
      <c r="S120" s="274"/>
      <c r="T120" s="274"/>
      <c r="U120" s="274"/>
      <c r="V120" s="274"/>
      <c r="W120" s="274"/>
      <c r="X120" s="274"/>
      <c r="Y120" s="274"/>
      <c r="Z120" s="274"/>
    </row>
    <row r="121" spans="2:26" ht="17.649999999999999" hidden="1">
      <c r="B121"/>
      <c r="C121"/>
      <c r="D121"/>
      <c r="E121"/>
      <c r="F121"/>
    </row>
    <row r="124" spans="2:26" s="195" customFormat="1" ht="35.65" customHeight="1">
      <c r="B124" s="280" t="s">
        <v>310</v>
      </c>
      <c r="C124" s="281"/>
      <c r="D124" s="281"/>
      <c r="E124" s="281"/>
      <c r="F124" s="282" t="s">
        <v>311</v>
      </c>
      <c r="G124" s="283">
        <f t="shared" ref="G124:Z124" si="51">SUM(G126:G136,G112:G119)</f>
        <v>235000</v>
      </c>
      <c r="H124" s="283">
        <f t="shared" si="51"/>
        <v>335000</v>
      </c>
      <c r="I124" s="283">
        <f t="shared" si="51"/>
        <v>335000</v>
      </c>
      <c r="J124" s="283">
        <f t="shared" si="51"/>
        <v>452000</v>
      </c>
      <c r="K124" s="283">
        <f t="shared" si="51"/>
        <v>452000</v>
      </c>
      <c r="L124" s="283">
        <f t="shared" si="51"/>
        <v>452000</v>
      </c>
      <c r="M124" s="283">
        <f t="shared" si="51"/>
        <v>536000</v>
      </c>
      <c r="N124" s="283">
        <f t="shared" si="51"/>
        <v>751000</v>
      </c>
      <c r="O124" s="283">
        <f t="shared" si="51"/>
        <v>781000</v>
      </c>
      <c r="P124" s="283">
        <f t="shared" si="51"/>
        <v>781000</v>
      </c>
      <c r="Q124" s="283">
        <f t="shared" si="51"/>
        <v>781000</v>
      </c>
      <c r="R124" s="283">
        <f t="shared" si="51"/>
        <v>781000</v>
      </c>
      <c r="S124" s="283">
        <f t="shared" si="51"/>
        <v>781000</v>
      </c>
      <c r="T124" s="283">
        <f t="shared" si="51"/>
        <v>781000</v>
      </c>
      <c r="U124" s="283">
        <f t="shared" si="51"/>
        <v>781000</v>
      </c>
      <c r="V124" s="283">
        <f t="shared" si="51"/>
        <v>781000</v>
      </c>
      <c r="W124" s="283">
        <f t="shared" si="51"/>
        <v>1020000</v>
      </c>
      <c r="X124" s="283">
        <f t="shared" si="51"/>
        <v>1020000</v>
      </c>
      <c r="Y124" s="283">
        <f t="shared" si="51"/>
        <v>1020000</v>
      </c>
      <c r="Z124" s="283">
        <f t="shared" si="51"/>
        <v>1020000</v>
      </c>
    </row>
    <row r="125" spans="2:26" s="195" customFormat="1">
      <c r="B125" s="284"/>
      <c r="C125" s="284" t="s">
        <v>302</v>
      </c>
      <c r="D125" s="284" t="s">
        <v>312</v>
      </c>
      <c r="E125" s="284" t="s">
        <v>304</v>
      </c>
      <c r="F125" s="284" t="s">
        <v>305</v>
      </c>
    </row>
    <row r="126" spans="2:26" s="195" customFormat="1">
      <c r="B126" s="284"/>
      <c r="C126" s="278"/>
      <c r="D126" s="278"/>
      <c r="E126" s="285"/>
      <c r="G126" s="278"/>
      <c r="H126" s="278"/>
      <c r="I126" s="278"/>
      <c r="J126" s="278"/>
      <c r="K126" s="278"/>
      <c r="L126" s="278"/>
      <c r="M126" s="278"/>
    </row>
    <row r="127" spans="2:26" s="195" customFormat="1">
      <c r="B127" s="284" t="s">
        <v>313</v>
      </c>
      <c r="C127" s="278">
        <v>117000</v>
      </c>
      <c r="D127" s="278">
        <v>7000000</v>
      </c>
      <c r="E127" s="285">
        <v>47756</v>
      </c>
      <c r="F127" s="195" t="s">
        <v>314</v>
      </c>
      <c r="G127" s="278"/>
      <c r="H127" s="278"/>
      <c r="I127" s="278"/>
      <c r="J127" s="278">
        <v>117000</v>
      </c>
      <c r="K127" s="278">
        <v>117000</v>
      </c>
      <c r="L127" s="278">
        <v>117000</v>
      </c>
      <c r="M127" s="278">
        <v>117000</v>
      </c>
      <c r="N127" s="278">
        <v>117000</v>
      </c>
      <c r="O127" s="278">
        <v>117000</v>
      </c>
      <c r="P127" s="278">
        <v>117000</v>
      </c>
      <c r="Q127" s="278">
        <v>117000</v>
      </c>
      <c r="R127" s="278">
        <v>117000</v>
      </c>
      <c r="S127" s="278">
        <v>117000</v>
      </c>
      <c r="T127" s="278">
        <v>117000</v>
      </c>
      <c r="U127" s="278">
        <v>117000</v>
      </c>
      <c r="V127" s="278">
        <v>117000</v>
      </c>
      <c r="W127" s="278">
        <v>117000</v>
      </c>
      <c r="X127" s="278">
        <v>117000</v>
      </c>
      <c r="Y127" s="278">
        <v>117000</v>
      </c>
      <c r="Z127" s="278">
        <v>117000</v>
      </c>
    </row>
    <row r="128" spans="2:26" s="195" customFormat="1">
      <c r="B128" s="284"/>
      <c r="C128" s="278"/>
      <c r="D128" s="278"/>
      <c r="E128" s="285"/>
      <c r="F128" s="284"/>
      <c r="G128" s="278"/>
      <c r="H128" s="278"/>
      <c r="I128" s="278"/>
      <c r="J128" s="278"/>
      <c r="K128" s="278"/>
      <c r="L128" s="278"/>
      <c r="M128" s="278"/>
      <c r="N128" s="278"/>
      <c r="O128" s="278"/>
      <c r="P128" s="278"/>
      <c r="Q128" s="278"/>
      <c r="R128" s="278"/>
      <c r="S128" s="278"/>
      <c r="T128" s="278"/>
      <c r="U128" s="278"/>
      <c r="V128" s="278"/>
      <c r="W128" s="278"/>
      <c r="X128" s="278"/>
      <c r="Y128" s="278"/>
      <c r="Z128" s="278"/>
    </row>
    <row r="129" spans="2:26" s="195" customFormat="1">
      <c r="B129" s="284" t="s">
        <v>315</v>
      </c>
      <c r="C129" s="278">
        <v>120000</v>
      </c>
      <c r="D129" s="278">
        <v>10000000</v>
      </c>
      <c r="E129" s="285">
        <v>49084</v>
      </c>
      <c r="F129" s="285">
        <v>46558</v>
      </c>
      <c r="G129" s="278"/>
      <c r="H129" s="278"/>
      <c r="I129" s="278"/>
      <c r="J129" s="278"/>
      <c r="K129" s="278"/>
      <c r="L129" s="278"/>
      <c r="M129" s="278"/>
    </row>
    <row r="130" spans="2:26" s="195" customFormat="1">
      <c r="B130" s="284"/>
      <c r="C130" s="278"/>
      <c r="D130" s="278"/>
      <c r="E130" s="285"/>
      <c r="F130" s="285"/>
      <c r="G130" s="278"/>
      <c r="H130" s="278"/>
      <c r="I130" s="278"/>
      <c r="J130" s="278"/>
      <c r="K130" s="278"/>
      <c r="L130" s="278"/>
      <c r="M130" s="278"/>
    </row>
    <row r="131" spans="2:26" s="195" customFormat="1">
      <c r="B131" s="284" t="s">
        <v>316</v>
      </c>
      <c r="C131" s="278">
        <v>84000</v>
      </c>
      <c r="D131" s="278">
        <v>5000000</v>
      </c>
      <c r="E131" s="285">
        <v>47817</v>
      </c>
      <c r="F131" s="285">
        <v>46027</v>
      </c>
      <c r="G131" s="278"/>
      <c r="H131" s="278"/>
      <c r="I131" s="278"/>
      <c r="J131" s="278"/>
      <c r="K131" s="278"/>
      <c r="L131" s="278"/>
      <c r="M131" s="278">
        <v>84000</v>
      </c>
      <c r="N131" s="278">
        <v>84000</v>
      </c>
      <c r="O131" s="278">
        <v>84000</v>
      </c>
      <c r="P131" s="278">
        <v>84000</v>
      </c>
      <c r="Q131" s="278">
        <v>84000</v>
      </c>
      <c r="R131" s="278">
        <v>84000</v>
      </c>
      <c r="S131" s="278">
        <v>84000</v>
      </c>
      <c r="T131" s="278">
        <v>84000</v>
      </c>
      <c r="U131" s="278">
        <v>84000</v>
      </c>
      <c r="V131" s="278">
        <v>84000</v>
      </c>
      <c r="W131" s="278">
        <v>84000</v>
      </c>
      <c r="X131" s="278">
        <v>84000</v>
      </c>
      <c r="Y131" s="278">
        <v>84000</v>
      </c>
      <c r="Z131" s="278">
        <v>84000</v>
      </c>
    </row>
    <row r="132" spans="2:26" s="195" customFormat="1">
      <c r="B132" s="284"/>
      <c r="C132" s="278"/>
      <c r="D132" s="278"/>
      <c r="E132" s="285"/>
      <c r="F132" s="285"/>
      <c r="G132" s="278"/>
      <c r="H132" s="278"/>
      <c r="I132" s="278"/>
      <c r="J132" s="278"/>
      <c r="K132" s="278"/>
      <c r="L132" s="278"/>
      <c r="M132" s="278"/>
    </row>
    <row r="133" spans="2:26" s="195" customFormat="1">
      <c r="B133" s="284" t="s">
        <v>317</v>
      </c>
      <c r="C133" s="278">
        <v>50000</v>
      </c>
      <c r="D133" s="278">
        <v>3000000</v>
      </c>
      <c r="E133" s="285">
        <v>47686</v>
      </c>
      <c r="F133" s="285">
        <v>45891</v>
      </c>
      <c r="G133" s="278"/>
      <c r="H133" s="278">
        <v>50000</v>
      </c>
      <c r="I133" s="278">
        <v>50000</v>
      </c>
      <c r="J133" s="278">
        <v>50000</v>
      </c>
      <c r="K133" s="278">
        <v>50000</v>
      </c>
      <c r="L133" s="278">
        <v>50000</v>
      </c>
      <c r="M133" s="278">
        <v>50000</v>
      </c>
      <c r="N133" s="278">
        <v>50000</v>
      </c>
      <c r="O133" s="278">
        <v>50000</v>
      </c>
      <c r="P133" s="278">
        <v>50000</v>
      </c>
      <c r="Q133" s="278">
        <v>50000</v>
      </c>
      <c r="R133" s="278">
        <v>50000</v>
      </c>
      <c r="S133" s="278">
        <v>50000</v>
      </c>
      <c r="T133" s="278">
        <v>50000</v>
      </c>
      <c r="U133" s="278">
        <v>50000</v>
      </c>
      <c r="V133" s="278">
        <v>50000</v>
      </c>
      <c r="W133" s="278">
        <v>50000</v>
      </c>
      <c r="X133" s="278">
        <v>50000</v>
      </c>
      <c r="Y133" s="278">
        <v>50000</v>
      </c>
      <c r="Z133" s="278">
        <v>50000</v>
      </c>
    </row>
    <row r="134" spans="2:26" s="195" customFormat="1">
      <c r="B134" s="284" t="s">
        <v>318</v>
      </c>
      <c r="C134" s="278">
        <v>50000</v>
      </c>
      <c r="D134" s="278">
        <v>3000000</v>
      </c>
      <c r="E134" s="285">
        <v>47686</v>
      </c>
      <c r="F134" s="285">
        <v>45891</v>
      </c>
      <c r="G134" s="278"/>
      <c r="H134" s="278">
        <v>50000</v>
      </c>
      <c r="I134" s="278">
        <v>50000</v>
      </c>
      <c r="J134" s="278">
        <v>50000</v>
      </c>
      <c r="K134" s="278">
        <v>50000</v>
      </c>
      <c r="L134" s="278">
        <v>50000</v>
      </c>
      <c r="M134" s="278">
        <v>50000</v>
      </c>
      <c r="N134" s="278">
        <v>50000</v>
      </c>
      <c r="O134" s="278">
        <v>50000</v>
      </c>
      <c r="P134" s="278">
        <v>50000</v>
      </c>
      <c r="Q134" s="278">
        <v>50000</v>
      </c>
      <c r="R134" s="278">
        <v>50000</v>
      </c>
      <c r="S134" s="278">
        <v>50000</v>
      </c>
      <c r="T134" s="278">
        <v>50000</v>
      </c>
      <c r="U134" s="278">
        <v>50000</v>
      </c>
      <c r="V134" s="278">
        <v>50000</v>
      </c>
      <c r="W134" s="278">
        <v>50000</v>
      </c>
      <c r="X134" s="278">
        <v>50000</v>
      </c>
      <c r="Y134" s="278">
        <v>50000</v>
      </c>
      <c r="Z134" s="278">
        <v>50000</v>
      </c>
    </row>
    <row r="135" spans="2:26" s="195" customFormat="1">
      <c r="C135" s="278"/>
      <c r="D135" s="278"/>
      <c r="G135" s="278"/>
      <c r="H135" s="278"/>
      <c r="I135" s="278"/>
      <c r="J135" s="278"/>
      <c r="K135" s="278"/>
      <c r="L135" s="278"/>
      <c r="M135" s="278"/>
    </row>
    <row r="136" spans="2:26" s="195" customFormat="1">
      <c r="G136" s="278"/>
      <c r="H136" s="278"/>
      <c r="I136" s="278"/>
      <c r="J136" s="278"/>
      <c r="K136" s="278"/>
      <c r="L136" s="278"/>
      <c r="M136" s="278"/>
    </row>
    <row r="137" spans="2:26">
      <c r="G137" s="251"/>
      <c r="H137" s="251"/>
      <c r="I137" s="251"/>
      <c r="J137" s="251"/>
      <c r="K137" s="251"/>
      <c r="L137" s="251"/>
      <c r="M137" s="251"/>
    </row>
    <row r="142" spans="2:26">
      <c r="F142" s="187">
        <f>IF(D142&lt;&gt;0,VLOOKUP([2]収支予測!D142,#REF!,2),0)</f>
        <v>0</v>
      </c>
    </row>
    <row r="143" spans="2:26">
      <c r="F143" s="187">
        <f>IF(D143&lt;&gt;0,VLOOKUP([2]収支予測!D143,#REF!,2),0)</f>
        <v>0</v>
      </c>
    </row>
    <row r="144" spans="2:26">
      <c r="F144" s="187">
        <f>IF(D144&lt;&gt;0,VLOOKUP([2]収支予測!D144,#REF!,2),0)</f>
        <v>0</v>
      </c>
    </row>
    <row r="145" spans="6:6">
      <c r="F145" s="187">
        <f>IF(D145&lt;&gt;0,VLOOKUP([2]収支予測!D145,#REF!,2),0)</f>
        <v>0</v>
      </c>
    </row>
    <row r="146" spans="6:6">
      <c r="F146" s="187">
        <f>IF(D146&lt;&gt;0,VLOOKUP([2]収支予測!D146,#REF!,2),0)</f>
        <v>0</v>
      </c>
    </row>
    <row r="147" spans="6:6">
      <c r="F147" s="187">
        <f>IF(D147&lt;&gt;0,VLOOKUP([2]収支予測!D147,#REF!,2),0)</f>
        <v>0</v>
      </c>
    </row>
    <row r="148" spans="6:6">
      <c r="F148" s="187">
        <f>IF(D148&lt;&gt;0,VLOOKUP([2]収支予測!D148,#REF!,2),0)</f>
        <v>0</v>
      </c>
    </row>
    <row r="149" spans="6:6">
      <c r="F149" s="187">
        <f>IF(D149&lt;&gt;0,VLOOKUP([2]収支予測!D149,#REF!,2),0)</f>
        <v>0</v>
      </c>
    </row>
    <row r="150" spans="6:6">
      <c r="F150" s="187">
        <f>IF(D150&lt;&gt;0,VLOOKUP([2]収支予測!D150,#REF!,2),0)</f>
        <v>0</v>
      </c>
    </row>
    <row r="151" spans="6:6">
      <c r="F151" s="187">
        <f>IF(D151&lt;&gt;0,VLOOKUP([2]収支予測!D151,#REF!,2),0)</f>
        <v>0</v>
      </c>
    </row>
    <row r="152" spans="6:6">
      <c r="F152" s="187">
        <f>IF(D152&lt;&gt;0,VLOOKUP([2]収支予測!D152,#REF!,2),0)</f>
        <v>0</v>
      </c>
    </row>
    <row r="153" spans="6:6">
      <c r="F153" s="187">
        <f>IF(D153&lt;&gt;0,VLOOKUP([2]収支予測!D153,#REF!,2),0)</f>
        <v>0</v>
      </c>
    </row>
    <row r="154" spans="6:6">
      <c r="F154" s="187">
        <f>IF(D154&lt;&gt;0,VLOOKUP([2]収支予測!D154,#REF!,2),0)</f>
        <v>0</v>
      </c>
    </row>
    <row r="155" spans="6:6">
      <c r="F155" s="187">
        <f>IF(D155&lt;&gt;0,VLOOKUP([2]収支予測!D155,#REF!,2),0)</f>
        <v>0</v>
      </c>
    </row>
    <row r="156" spans="6:6">
      <c r="F156" s="187">
        <f>IF(D156&lt;&gt;0,VLOOKUP([2]収支予測!D156,#REF!,2),0)</f>
        <v>0</v>
      </c>
    </row>
    <row r="157" spans="6:6">
      <c r="F157" s="187">
        <f>IF(D157&lt;&gt;0,VLOOKUP([2]収支予測!D157,#REF!,2),0)</f>
        <v>0</v>
      </c>
    </row>
    <row r="158" spans="6:6">
      <c r="F158" s="187">
        <f>IF(D158&lt;&gt;0,VLOOKUP([2]収支予測!D158,#REF!,2),0)</f>
        <v>0</v>
      </c>
    </row>
    <row r="159" spans="6:6">
      <c r="F159" s="187">
        <f>IF(D159&lt;&gt;0,VLOOKUP([2]収支予測!D159,#REF!,2),0)</f>
        <v>0</v>
      </c>
    </row>
    <row r="160" spans="6:6">
      <c r="F160" s="187">
        <f>IF(D160&lt;&gt;0,VLOOKUP([2]収支予測!D160,#REF!,2),0)</f>
        <v>0</v>
      </c>
    </row>
    <row r="161" spans="6:6">
      <c r="F161" s="187">
        <f>IF(D161&lt;&gt;0,VLOOKUP([2]収支予測!D161,#REF!,2),0)</f>
        <v>0</v>
      </c>
    </row>
    <row r="162" spans="6:6">
      <c r="F162" s="187">
        <f>IF(D162&lt;&gt;0,VLOOKUP([2]収支予測!D162,#REF!,2),0)</f>
        <v>0</v>
      </c>
    </row>
    <row r="163" spans="6:6">
      <c r="F163" s="187">
        <f>IF(D163&lt;&gt;0,VLOOKUP([2]収支予測!D163,#REF!,2),0)</f>
        <v>0</v>
      </c>
    </row>
    <row r="164" spans="6:6">
      <c r="F164" s="187">
        <f>IF(D164&lt;&gt;0,VLOOKUP([2]収支予測!D164,#REF!,2),0)</f>
        <v>0</v>
      </c>
    </row>
    <row r="165" spans="6:6">
      <c r="F165" s="187">
        <f>IF(D165&lt;&gt;0,VLOOKUP([2]収支予測!D165,#REF!,2),0)</f>
        <v>0</v>
      </c>
    </row>
    <row r="166" spans="6:6">
      <c r="F166" s="187">
        <f>IF(D166&lt;&gt;0,VLOOKUP([2]収支予測!D166,#REF!,2),0)</f>
        <v>0</v>
      </c>
    </row>
    <row r="167" spans="6:6">
      <c r="F167" s="187">
        <f>IF(D167&lt;&gt;0,VLOOKUP([2]収支予測!D167,#REF!,2),0)</f>
        <v>0</v>
      </c>
    </row>
    <row r="168" spans="6:6">
      <c r="F168" s="187">
        <f>IF(D168&lt;&gt;0,VLOOKUP([2]収支予測!D168,#REF!,2),0)</f>
        <v>0</v>
      </c>
    </row>
    <row r="169" spans="6:6">
      <c r="F169" s="187">
        <f>IF(D169&lt;&gt;0,VLOOKUP([2]収支予測!D169,#REF!,2),0)</f>
        <v>0</v>
      </c>
    </row>
    <row r="170" spans="6:6">
      <c r="F170" s="187">
        <f>IF(D170&lt;&gt;0,VLOOKUP([2]収支予測!D170,#REF!,2),0)</f>
        <v>0</v>
      </c>
    </row>
    <row r="171" spans="6:6">
      <c r="F171" s="187">
        <f>IF(D171&lt;&gt;0,VLOOKUP([2]収支予測!D171,#REF!,2),0)</f>
        <v>0</v>
      </c>
    </row>
    <row r="172" spans="6:6">
      <c r="F172" s="187">
        <f>IF(D172&lt;&gt;0,VLOOKUP([2]収支予測!D172,#REF!,2),0)</f>
        <v>0</v>
      </c>
    </row>
    <row r="173" spans="6:6">
      <c r="F173" s="187">
        <f>IF(D173&lt;&gt;0,VLOOKUP([2]収支予測!D173,#REF!,2),0)</f>
        <v>0</v>
      </c>
    </row>
    <row r="174" spans="6:6">
      <c r="F174" s="187">
        <f>IF(D174&lt;&gt;0,VLOOKUP([2]収支予測!D174,#REF!,2),0)</f>
        <v>0</v>
      </c>
    </row>
    <row r="175" spans="6:6">
      <c r="F175" s="187">
        <f>IF(D175&lt;&gt;0,VLOOKUP([2]収支予測!D175,#REF!,2),0)</f>
        <v>0</v>
      </c>
    </row>
    <row r="176" spans="6:6">
      <c r="F176" s="187">
        <f>IF(D176&lt;&gt;0,VLOOKUP([2]収支予測!D176,#REF!,2),0)</f>
        <v>0</v>
      </c>
    </row>
    <row r="177" spans="6:6">
      <c r="F177" s="187">
        <f>IF(D177&lt;&gt;0,VLOOKUP([2]収支予測!D177,#REF!,2),0)</f>
        <v>0</v>
      </c>
    </row>
    <row r="178" spans="6:6">
      <c r="F178" s="187">
        <f>IF(D178&lt;&gt;0,VLOOKUP([2]収支予測!D178,#REF!,2),0)</f>
        <v>0</v>
      </c>
    </row>
    <row r="179" spans="6:6">
      <c r="F179" s="187">
        <f>IF(D179&lt;&gt;0,VLOOKUP([2]収支予測!D179,#REF!,2),0)</f>
        <v>0</v>
      </c>
    </row>
    <row r="180" spans="6:6">
      <c r="F180" s="187">
        <f>IF(D180&lt;&gt;0,VLOOKUP([2]収支予測!D180,#REF!,2),0)</f>
        <v>0</v>
      </c>
    </row>
    <row r="181" spans="6:6">
      <c r="F181" s="187">
        <f>IF(D181&lt;&gt;0,VLOOKUP([2]収支予測!D181,#REF!,2),0)</f>
        <v>0</v>
      </c>
    </row>
    <row r="182" spans="6:6">
      <c r="F182" s="187">
        <f>IF(D182&lt;&gt;0,VLOOKUP([2]収支予測!D182,#REF!,2),0)</f>
        <v>0</v>
      </c>
    </row>
    <row r="183" spans="6:6">
      <c r="F183" s="187">
        <f>IF(D183&lt;&gt;0,VLOOKUP([2]収支予測!D183,#REF!,2),0)</f>
        <v>0</v>
      </c>
    </row>
    <row r="184" spans="6:6">
      <c r="F184" s="187">
        <f>IF(D184&lt;&gt;0,VLOOKUP([2]収支予測!D184,#REF!,2),0)</f>
        <v>0</v>
      </c>
    </row>
    <row r="185" spans="6:6">
      <c r="F185" s="187">
        <f>IF(D185&lt;&gt;0,VLOOKUP([2]収支予測!D185,#REF!,2),0)</f>
        <v>0</v>
      </c>
    </row>
    <row r="186" spans="6:6">
      <c r="F186" s="187">
        <f>IF(D186&lt;&gt;0,VLOOKUP([2]収支予測!D186,#REF!,2),0)</f>
        <v>0</v>
      </c>
    </row>
    <row r="187" spans="6:6">
      <c r="F187" s="187">
        <f>IF(D187&lt;&gt;0,VLOOKUP([2]収支予測!D187,#REF!,2),0)</f>
        <v>0</v>
      </c>
    </row>
    <row r="188" spans="6:6">
      <c r="F188" s="187">
        <f>IF(D188&lt;&gt;0,VLOOKUP([2]収支予測!D188,#REF!,2),0)</f>
        <v>0</v>
      </c>
    </row>
    <row r="189" spans="6:6">
      <c r="F189" s="187">
        <f>IF(D189&lt;&gt;0,VLOOKUP([2]収支予測!D189,#REF!,2),0)</f>
        <v>0</v>
      </c>
    </row>
    <row r="190" spans="6:6">
      <c r="F190" s="187">
        <f>IF(D190&lt;&gt;0,VLOOKUP([2]収支予測!D190,#REF!,2),0)</f>
        <v>0</v>
      </c>
    </row>
    <row r="191" spans="6:6">
      <c r="F191" s="187">
        <f>IF(D191&lt;&gt;0,VLOOKUP([2]収支予測!D191,#REF!,2),0)</f>
        <v>0</v>
      </c>
    </row>
    <row r="192" spans="6:6">
      <c r="F192" s="187">
        <f>IF(D192&lt;&gt;0,VLOOKUP([2]収支予測!D192,#REF!,2),0)</f>
        <v>0</v>
      </c>
    </row>
    <row r="193" spans="6:6">
      <c r="F193" s="187">
        <f>IF(D193&lt;&gt;0,VLOOKUP([2]収支予測!D193,#REF!,2),0)</f>
        <v>0</v>
      </c>
    </row>
    <row r="194" spans="6:6">
      <c r="F194" s="187">
        <f>IF(D194&lt;&gt;0,VLOOKUP([2]収支予測!D194,#REF!,2),0)</f>
        <v>0</v>
      </c>
    </row>
    <row r="195" spans="6:6">
      <c r="F195" s="187">
        <f>IF(D195&lt;&gt;0,VLOOKUP([2]収支予測!D195,#REF!,2),0)</f>
        <v>0</v>
      </c>
    </row>
    <row r="196" spans="6:6">
      <c r="F196" s="187">
        <f>IF(D196&lt;&gt;0,VLOOKUP([2]収支予測!D196,#REF!,2),0)</f>
        <v>0</v>
      </c>
    </row>
    <row r="197" spans="6:6">
      <c r="F197" s="187">
        <f>IF(D197&lt;&gt;0,VLOOKUP([2]収支予測!D197,#REF!,2),0)</f>
        <v>0</v>
      </c>
    </row>
    <row r="198" spans="6:6">
      <c r="F198" s="187">
        <f>IF(D198&lt;&gt;0,VLOOKUP([2]収支予測!D198,#REF!,2),0)</f>
        <v>0</v>
      </c>
    </row>
    <row r="199" spans="6:6">
      <c r="F199" s="187">
        <f>IF(D199&lt;&gt;0,VLOOKUP([2]収支予測!D199,#REF!,2),0)</f>
        <v>0</v>
      </c>
    </row>
    <row r="200" spans="6:6">
      <c r="F200" s="187">
        <f>IF(D200&lt;&gt;0,VLOOKUP([2]収支予測!D200,#REF!,2),0)</f>
        <v>0</v>
      </c>
    </row>
    <row r="201" spans="6:6">
      <c r="F201" s="187">
        <f>IF(D201&lt;&gt;0,VLOOKUP([2]収支予測!D201,#REF!,2),0)</f>
        <v>0</v>
      </c>
    </row>
    <row r="202" spans="6:6">
      <c r="F202" s="187">
        <f>IF(D202&lt;&gt;0,VLOOKUP([2]収支予測!D202,#REF!,2),0)</f>
        <v>0</v>
      </c>
    </row>
    <row r="203" spans="6:6">
      <c r="F203" s="187">
        <f>IF(D203&lt;&gt;0,VLOOKUP([2]収支予測!D203,#REF!,2),0)</f>
        <v>0</v>
      </c>
    </row>
    <row r="204" spans="6:6">
      <c r="F204" s="187">
        <f>IF(D204&lt;&gt;0,VLOOKUP([2]収支予測!D204,#REF!,2),0)</f>
        <v>0</v>
      </c>
    </row>
    <row r="205" spans="6:6">
      <c r="F205" s="187">
        <f>IF(D205&lt;&gt;0,VLOOKUP([2]収支予測!D205,#REF!,2),0)</f>
        <v>0</v>
      </c>
    </row>
    <row r="206" spans="6:6">
      <c r="F206" s="187">
        <f>IF(D206&lt;&gt;0,VLOOKUP([2]収支予測!D206,#REF!,2),0)</f>
        <v>0</v>
      </c>
    </row>
    <row r="207" spans="6:6">
      <c r="F207" s="187">
        <f>IF(D207&lt;&gt;0,VLOOKUP([2]収支予測!D207,#REF!,2),0)</f>
        <v>0</v>
      </c>
    </row>
    <row r="208" spans="6:6">
      <c r="F208" s="187">
        <f>IF(D208&lt;&gt;0,VLOOKUP([2]収支予測!D208,#REF!,2),0)</f>
        <v>0</v>
      </c>
    </row>
    <row r="209" spans="6:6">
      <c r="F209" s="187">
        <f>IF(D209&lt;&gt;0,VLOOKUP([2]収支予測!D209,#REF!,2),0)</f>
        <v>0</v>
      </c>
    </row>
    <row r="210" spans="6:6">
      <c r="F210" s="187">
        <f>IF(D210&lt;&gt;0,VLOOKUP([2]収支予測!D210,#REF!,2),0)</f>
        <v>0</v>
      </c>
    </row>
    <row r="211" spans="6:6">
      <c r="F211" s="187">
        <f>IF(D211&lt;&gt;0,VLOOKUP([2]収支予測!D211,#REF!,2),0)</f>
        <v>0</v>
      </c>
    </row>
    <row r="212" spans="6:6">
      <c r="F212" s="187">
        <f>IF(D212&lt;&gt;0,VLOOKUP([2]収支予測!D212,#REF!,2),0)</f>
        <v>0</v>
      </c>
    </row>
    <row r="213" spans="6:6">
      <c r="F213" s="187">
        <f>IF(D213&lt;&gt;0,VLOOKUP([2]収支予測!D213,#REF!,2),0)</f>
        <v>0</v>
      </c>
    </row>
    <row r="214" spans="6:6">
      <c r="F214" s="187">
        <f>IF(D214&lt;&gt;0,VLOOKUP([2]収支予測!D214,#REF!,2),0)</f>
        <v>0</v>
      </c>
    </row>
    <row r="215" spans="6:6">
      <c r="F215" s="187">
        <f>IF(D215&lt;&gt;0,VLOOKUP([2]収支予測!D215,#REF!,2),0)</f>
        <v>0</v>
      </c>
    </row>
    <row r="216" spans="6:6">
      <c r="F216" s="187">
        <f>IF(D216&lt;&gt;0,VLOOKUP([2]収支予測!D216,#REF!,2),0)</f>
        <v>0</v>
      </c>
    </row>
    <row r="217" spans="6:6">
      <c r="F217" s="187">
        <f>IF(D217&lt;&gt;0,VLOOKUP([2]収支予測!D217,#REF!,2),0)</f>
        <v>0</v>
      </c>
    </row>
    <row r="218" spans="6:6">
      <c r="F218" s="187">
        <f>IF(D218&lt;&gt;0,VLOOKUP([2]収支予測!D218,#REF!,2),0)</f>
        <v>0</v>
      </c>
    </row>
    <row r="219" spans="6:6">
      <c r="F219" s="187">
        <f>IF(D219&lt;&gt;0,VLOOKUP([2]収支予測!D219,#REF!,2),0)</f>
        <v>0</v>
      </c>
    </row>
    <row r="220" spans="6:6">
      <c r="F220" s="187">
        <f>IF(D220&lt;&gt;0,VLOOKUP([2]収支予測!D220,#REF!,2),0)</f>
        <v>0</v>
      </c>
    </row>
    <row r="221" spans="6:6">
      <c r="F221" s="187">
        <f>IF(D221&lt;&gt;0,VLOOKUP([2]収支予測!D221,#REF!,2),0)</f>
        <v>0</v>
      </c>
    </row>
    <row r="222" spans="6:6">
      <c r="F222" s="187">
        <f>IF(D222&lt;&gt;0,VLOOKUP([2]収支予測!D222,#REF!,2),0)</f>
        <v>0</v>
      </c>
    </row>
    <row r="223" spans="6:6">
      <c r="F223" s="187">
        <f>IF(D223&lt;&gt;0,VLOOKUP([2]収支予測!D223,#REF!,2),0)</f>
        <v>0</v>
      </c>
    </row>
    <row r="224" spans="6:6">
      <c r="F224" s="187">
        <f>IF(D224&lt;&gt;0,VLOOKUP([2]収支予測!D224,#REF!,2),0)</f>
        <v>0</v>
      </c>
    </row>
    <row r="225" spans="6:6">
      <c r="F225" s="187">
        <f>IF(D225&lt;&gt;0,VLOOKUP([2]収支予測!D225,#REF!,2),0)</f>
        <v>0</v>
      </c>
    </row>
    <row r="226" spans="6:6">
      <c r="F226" s="187">
        <f>IF(D226&lt;&gt;0,VLOOKUP([2]収支予測!D226,#REF!,2),0)</f>
        <v>0</v>
      </c>
    </row>
    <row r="227" spans="6:6">
      <c r="F227" s="187">
        <f>IF(D227&lt;&gt;0,VLOOKUP([2]収支予測!D227,#REF!,2),0)</f>
        <v>0</v>
      </c>
    </row>
    <row r="228" spans="6:6">
      <c r="F228" s="187">
        <f>IF(D228&lt;&gt;0,VLOOKUP([2]収支予測!D228,#REF!,2),0)</f>
        <v>0</v>
      </c>
    </row>
    <row r="229" spans="6:6">
      <c r="F229" s="187">
        <f>IF(D229&lt;&gt;0,VLOOKUP([2]収支予測!D229,#REF!,2),0)</f>
        <v>0</v>
      </c>
    </row>
    <row r="230" spans="6:6">
      <c r="F230" s="187">
        <f>IF(D230&lt;&gt;0,VLOOKUP([2]収支予測!D230,#REF!,2),0)</f>
        <v>0</v>
      </c>
    </row>
    <row r="231" spans="6:6">
      <c r="F231" s="187">
        <f>IF(D231&lt;&gt;0,VLOOKUP([2]収支予測!D231,#REF!,2),0)</f>
        <v>0</v>
      </c>
    </row>
    <row r="232" spans="6:6">
      <c r="F232" s="187">
        <f>IF(D232&lt;&gt;0,VLOOKUP([2]収支予測!D232,#REF!,2),0)</f>
        <v>0</v>
      </c>
    </row>
    <row r="233" spans="6:6">
      <c r="F233" s="187">
        <f>IF(D233&lt;&gt;0,VLOOKUP([2]収支予測!D233,#REF!,2),0)</f>
        <v>0</v>
      </c>
    </row>
    <row r="234" spans="6:6">
      <c r="F234" s="187">
        <f>IF(D234&lt;&gt;0,VLOOKUP([2]収支予測!D234,#REF!,2),0)</f>
        <v>0</v>
      </c>
    </row>
    <row r="235" spans="6:6">
      <c r="F235" s="187">
        <f>IF(D235&lt;&gt;0,VLOOKUP([2]収支予測!D235,#REF!,2),0)</f>
        <v>0</v>
      </c>
    </row>
    <row r="236" spans="6:6">
      <c r="F236" s="187">
        <f>IF(D236&lt;&gt;0,VLOOKUP([2]収支予測!D236,#REF!,2),0)</f>
        <v>0</v>
      </c>
    </row>
    <row r="237" spans="6:6">
      <c r="F237" s="187">
        <f>IF(D237&lt;&gt;0,VLOOKUP([2]収支予測!D237,#REF!,2),0)</f>
        <v>0</v>
      </c>
    </row>
    <row r="238" spans="6:6">
      <c r="F238" s="187">
        <f>IF(D238&lt;&gt;0,VLOOKUP([2]収支予測!D238,#REF!,2),0)</f>
        <v>0</v>
      </c>
    </row>
    <row r="239" spans="6:6">
      <c r="F239" s="187">
        <f>IF(D239&lt;&gt;0,VLOOKUP([2]収支予測!D239,#REF!,2),0)</f>
        <v>0</v>
      </c>
    </row>
    <row r="240" spans="6:6">
      <c r="F240" s="187">
        <f>IF(D240&lt;&gt;0,VLOOKUP([2]収支予測!D240,#REF!,2),0)</f>
        <v>0</v>
      </c>
    </row>
    <row r="241" spans="6:6">
      <c r="F241" s="187">
        <f>IF(D241&lt;&gt;0,VLOOKUP([2]収支予測!D241,#REF!,2),0)</f>
        <v>0</v>
      </c>
    </row>
    <row r="242" spans="6:6">
      <c r="F242" s="187">
        <f>IF(D242&lt;&gt;0,VLOOKUP([2]収支予測!D242,#REF!,2),0)</f>
        <v>0</v>
      </c>
    </row>
    <row r="243" spans="6:6">
      <c r="F243" s="187">
        <f>IF(D243&lt;&gt;0,VLOOKUP([2]収支予測!D243,#REF!,2),0)</f>
        <v>0</v>
      </c>
    </row>
    <row r="244" spans="6:6">
      <c r="F244" s="187">
        <f>IF(D244&lt;&gt;0,VLOOKUP([2]収支予測!D244,#REF!,2),0)</f>
        <v>0</v>
      </c>
    </row>
    <row r="245" spans="6:6">
      <c r="F245" s="187">
        <f>IF(D245&lt;&gt;0,VLOOKUP([2]収支予測!D245,#REF!,2),0)</f>
        <v>0</v>
      </c>
    </row>
    <row r="246" spans="6:6">
      <c r="F246" s="187">
        <f>IF(D246&lt;&gt;0,VLOOKUP([2]収支予測!D246,#REF!,2),0)</f>
        <v>0</v>
      </c>
    </row>
    <row r="247" spans="6:6">
      <c r="F247" s="187">
        <f>IF(D247&lt;&gt;0,VLOOKUP([2]収支予測!D247,#REF!,2),0)</f>
        <v>0</v>
      </c>
    </row>
    <row r="248" spans="6:6">
      <c r="F248" s="187">
        <f>IF(D248&lt;&gt;0,VLOOKUP([2]収支予測!D248,#REF!,2),0)</f>
        <v>0</v>
      </c>
    </row>
    <row r="249" spans="6:6">
      <c r="F249" s="187">
        <f>IF(D249&lt;&gt;0,VLOOKUP([2]収支予測!D249,#REF!,2),0)</f>
        <v>0</v>
      </c>
    </row>
    <row r="250" spans="6:6">
      <c r="F250" s="187">
        <f>IF(D250&lt;&gt;0,VLOOKUP([2]収支予測!D250,#REF!,2),0)</f>
        <v>0</v>
      </c>
    </row>
    <row r="251" spans="6:6">
      <c r="F251" s="187">
        <f>IF(D251&lt;&gt;0,VLOOKUP([2]収支予測!D251,#REF!,2),0)</f>
        <v>0</v>
      </c>
    </row>
    <row r="252" spans="6:6">
      <c r="F252" s="187">
        <f>IF(D252&lt;&gt;0,VLOOKUP([2]収支予測!D252,#REF!,2),0)</f>
        <v>0</v>
      </c>
    </row>
    <row r="253" spans="6:6">
      <c r="F253" s="187">
        <f>IF(D253&lt;&gt;0,VLOOKUP([2]収支予測!D253,#REF!,2),0)</f>
        <v>0</v>
      </c>
    </row>
    <row r="254" spans="6:6">
      <c r="F254" s="187">
        <f>IF(D254&lt;&gt;0,VLOOKUP([2]収支予測!D254,#REF!,2),0)</f>
        <v>0</v>
      </c>
    </row>
    <row r="255" spans="6:6">
      <c r="F255" s="187">
        <f>IF(D255&lt;&gt;0,VLOOKUP([2]収支予測!D255,#REF!,2),0)</f>
        <v>0</v>
      </c>
    </row>
    <row r="256" spans="6:6">
      <c r="F256" s="187">
        <f>IF(D256&lt;&gt;0,VLOOKUP([2]収支予測!D256,#REF!,2),0)</f>
        <v>0</v>
      </c>
    </row>
    <row r="257" spans="6:6">
      <c r="F257" s="187">
        <f>IF(D257&lt;&gt;0,VLOOKUP([2]収支予測!D257,#REF!,2),0)</f>
        <v>0</v>
      </c>
    </row>
    <row r="258" spans="6:6">
      <c r="F258" s="187">
        <f>IF(D258&lt;&gt;0,VLOOKUP([2]収支予測!D258,#REF!,2),0)</f>
        <v>0</v>
      </c>
    </row>
    <row r="259" spans="6:6">
      <c r="F259" s="187">
        <f>IF(D259&lt;&gt;0,VLOOKUP([2]収支予測!D259,#REF!,2),0)</f>
        <v>0</v>
      </c>
    </row>
  </sheetData>
  <mergeCells count="27">
    <mergeCell ref="E94:E102"/>
    <mergeCell ref="E103:F103"/>
    <mergeCell ref="E104:F104"/>
    <mergeCell ref="E105:F105"/>
    <mergeCell ref="E106:F106"/>
    <mergeCell ref="E76:F76"/>
    <mergeCell ref="E77:E80"/>
    <mergeCell ref="E81:E86"/>
    <mergeCell ref="E87:F87"/>
    <mergeCell ref="E88:E93"/>
    <mergeCell ref="E74:F75"/>
    <mergeCell ref="E62:F62"/>
    <mergeCell ref="E63:F63"/>
    <mergeCell ref="E64:F64"/>
    <mergeCell ref="E66:F67"/>
    <mergeCell ref="E9:F10"/>
    <mergeCell ref="E11:E17"/>
    <mergeCell ref="E18:E24"/>
    <mergeCell ref="E25:F26"/>
    <mergeCell ref="E27:E34"/>
    <mergeCell ref="E60:F60"/>
    <mergeCell ref="E61:F61"/>
    <mergeCell ref="E35:E55"/>
    <mergeCell ref="E56:F56"/>
    <mergeCell ref="E57:F57"/>
    <mergeCell ref="E58:F58"/>
    <mergeCell ref="E59:F59"/>
  </mergeCells>
  <phoneticPr fontId="4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月次BS</vt:lpstr>
      <vt:lpstr>BS千円</vt:lpstr>
      <vt:lpstr>月次PL</vt:lpstr>
      <vt:lpstr>決算予測</vt:lpstr>
      <vt:lpstr>PL推移</vt:lpstr>
      <vt:lpstr>PL予実対比</vt:lpstr>
      <vt:lpstr>CF推移</vt:lpstr>
      <vt:lpstr>収支計画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ikedamac</dc:creator>
  <cp:lastModifiedBy>雅彦 池田</cp:lastModifiedBy>
  <dcterms:created xsi:type="dcterms:W3CDTF">2022-09-08T07:21:55Z</dcterms:created>
  <dcterms:modified xsi:type="dcterms:W3CDTF">2026-07-16T03:28:09Z</dcterms:modified>
</cp:coreProperties>
</file>