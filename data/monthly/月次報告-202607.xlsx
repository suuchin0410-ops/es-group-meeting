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6\エンター報告書\"/>
    </mc:Choice>
  </mc:AlternateContent>
  <xr:revisionPtr revIDLastSave="0" documentId="13_ncr:1_{6FACD9CD-1A96-4DE6-A639-222C69962407}" xr6:coauthVersionLast="47" xr6:coauthVersionMax="47" xr10:uidLastSave="{00000000-0000-0000-0000-000000000000}"/>
  <bookViews>
    <workbookView xWindow="-4032" yWindow="-17388" windowWidth="41496" windowHeight="16776" tabRatio="492" firstSheet="2" activeTab="3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収支計画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C11" i="2"/>
  <c r="D57" i="7"/>
  <c r="C57" i="7"/>
  <c r="F62" i="7"/>
  <c r="I76" i="6"/>
  <c r="H76" i="6"/>
  <c r="R106" i="6"/>
  <c r="O106" i="6"/>
  <c r="L106" i="6"/>
  <c r="K106" i="6"/>
  <c r="J106" i="6"/>
  <c r="O103" i="6"/>
  <c r="R102" i="6"/>
  <c r="O102" i="6"/>
  <c r="L102" i="6"/>
  <c r="K102" i="6"/>
  <c r="J102" i="6"/>
  <c r="R100" i="6"/>
  <c r="Q100" i="6"/>
  <c r="Q106" i="6" s="1"/>
  <c r="P100" i="6"/>
  <c r="P106" i="6" s="1"/>
  <c r="N100" i="6"/>
  <c r="N106" i="6" s="1"/>
  <c r="M100" i="6"/>
  <c r="M106" i="6" s="1"/>
  <c r="K100" i="6"/>
  <c r="J100" i="6"/>
  <c r="I100" i="6"/>
  <c r="I106" i="6" s="1"/>
  <c r="H100" i="6"/>
  <c r="H106" i="6" s="1"/>
  <c r="G100" i="6"/>
  <c r="G106" i="6" s="1"/>
  <c r="R93" i="6"/>
  <c r="R103" i="6" s="1"/>
  <c r="Q93" i="6"/>
  <c r="P93" i="6"/>
  <c r="O93" i="6"/>
  <c r="N93" i="6"/>
  <c r="M93" i="6"/>
  <c r="L93" i="6"/>
  <c r="L103" i="6" s="1"/>
  <c r="K93" i="6"/>
  <c r="K103" i="6" s="1"/>
  <c r="J93" i="6"/>
  <c r="J103" i="6" s="1"/>
  <c r="I93" i="6"/>
  <c r="H93" i="6"/>
  <c r="G93" i="6"/>
  <c r="K86" i="6"/>
  <c r="I86" i="6"/>
  <c r="H86" i="6"/>
  <c r="R85" i="6"/>
  <c r="Q85" i="6"/>
  <c r="P85" i="6"/>
  <c r="O85" i="6"/>
  <c r="N85" i="6"/>
  <c r="M85" i="6"/>
  <c r="L85" i="6"/>
  <c r="L86" i="6" s="1"/>
  <c r="K85" i="6"/>
  <c r="J85" i="6"/>
  <c r="I85" i="6"/>
  <c r="H85" i="6"/>
  <c r="R84" i="6"/>
  <c r="Q84" i="6"/>
  <c r="P84" i="6"/>
  <c r="Q83" i="6" s="1"/>
  <c r="Q86" i="6" s="1"/>
  <c r="N84" i="6"/>
  <c r="M84" i="6"/>
  <c r="K84" i="6"/>
  <c r="J84" i="6"/>
  <c r="I84" i="6"/>
  <c r="H84" i="6"/>
  <c r="G84" i="6"/>
  <c r="R83" i="6"/>
  <c r="R86" i="6" s="1"/>
  <c r="P83" i="6"/>
  <c r="M83" i="6"/>
  <c r="H83" i="6"/>
  <c r="G83" i="6"/>
  <c r="G86" i="6" s="1"/>
  <c r="R82" i="6"/>
  <c r="Q82" i="6"/>
  <c r="P82" i="6"/>
  <c r="P86" i="6" s="1"/>
  <c r="M82" i="6"/>
  <c r="R81" i="6"/>
  <c r="Q81" i="6"/>
  <c r="P81" i="6"/>
  <c r="O81" i="6"/>
  <c r="O86" i="6" s="1"/>
  <c r="N81" i="6"/>
  <c r="N86" i="6" s="1"/>
  <c r="M81" i="6"/>
  <c r="M86" i="6" s="1"/>
  <c r="J81" i="6"/>
  <c r="J86" i="6" s="1"/>
  <c r="I81" i="6"/>
  <c r="H81" i="6"/>
  <c r="O80" i="6"/>
  <c r="N80" i="6"/>
  <c r="M80" i="6"/>
  <c r="L80" i="6"/>
  <c r="L87" i="6" s="1"/>
  <c r="L104" i="6" s="1"/>
  <c r="R79" i="6"/>
  <c r="Q79" i="6"/>
  <c r="P79" i="6"/>
  <c r="O79" i="6"/>
  <c r="N79" i="6"/>
  <c r="M79" i="6"/>
  <c r="K79" i="6"/>
  <c r="J79" i="6"/>
  <c r="J80" i="6" s="1"/>
  <c r="J87" i="6" s="1"/>
  <c r="J104" i="6" s="1"/>
  <c r="I79" i="6"/>
  <c r="I80" i="6" s="1"/>
  <c r="I87" i="6" s="1"/>
  <c r="H79" i="6"/>
  <c r="H80" i="6" s="1"/>
  <c r="H87" i="6" s="1"/>
  <c r="G79" i="6"/>
  <c r="G80" i="6" s="1"/>
  <c r="R78" i="6"/>
  <c r="Q78" i="6"/>
  <c r="P78" i="6"/>
  <c r="M78" i="6"/>
  <c r="K78" i="6"/>
  <c r="R77" i="6"/>
  <c r="R80" i="6" s="1"/>
  <c r="R87" i="6" s="1"/>
  <c r="R104" i="6" s="1"/>
  <c r="Q77" i="6"/>
  <c r="Q80" i="6" s="1"/>
  <c r="Q87" i="6" s="1"/>
  <c r="P77" i="6"/>
  <c r="P80" i="6" s="1"/>
  <c r="P87" i="6" s="1"/>
  <c r="M77" i="6"/>
  <c r="K77" i="6"/>
  <c r="K80" i="6" s="1"/>
  <c r="K87" i="6" s="1"/>
  <c r="X106" i="6"/>
  <c r="U106" i="6"/>
  <c r="T106" i="6"/>
  <c r="X103" i="6"/>
  <c r="T103" i="6"/>
  <c r="T104" i="6" s="1"/>
  <c r="T105" i="6" s="1"/>
  <c r="AA100" i="6"/>
  <c r="AA106" i="6" s="1"/>
  <c r="Z106" i="6"/>
  <c r="Y103" i="6"/>
  <c r="W106" i="6"/>
  <c r="V106" i="6"/>
  <c r="S106" i="6"/>
  <c r="AA93" i="6"/>
  <c r="U103" i="6"/>
  <c r="AA85" i="6"/>
  <c r="AA84" i="6"/>
  <c r="AA83" i="6"/>
  <c r="AA86" i="6" s="1"/>
  <c r="AA82" i="6"/>
  <c r="AA81" i="6"/>
  <c r="U104" i="6"/>
  <c r="U105" i="6" s="1"/>
  <c r="AA79" i="6"/>
  <c r="AA78" i="6"/>
  <c r="AA77" i="6"/>
  <c r="AA80" i="6" s="1"/>
  <c r="R59" i="6"/>
  <c r="Q59" i="6"/>
  <c r="P59" i="6"/>
  <c r="O59" i="6"/>
  <c r="N59" i="6"/>
  <c r="M59" i="6"/>
  <c r="L59" i="6"/>
  <c r="K59" i="6"/>
  <c r="J59" i="6"/>
  <c r="I59" i="6"/>
  <c r="R58" i="6"/>
  <c r="Q58" i="6"/>
  <c r="P58" i="6"/>
  <c r="O58" i="6"/>
  <c r="N58" i="6"/>
  <c r="M58" i="6"/>
  <c r="L58" i="6"/>
  <c r="K58" i="6"/>
  <c r="J58" i="6"/>
  <c r="I58" i="6"/>
  <c r="R54" i="6"/>
  <c r="Q54" i="6"/>
  <c r="P54" i="6"/>
  <c r="O54" i="6"/>
  <c r="N54" i="6"/>
  <c r="M54" i="6"/>
  <c r="L54" i="6"/>
  <c r="K54" i="6"/>
  <c r="J54" i="6"/>
  <c r="I54" i="6"/>
  <c r="R53" i="6"/>
  <c r="Q53" i="6"/>
  <c r="P53" i="6"/>
  <c r="O53" i="6"/>
  <c r="N53" i="6"/>
  <c r="M53" i="6"/>
  <c r="L53" i="6"/>
  <c r="K53" i="6"/>
  <c r="J53" i="6"/>
  <c r="I53" i="6"/>
  <c r="R52" i="6"/>
  <c r="Q52" i="6"/>
  <c r="P52" i="6"/>
  <c r="O52" i="6"/>
  <c r="N52" i="6"/>
  <c r="M52" i="6"/>
  <c r="L52" i="6"/>
  <c r="K52" i="6"/>
  <c r="J52" i="6"/>
  <c r="I52" i="6"/>
  <c r="R51" i="6"/>
  <c r="Q51" i="6"/>
  <c r="P51" i="6"/>
  <c r="O51" i="6"/>
  <c r="N51" i="6"/>
  <c r="M51" i="6"/>
  <c r="L51" i="6"/>
  <c r="K51" i="6"/>
  <c r="J51" i="6"/>
  <c r="I51" i="6"/>
  <c r="R50" i="6"/>
  <c r="Q50" i="6"/>
  <c r="P50" i="6"/>
  <c r="O50" i="6"/>
  <c r="N50" i="6"/>
  <c r="M50" i="6"/>
  <c r="L50" i="6"/>
  <c r="K50" i="6"/>
  <c r="J50" i="6"/>
  <c r="I50" i="6"/>
  <c r="R49" i="6"/>
  <c r="Q49" i="6"/>
  <c r="P49" i="6"/>
  <c r="O49" i="6"/>
  <c r="N49" i="6"/>
  <c r="M49" i="6"/>
  <c r="L49" i="6"/>
  <c r="K49" i="6"/>
  <c r="J49" i="6"/>
  <c r="I49" i="6"/>
  <c r="R48" i="6"/>
  <c r="Q48" i="6"/>
  <c r="P48" i="6"/>
  <c r="O48" i="6"/>
  <c r="N48" i="6"/>
  <c r="M48" i="6"/>
  <c r="L48" i="6"/>
  <c r="K48" i="6"/>
  <c r="J48" i="6"/>
  <c r="I48" i="6"/>
  <c r="R47" i="6"/>
  <c r="Q47" i="6"/>
  <c r="P47" i="6"/>
  <c r="O47" i="6"/>
  <c r="N47" i="6"/>
  <c r="M47" i="6"/>
  <c r="L47" i="6"/>
  <c r="K47" i="6"/>
  <c r="J47" i="6"/>
  <c r="I47" i="6"/>
  <c r="R46" i="6"/>
  <c r="Q46" i="6"/>
  <c r="P46" i="6"/>
  <c r="O46" i="6"/>
  <c r="N46" i="6"/>
  <c r="M46" i="6"/>
  <c r="L46" i="6"/>
  <c r="K46" i="6"/>
  <c r="J46" i="6"/>
  <c r="I46" i="6"/>
  <c r="R45" i="6"/>
  <c r="Q45" i="6"/>
  <c r="P45" i="6"/>
  <c r="O45" i="6"/>
  <c r="N45" i="6"/>
  <c r="M45" i="6"/>
  <c r="L45" i="6"/>
  <c r="K45" i="6"/>
  <c r="J45" i="6"/>
  <c r="I45" i="6"/>
  <c r="R44" i="6"/>
  <c r="Q44" i="6"/>
  <c r="P44" i="6"/>
  <c r="O44" i="6"/>
  <c r="N44" i="6"/>
  <c r="M44" i="6"/>
  <c r="L44" i="6"/>
  <c r="K44" i="6"/>
  <c r="J44" i="6"/>
  <c r="I44" i="6"/>
  <c r="R43" i="6"/>
  <c r="Q43" i="6"/>
  <c r="P43" i="6"/>
  <c r="O43" i="6"/>
  <c r="N43" i="6"/>
  <c r="M43" i="6"/>
  <c r="L43" i="6"/>
  <c r="K43" i="6"/>
  <c r="J43" i="6"/>
  <c r="I43" i="6"/>
  <c r="R42" i="6"/>
  <c r="Q42" i="6"/>
  <c r="P42" i="6"/>
  <c r="O42" i="6"/>
  <c r="N42" i="6"/>
  <c r="M42" i="6"/>
  <c r="L42" i="6"/>
  <c r="K42" i="6"/>
  <c r="J42" i="6"/>
  <c r="I42" i="6"/>
  <c r="R41" i="6"/>
  <c r="Q41" i="6"/>
  <c r="P41" i="6"/>
  <c r="O41" i="6"/>
  <c r="N41" i="6"/>
  <c r="M41" i="6"/>
  <c r="L41" i="6"/>
  <c r="K41" i="6"/>
  <c r="J41" i="6"/>
  <c r="I41" i="6"/>
  <c r="R40" i="6"/>
  <c r="Q40" i="6"/>
  <c r="P40" i="6"/>
  <c r="O40" i="6"/>
  <c r="N40" i="6"/>
  <c r="M40" i="6"/>
  <c r="L40" i="6"/>
  <c r="K40" i="6"/>
  <c r="J40" i="6"/>
  <c r="I40" i="6"/>
  <c r="R39" i="6"/>
  <c r="Q39" i="6"/>
  <c r="P39" i="6"/>
  <c r="O39" i="6"/>
  <c r="N39" i="6"/>
  <c r="M39" i="6"/>
  <c r="L39" i="6"/>
  <c r="K39" i="6"/>
  <c r="J39" i="6"/>
  <c r="I39" i="6"/>
  <c r="R38" i="6"/>
  <c r="Q38" i="6"/>
  <c r="P38" i="6"/>
  <c r="O38" i="6"/>
  <c r="N38" i="6"/>
  <c r="M38" i="6"/>
  <c r="L38" i="6"/>
  <c r="K38" i="6"/>
  <c r="J38" i="6"/>
  <c r="I38" i="6"/>
  <c r="R37" i="6"/>
  <c r="Q37" i="6"/>
  <c r="P37" i="6"/>
  <c r="O37" i="6"/>
  <c r="N37" i="6"/>
  <c r="M37" i="6"/>
  <c r="L37" i="6"/>
  <c r="K37" i="6"/>
  <c r="J37" i="6"/>
  <c r="I37" i="6"/>
  <c r="R36" i="6"/>
  <c r="Q36" i="6"/>
  <c r="P36" i="6"/>
  <c r="O36" i="6"/>
  <c r="N36" i="6"/>
  <c r="M36" i="6"/>
  <c r="L36" i="6"/>
  <c r="K36" i="6"/>
  <c r="J36" i="6"/>
  <c r="I36" i="6"/>
  <c r="R35" i="6"/>
  <c r="R55" i="6" s="1"/>
  <c r="Q35" i="6"/>
  <c r="Q55" i="6" s="1"/>
  <c r="P35" i="6"/>
  <c r="P55" i="6" s="1"/>
  <c r="O35" i="6"/>
  <c r="O55" i="6" s="1"/>
  <c r="N35" i="6"/>
  <c r="N55" i="6" s="1"/>
  <c r="M35" i="6"/>
  <c r="M55" i="6" s="1"/>
  <c r="L35" i="6"/>
  <c r="L55" i="6" s="1"/>
  <c r="K35" i="6"/>
  <c r="K55" i="6" s="1"/>
  <c r="J35" i="6"/>
  <c r="J55" i="6" s="1"/>
  <c r="I35" i="6"/>
  <c r="I55" i="6" s="1"/>
  <c r="R33" i="6"/>
  <c r="Q33" i="6"/>
  <c r="P33" i="6"/>
  <c r="O33" i="6"/>
  <c r="N33" i="6"/>
  <c r="M33" i="6"/>
  <c r="L33" i="6"/>
  <c r="K33" i="6"/>
  <c r="J33" i="6"/>
  <c r="I33" i="6"/>
  <c r="R32" i="6"/>
  <c r="Q32" i="6"/>
  <c r="P32" i="6"/>
  <c r="O32" i="6"/>
  <c r="N32" i="6"/>
  <c r="M32" i="6"/>
  <c r="L32" i="6"/>
  <c r="K32" i="6"/>
  <c r="J32" i="6"/>
  <c r="I32" i="6"/>
  <c r="R31" i="6"/>
  <c r="Q31" i="6"/>
  <c r="P31" i="6"/>
  <c r="O31" i="6"/>
  <c r="N31" i="6"/>
  <c r="M31" i="6"/>
  <c r="L31" i="6"/>
  <c r="K31" i="6"/>
  <c r="J31" i="6"/>
  <c r="I31" i="6"/>
  <c r="R30" i="6"/>
  <c r="Q30" i="6"/>
  <c r="P30" i="6"/>
  <c r="O30" i="6"/>
  <c r="N30" i="6"/>
  <c r="M30" i="6"/>
  <c r="L30" i="6"/>
  <c r="L34" i="6" s="1"/>
  <c r="L56" i="6" s="1"/>
  <c r="K30" i="6"/>
  <c r="K34" i="6" s="1"/>
  <c r="K56" i="6" s="1"/>
  <c r="J30" i="6"/>
  <c r="I30" i="6"/>
  <c r="R29" i="6"/>
  <c r="Q29" i="6"/>
  <c r="P29" i="6"/>
  <c r="O29" i="6"/>
  <c r="N29" i="6"/>
  <c r="N34" i="6" s="1"/>
  <c r="N56" i="6" s="1"/>
  <c r="M29" i="6"/>
  <c r="M34" i="6" s="1"/>
  <c r="M56" i="6" s="1"/>
  <c r="L29" i="6"/>
  <c r="K29" i="6"/>
  <c r="J29" i="6"/>
  <c r="I29" i="6"/>
  <c r="R28" i="6"/>
  <c r="Q28" i="6"/>
  <c r="P28" i="6"/>
  <c r="P34" i="6" s="1"/>
  <c r="P56" i="6" s="1"/>
  <c r="O28" i="6"/>
  <c r="O34" i="6" s="1"/>
  <c r="O56" i="6" s="1"/>
  <c r="N28" i="6"/>
  <c r="M28" i="6"/>
  <c r="L28" i="6"/>
  <c r="K28" i="6"/>
  <c r="J28" i="6"/>
  <c r="I28" i="6"/>
  <c r="R27" i="6"/>
  <c r="R34" i="6" s="1"/>
  <c r="R56" i="6" s="1"/>
  <c r="Q27" i="6"/>
  <c r="Q34" i="6" s="1"/>
  <c r="Q56" i="6" s="1"/>
  <c r="P27" i="6"/>
  <c r="O27" i="6"/>
  <c r="N27" i="6"/>
  <c r="M27" i="6"/>
  <c r="L27" i="6"/>
  <c r="K27" i="6"/>
  <c r="J27" i="6"/>
  <c r="J34" i="6" s="1"/>
  <c r="J56" i="6" s="1"/>
  <c r="I27" i="6"/>
  <c r="I34" i="6" s="1"/>
  <c r="I56" i="6" s="1"/>
  <c r="R22" i="6"/>
  <c r="Q22" i="6"/>
  <c r="P22" i="6"/>
  <c r="O22" i="6"/>
  <c r="N22" i="6"/>
  <c r="M22" i="6"/>
  <c r="L22" i="6"/>
  <c r="K22" i="6"/>
  <c r="J22" i="6"/>
  <c r="I22" i="6"/>
  <c r="R21" i="6"/>
  <c r="Q21" i="6"/>
  <c r="P21" i="6"/>
  <c r="O21" i="6"/>
  <c r="N21" i="6"/>
  <c r="M21" i="6"/>
  <c r="L21" i="6"/>
  <c r="K21" i="6"/>
  <c r="J21" i="6"/>
  <c r="I21" i="6"/>
  <c r="R20" i="6"/>
  <c r="Q20" i="6"/>
  <c r="P20" i="6"/>
  <c r="P24" i="6" s="1"/>
  <c r="O20" i="6"/>
  <c r="O24" i="6" s="1"/>
  <c r="N20" i="6"/>
  <c r="M20" i="6"/>
  <c r="L20" i="6"/>
  <c r="K20" i="6"/>
  <c r="J20" i="6"/>
  <c r="I20" i="6"/>
  <c r="R19" i="6"/>
  <c r="R24" i="6" s="1"/>
  <c r="Q19" i="6"/>
  <c r="Q24" i="6" s="1"/>
  <c r="P19" i="6"/>
  <c r="O19" i="6"/>
  <c r="N19" i="6"/>
  <c r="M19" i="6"/>
  <c r="L19" i="6"/>
  <c r="K19" i="6"/>
  <c r="J19" i="6"/>
  <c r="J24" i="6" s="1"/>
  <c r="I19" i="6"/>
  <c r="I24" i="6" s="1"/>
  <c r="R18" i="6"/>
  <c r="Q18" i="6"/>
  <c r="P18" i="6"/>
  <c r="O18" i="6"/>
  <c r="N18" i="6"/>
  <c r="N24" i="6" s="1"/>
  <c r="M18" i="6"/>
  <c r="M24" i="6" s="1"/>
  <c r="L18" i="6"/>
  <c r="L24" i="6" s="1"/>
  <c r="K18" i="6"/>
  <c r="K24" i="6" s="1"/>
  <c r="J18" i="6"/>
  <c r="I18" i="6"/>
  <c r="R15" i="6"/>
  <c r="Q15" i="6"/>
  <c r="P15" i="6"/>
  <c r="O15" i="6"/>
  <c r="N15" i="6"/>
  <c r="M15" i="6"/>
  <c r="L15" i="6"/>
  <c r="K15" i="6"/>
  <c r="J15" i="6"/>
  <c r="I15" i="6"/>
  <c r="R14" i="6"/>
  <c r="Q14" i="6"/>
  <c r="P14" i="6"/>
  <c r="O14" i="6"/>
  <c r="N14" i="6"/>
  <c r="M14" i="6"/>
  <c r="L14" i="6"/>
  <c r="K14" i="6"/>
  <c r="J14" i="6"/>
  <c r="I14" i="6"/>
  <c r="R13" i="6"/>
  <c r="Q13" i="6"/>
  <c r="P13" i="6"/>
  <c r="O13" i="6"/>
  <c r="N13" i="6"/>
  <c r="M13" i="6"/>
  <c r="L13" i="6"/>
  <c r="K13" i="6"/>
  <c r="J13" i="6"/>
  <c r="I13" i="6"/>
  <c r="R12" i="6"/>
  <c r="Q12" i="6"/>
  <c r="P12" i="6"/>
  <c r="O12" i="6"/>
  <c r="N12" i="6"/>
  <c r="N17" i="6" s="1"/>
  <c r="M12" i="6"/>
  <c r="M17" i="6" s="1"/>
  <c r="M25" i="6" s="1"/>
  <c r="L12" i="6"/>
  <c r="K12" i="6"/>
  <c r="J12" i="6"/>
  <c r="I12" i="6"/>
  <c r="R11" i="6"/>
  <c r="R17" i="6" s="1"/>
  <c r="Q11" i="6"/>
  <c r="Q17" i="6" s="1"/>
  <c r="P11" i="6"/>
  <c r="P17" i="6" s="1"/>
  <c r="O11" i="6"/>
  <c r="O17" i="6" s="1"/>
  <c r="N11" i="6"/>
  <c r="M11" i="6"/>
  <c r="L11" i="6"/>
  <c r="L17" i="6" s="1"/>
  <c r="L25" i="6" s="1"/>
  <c r="K11" i="6"/>
  <c r="K17" i="6" s="1"/>
  <c r="K25" i="6" s="1"/>
  <c r="J11" i="6"/>
  <c r="J17" i="6" s="1"/>
  <c r="J25" i="6" s="1"/>
  <c r="I11" i="6"/>
  <c r="I17" i="6" s="1"/>
  <c r="I25" i="6" s="1"/>
  <c r="H59" i="6"/>
  <c r="H58" i="6"/>
  <c r="H46" i="6"/>
  <c r="H42" i="6"/>
  <c r="H54" i="6"/>
  <c r="H53" i="6"/>
  <c r="H52" i="6"/>
  <c r="H51" i="6"/>
  <c r="H50" i="6"/>
  <c r="H49" i="6"/>
  <c r="H48" i="6"/>
  <c r="H47" i="6"/>
  <c r="H45" i="6"/>
  <c r="H44" i="6"/>
  <c r="H43" i="6"/>
  <c r="S42" i="6"/>
  <c r="T42" i="6" s="1"/>
  <c r="H41" i="6"/>
  <c r="H40" i="6"/>
  <c r="H39" i="6"/>
  <c r="H38" i="6"/>
  <c r="H37" i="6"/>
  <c r="H36" i="6"/>
  <c r="H35" i="6"/>
  <c r="H33" i="6"/>
  <c r="H32" i="6"/>
  <c r="H31" i="6"/>
  <c r="H30" i="6"/>
  <c r="H29" i="6"/>
  <c r="H28" i="6"/>
  <c r="H27" i="6"/>
  <c r="G42" i="6"/>
  <c r="H22" i="6"/>
  <c r="H21" i="6"/>
  <c r="H20" i="6"/>
  <c r="H19" i="6"/>
  <c r="H18" i="6"/>
  <c r="H15" i="6"/>
  <c r="H14" i="6"/>
  <c r="H13" i="6"/>
  <c r="H12" i="6"/>
  <c r="H11" i="6"/>
  <c r="M87" i="6" l="1"/>
  <c r="K104" i="6"/>
  <c r="O87" i="6"/>
  <c r="O104" i="6" s="1"/>
  <c r="M103" i="6"/>
  <c r="G87" i="6"/>
  <c r="N87" i="6"/>
  <c r="N104" i="6" s="1"/>
  <c r="N102" i="6"/>
  <c r="N103" i="6" s="1"/>
  <c r="G102" i="6"/>
  <c r="G103" i="6" s="1"/>
  <c r="M102" i="6"/>
  <c r="H102" i="6"/>
  <c r="H103" i="6" s="1"/>
  <c r="H104" i="6" s="1"/>
  <c r="H105" i="6" s="1"/>
  <c r="P102" i="6"/>
  <c r="P103" i="6" s="1"/>
  <c r="P104" i="6" s="1"/>
  <c r="I102" i="6"/>
  <c r="I103" i="6" s="1"/>
  <c r="I104" i="6" s="1"/>
  <c r="I105" i="6" s="1"/>
  <c r="J76" i="6" s="1"/>
  <c r="J105" i="6" s="1"/>
  <c r="K76" i="6" s="1"/>
  <c r="Q102" i="6"/>
  <c r="Q103" i="6" s="1"/>
  <c r="Q104" i="6" s="1"/>
  <c r="AA87" i="6"/>
  <c r="S103" i="6"/>
  <c r="S104" i="6"/>
  <c r="X104" i="6"/>
  <c r="X105" i="6" s="1"/>
  <c r="Y104" i="6"/>
  <c r="Y105" i="6" s="1"/>
  <c r="V103" i="6"/>
  <c r="W103" i="6"/>
  <c r="Y106" i="6"/>
  <c r="Z103" i="6"/>
  <c r="AA102" i="6"/>
  <c r="AA103" i="6" s="1"/>
  <c r="AA104" i="6" s="1"/>
  <c r="R25" i="6"/>
  <c r="Q25" i="6"/>
  <c r="Q26" i="6" s="1"/>
  <c r="P25" i="6"/>
  <c r="P26" i="6" s="1"/>
  <c r="O25" i="6"/>
  <c r="N25" i="6"/>
  <c r="O26" i="6"/>
  <c r="O57" i="6"/>
  <c r="M57" i="6"/>
  <c r="M26" i="6"/>
  <c r="P57" i="6"/>
  <c r="N26" i="6"/>
  <c r="N57" i="6"/>
  <c r="I26" i="6"/>
  <c r="I57" i="6"/>
  <c r="J26" i="6"/>
  <c r="J57" i="6"/>
  <c r="R26" i="6"/>
  <c r="R57" i="6"/>
  <c r="K26" i="6"/>
  <c r="K57" i="6"/>
  <c r="L57" i="6"/>
  <c r="L26" i="6"/>
  <c r="K105" i="6" l="1"/>
  <c r="L76" i="6" s="1"/>
  <c r="L105" i="6" s="1"/>
  <c r="M76" i="6" s="1"/>
  <c r="M104" i="6"/>
  <c r="M105" i="6" s="1"/>
  <c r="N76" i="6" s="1"/>
  <c r="N105" i="6" s="1"/>
  <c r="O76" i="6" s="1"/>
  <c r="O105" i="6" s="1"/>
  <c r="P76" i="6" s="1"/>
  <c r="P105" i="6" s="1"/>
  <c r="Q76" i="6" s="1"/>
  <c r="Q105" i="6" s="1"/>
  <c r="G104" i="6"/>
  <c r="G105" i="6" s="1"/>
  <c r="W104" i="6"/>
  <c r="W105" i="6" s="1"/>
  <c r="V104" i="6"/>
  <c r="V105" i="6" s="1"/>
  <c r="Z104" i="6"/>
  <c r="Z105" i="6" s="1"/>
  <c r="AA76" i="6" s="1"/>
  <c r="AA105" i="6" s="1"/>
  <c r="Q57" i="6"/>
  <c r="R105" i="6" l="1"/>
  <c r="S76" i="6" s="1"/>
  <c r="S105" i="6" s="1"/>
  <c r="R76" i="6"/>
  <c r="H59" i="3" l="1"/>
  <c r="F59" i="3"/>
  <c r="D59" i="3"/>
  <c r="C32" i="7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D120" i="6"/>
  <c r="C120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G59" i="6"/>
  <c r="C54" i="7" s="1"/>
  <c r="Z55" i="6"/>
  <c r="Y55" i="6"/>
  <c r="X55" i="6"/>
  <c r="W55" i="6"/>
  <c r="V55" i="6"/>
  <c r="U55" i="6"/>
  <c r="T55" i="6"/>
  <c r="S55" i="6"/>
  <c r="G53" i="6"/>
  <c r="C49" i="7" s="1"/>
  <c r="G52" i="6"/>
  <c r="C48" i="7" s="1"/>
  <c r="G51" i="6"/>
  <c r="C47" i="7" s="1"/>
  <c r="G50" i="6"/>
  <c r="C46" i="7" s="1"/>
  <c r="G49" i="6"/>
  <c r="C45" i="7" s="1"/>
  <c r="G48" i="6"/>
  <c r="C44" i="7" s="1"/>
  <c r="G47" i="6"/>
  <c r="C43" i="7" s="1"/>
  <c r="C42" i="7"/>
  <c r="G45" i="6"/>
  <c r="C41" i="7" s="1"/>
  <c r="G44" i="6"/>
  <c r="C40" i="7" s="1"/>
  <c r="G43" i="6"/>
  <c r="C39" i="7" s="1"/>
  <c r="C38" i="7"/>
  <c r="G41" i="6"/>
  <c r="C37" i="7" s="1"/>
  <c r="G40" i="6"/>
  <c r="C36" i="7" s="1"/>
  <c r="G39" i="6"/>
  <c r="C35" i="7" s="1"/>
  <c r="G38" i="6"/>
  <c r="C34" i="7" s="1"/>
  <c r="G37" i="6"/>
  <c r="C33" i="7" s="1"/>
  <c r="G36" i="6"/>
  <c r="G35" i="6"/>
  <c r="Z34" i="6"/>
  <c r="Z56" i="6" s="1"/>
  <c r="Y34" i="6"/>
  <c r="X34" i="6"/>
  <c r="W34" i="6"/>
  <c r="W66" i="6" s="1"/>
  <c r="V34" i="6"/>
  <c r="U34" i="6"/>
  <c r="T34" i="6"/>
  <c r="S34" i="6"/>
  <c r="G33" i="6"/>
  <c r="G32" i="6"/>
  <c r="G31" i="6"/>
  <c r="G30" i="6"/>
  <c r="G29" i="6"/>
  <c r="G28" i="6"/>
  <c r="G27" i="6"/>
  <c r="Z25" i="6"/>
  <c r="Z24" i="6"/>
  <c r="Y24" i="6"/>
  <c r="Y66" i="6" s="1"/>
  <c r="X24" i="6"/>
  <c r="W24" i="6"/>
  <c r="V24" i="6"/>
  <c r="U24" i="6"/>
  <c r="T24" i="6"/>
  <c r="S24" i="6"/>
  <c r="C24" i="6"/>
  <c r="H23" i="6"/>
  <c r="G23" i="6"/>
  <c r="G22" i="6"/>
  <c r="G21" i="6"/>
  <c r="G20" i="6"/>
  <c r="G19" i="6"/>
  <c r="H24" i="6"/>
  <c r="G18" i="6"/>
  <c r="Z17" i="6"/>
  <c r="Y17" i="6"/>
  <c r="X17" i="6"/>
  <c r="W17" i="6"/>
  <c r="V17" i="6"/>
  <c r="U17" i="6"/>
  <c r="T17" i="6"/>
  <c r="S17" i="6"/>
  <c r="S25" i="6" s="1"/>
  <c r="C17" i="6"/>
  <c r="G15" i="6"/>
  <c r="G14" i="6"/>
  <c r="G13" i="6"/>
  <c r="G12" i="6"/>
  <c r="G11" i="6"/>
  <c r="G17" i="6" s="1"/>
  <c r="C11" i="7" s="1"/>
  <c r="J66" i="6" l="1"/>
  <c r="J67" i="6" s="1"/>
  <c r="Z57" i="6"/>
  <c r="H34" i="6"/>
  <c r="H66" i="6" s="1"/>
  <c r="P66" i="6"/>
  <c r="V66" i="6"/>
  <c r="V67" i="6" s="1"/>
  <c r="H17" i="6"/>
  <c r="G24" i="6"/>
  <c r="G55" i="6"/>
  <c r="K66" i="6"/>
  <c r="Y67" i="6"/>
  <c r="W67" i="6"/>
  <c r="C31" i="7"/>
  <c r="X56" i="6"/>
  <c r="U66" i="6"/>
  <c r="U67" i="6" s="1"/>
  <c r="Z26" i="6"/>
  <c r="G34" i="6"/>
  <c r="C30" i="7" s="1"/>
  <c r="H55" i="6"/>
  <c r="S56" i="6"/>
  <c r="S57" i="6" s="1"/>
  <c r="C53" i="7"/>
  <c r="Z60" i="6"/>
  <c r="Z63" i="6" s="1"/>
  <c r="N66" i="6"/>
  <c r="T66" i="6"/>
  <c r="T67" i="6" s="1"/>
  <c r="X66" i="6"/>
  <c r="X67" i="6" s="1"/>
  <c r="X25" i="6"/>
  <c r="T25" i="6"/>
  <c r="T56" i="6"/>
  <c r="O66" i="6"/>
  <c r="O67" i="6" s="1"/>
  <c r="V25" i="6"/>
  <c r="V56" i="6"/>
  <c r="Z66" i="6"/>
  <c r="Z67" i="6" s="1"/>
  <c r="U25" i="6"/>
  <c r="Y25" i="6"/>
  <c r="Q66" i="6"/>
  <c r="Q67" i="6" s="1"/>
  <c r="G25" i="6"/>
  <c r="W25" i="6"/>
  <c r="S26" i="6"/>
  <c r="W56" i="6"/>
  <c r="S66" i="6"/>
  <c r="S67" i="6" s="1"/>
  <c r="U56" i="6"/>
  <c r="Y56" i="6"/>
  <c r="A8" i="7"/>
  <c r="M19" i="3"/>
  <c r="N10" i="3"/>
  <c r="L10" i="3"/>
  <c r="M66" i="6" l="1"/>
  <c r="M67" i="6" s="1"/>
  <c r="L66" i="6"/>
  <c r="L67" i="6" s="1"/>
  <c r="P67" i="6"/>
  <c r="N67" i="6"/>
  <c r="K67" i="6"/>
  <c r="H67" i="6"/>
  <c r="G66" i="6"/>
  <c r="G67" i="6" s="1"/>
  <c r="H25" i="6"/>
  <c r="H26" i="6" s="1"/>
  <c r="R66" i="6"/>
  <c r="R67" i="6" s="1"/>
  <c r="S60" i="6"/>
  <c r="S63" i="6" s="1"/>
  <c r="S64" i="6" s="1"/>
  <c r="I66" i="6"/>
  <c r="I67" i="6" s="1"/>
  <c r="H56" i="6"/>
  <c r="G56" i="6"/>
  <c r="G57" i="6"/>
  <c r="G26" i="6"/>
  <c r="T57" i="6"/>
  <c r="T26" i="6"/>
  <c r="U57" i="6"/>
  <c r="U26" i="6"/>
  <c r="X57" i="6"/>
  <c r="X26" i="6"/>
  <c r="W26" i="6"/>
  <c r="W57" i="6"/>
  <c r="Y57" i="6"/>
  <c r="Y26" i="6"/>
  <c r="V26" i="6"/>
  <c r="V57" i="6"/>
  <c r="AY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X35" i="7" s="1"/>
  <c r="AU34" i="7"/>
  <c r="AU33" i="7"/>
  <c r="AU32" i="7"/>
  <c r="AU31" i="7"/>
  <c r="AV22" i="7"/>
  <c r="AU22" i="7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U16" i="7"/>
  <c r="AU28" i="7" s="1"/>
  <c r="AU15" i="7"/>
  <c r="AU14" i="7"/>
  <c r="AU13" i="7"/>
  <c r="AU12" i="7"/>
  <c r="AX15" i="7"/>
  <c r="AV12" i="7"/>
  <c r="AV16" i="7"/>
  <c r="AW16" i="7" s="1"/>
  <c r="AX59" i="7" s="1"/>
  <c r="AV15" i="7"/>
  <c r="AV14" i="7"/>
  <c r="AW14" i="7"/>
  <c r="AV11" i="7"/>
  <c r="AX50" i="7"/>
  <c r="AV50" i="7"/>
  <c r="AW50" i="7" s="1"/>
  <c r="AX44" i="7"/>
  <c r="AX22" i="7"/>
  <c r="AW22" i="7"/>
  <c r="AV26" i="7"/>
  <c r="Z59" i="3"/>
  <c r="I60" i="6" l="1"/>
  <c r="I63" i="6" s="1"/>
  <c r="G108" i="6"/>
  <c r="H57" i="6"/>
  <c r="H60" i="6" s="1"/>
  <c r="H63" i="6" s="1"/>
  <c r="AV24" i="7"/>
  <c r="AV28" i="7"/>
  <c r="AU26" i="7"/>
  <c r="AX26" i="7" s="1"/>
  <c r="V60" i="6"/>
  <c r="V63" i="6" s="1"/>
  <c r="Y60" i="6"/>
  <c r="Y63" i="6" s="1"/>
  <c r="O60" i="6"/>
  <c r="O63" i="6" s="1"/>
  <c r="K60" i="6"/>
  <c r="K63" i="6" s="1"/>
  <c r="Q60" i="6"/>
  <c r="Q63" i="6" s="1"/>
  <c r="G60" i="6"/>
  <c r="G63" i="6" s="1"/>
  <c r="G64" i="6" s="1"/>
  <c r="X60" i="6"/>
  <c r="X63" i="6" s="1"/>
  <c r="P60" i="6"/>
  <c r="P63" i="6" s="1"/>
  <c r="J60" i="6"/>
  <c r="J63" i="6" s="1"/>
  <c r="M60" i="6"/>
  <c r="M63" i="6" s="1"/>
  <c r="L60" i="6"/>
  <c r="L63" i="6" s="1"/>
  <c r="W60" i="6"/>
  <c r="W63" i="6" s="1"/>
  <c r="U60" i="6"/>
  <c r="U63" i="6" s="1"/>
  <c r="T60" i="6"/>
  <c r="T63" i="6" s="1"/>
  <c r="T64" i="6" s="1"/>
  <c r="R60" i="6"/>
  <c r="R63" i="6" s="1"/>
  <c r="AW20" i="7"/>
  <c r="AV27" i="7"/>
  <c r="AX16" i="7"/>
  <c r="AW18" i="7"/>
  <c r="AW28" i="7"/>
  <c r="AX12" i="7"/>
  <c r="AU24" i="7"/>
  <c r="AX24" i="7" s="1"/>
  <c r="AW12" i="7"/>
  <c r="AX58" i="7" s="1"/>
  <c r="AX14" i="7"/>
  <c r="AX28" i="7"/>
  <c r="AU25" i="7"/>
  <c r="AU27" i="7"/>
  <c r="AX27" i="7" s="1"/>
  <c r="AW15" i="7"/>
  <c r="AW19" i="7"/>
  <c r="AW21" i="7"/>
  <c r="H108" i="6" l="1"/>
  <c r="AW26" i="7"/>
  <c r="N60" i="6"/>
  <c r="N63" i="6" s="1"/>
  <c r="U64" i="6"/>
  <c r="V64" i="6" s="1"/>
  <c r="W64" i="6" s="1"/>
  <c r="X64" i="6" s="1"/>
  <c r="Y64" i="6" s="1"/>
  <c r="Z64" i="6" s="1"/>
  <c r="H64" i="6"/>
  <c r="I64" i="6" s="1"/>
  <c r="J64" i="6" s="1"/>
  <c r="K64" i="6" s="1"/>
  <c r="L64" i="6" s="1"/>
  <c r="M64" i="6" s="1"/>
  <c r="AW24" i="7"/>
  <c r="AW27" i="7"/>
  <c r="N64" i="6" l="1"/>
  <c r="O64" i="6" s="1"/>
  <c r="P64" i="6" s="1"/>
  <c r="Q64" i="6" s="1"/>
  <c r="R64" i="6" s="1"/>
  <c r="I108" i="6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T35" i="7" s="1"/>
  <c r="AQ34" i="7"/>
  <c r="AQ33" i="7"/>
  <c r="AQ32" i="7"/>
  <c r="AQ31" i="7"/>
  <c r="AR22" i="7"/>
  <c r="AR21" i="7"/>
  <c r="AR20" i="7"/>
  <c r="AS20" i="7" s="1"/>
  <c r="AR19" i="7"/>
  <c r="AR18" i="7"/>
  <c r="AR16" i="7"/>
  <c r="AR15" i="7"/>
  <c r="AR14" i="7"/>
  <c r="AR12" i="7"/>
  <c r="AQ22" i="7"/>
  <c r="AT22" i="7" s="1"/>
  <c r="AQ21" i="7"/>
  <c r="AQ20" i="7"/>
  <c r="AT20" i="7" s="1"/>
  <c r="AQ19" i="7"/>
  <c r="AQ18" i="7"/>
  <c r="AQ16" i="7"/>
  <c r="AQ15" i="7"/>
  <c r="AQ14" i="7"/>
  <c r="AT14" i="7" s="1"/>
  <c r="AQ13" i="7"/>
  <c r="AQ12" i="7"/>
  <c r="AT12" i="7" s="1"/>
  <c r="AT50" i="7"/>
  <c r="AR50" i="7"/>
  <c r="AS50" i="7" s="1"/>
  <c r="V10" i="3"/>
  <c r="V59" i="3" s="1"/>
  <c r="AP67" i="7"/>
  <c r="AL67" i="7"/>
  <c r="AH67" i="7"/>
  <c r="AN22" i="7"/>
  <c r="AN21" i="7"/>
  <c r="AN20" i="7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P35" i="7" s="1"/>
  <c r="AM34" i="7"/>
  <c r="AM33" i="7"/>
  <c r="AM32" i="7"/>
  <c r="AM31" i="7"/>
  <c r="AM22" i="7"/>
  <c r="AP22" i="7" s="1"/>
  <c r="AM21" i="7"/>
  <c r="AM20" i="7"/>
  <c r="AP20" i="7" s="1"/>
  <c r="AM19" i="7"/>
  <c r="AM18" i="7"/>
  <c r="AM16" i="7"/>
  <c r="AM15" i="7"/>
  <c r="AM14" i="7"/>
  <c r="AM13" i="7"/>
  <c r="AM12" i="7"/>
  <c r="J108" i="6" l="1"/>
  <c r="AS15" i="7"/>
  <c r="AM25" i="7"/>
  <c r="AS12" i="7"/>
  <c r="AT58" i="7" s="1"/>
  <c r="AS14" i="7"/>
  <c r="AP14" i="7"/>
  <c r="AN11" i="7"/>
  <c r="AT21" i="7"/>
  <c r="AO19" i="7"/>
  <c r="AP18" i="7"/>
  <c r="AS19" i="7"/>
  <c r="AO12" i="7"/>
  <c r="AP58" i="7" s="1"/>
  <c r="AM26" i="7"/>
  <c r="AT16" i="7"/>
  <c r="AM27" i="7"/>
  <c r="AO21" i="7"/>
  <c r="AP16" i="7"/>
  <c r="AT19" i="7"/>
  <c r="AT15" i="7"/>
  <c r="AM28" i="7"/>
  <c r="AO15" i="7"/>
  <c r="AM17" i="7"/>
  <c r="AO18" i="7"/>
  <c r="AQ17" i="7"/>
  <c r="AS21" i="7"/>
  <c r="AS22" i="7"/>
  <c r="AS18" i="7"/>
  <c r="AS16" i="7"/>
  <c r="AT59" i="7" s="1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59" i="7" s="1"/>
  <c r="AP21" i="7"/>
  <c r="AP15" i="7"/>
  <c r="AN24" i="7"/>
  <c r="AN26" i="7"/>
  <c r="AN28" i="7"/>
  <c r="AN25" i="7"/>
  <c r="AN27" i="7"/>
  <c r="AO27" i="7" l="1"/>
  <c r="AO26" i="7"/>
  <c r="AO24" i="7"/>
  <c r="AS24" i="7"/>
  <c r="AO25" i="7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I32" i="7"/>
  <c r="AI33" i="7"/>
  <c r="AI34" i="7"/>
  <c r="AI35" i="7"/>
  <c r="AL35" i="7" s="1"/>
  <c r="AI36" i="7"/>
  <c r="AI37" i="7"/>
  <c r="AI38" i="7"/>
  <c r="AI39" i="7"/>
  <c r="AI40" i="7"/>
  <c r="AI41" i="7"/>
  <c r="AI42" i="7"/>
  <c r="AI43" i="7"/>
  <c r="AI44" i="7"/>
  <c r="AL44" i="7" s="1"/>
  <c r="AI45" i="7"/>
  <c r="AI46" i="7"/>
  <c r="AI47" i="7"/>
  <c r="AI48" i="7"/>
  <c r="AI49" i="7"/>
  <c r="AI31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I16" i="7"/>
  <c r="AI15" i="7"/>
  <c r="AI14" i="7"/>
  <c r="AI13" i="7"/>
  <c r="AI12" i="7"/>
  <c r="AI53" i="7"/>
  <c r="AL53" i="7" s="1"/>
  <c r="AL50" i="7"/>
  <c r="AJ50" i="7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H50" i="7"/>
  <c r="AF50" i="7"/>
  <c r="AD50" i="7"/>
  <c r="AB50" i="7"/>
  <c r="BB50" i="7"/>
  <c r="W49" i="7"/>
  <c r="W48" i="7"/>
  <c r="W47" i="7"/>
  <c r="W46" i="7"/>
  <c r="W45" i="7"/>
  <c r="W44" i="7"/>
  <c r="Z44" i="7" s="1"/>
  <c r="W43" i="7"/>
  <c r="W42" i="7"/>
  <c r="W41" i="7"/>
  <c r="W40" i="7"/>
  <c r="W39" i="7"/>
  <c r="W38" i="7"/>
  <c r="W37" i="7"/>
  <c r="W36" i="7"/>
  <c r="W35" i="7"/>
  <c r="Z35" i="7" s="1"/>
  <c r="W34" i="7"/>
  <c r="W33" i="7"/>
  <c r="W32" i="7"/>
  <c r="W31" i="7"/>
  <c r="X22" i="7"/>
  <c r="X20" i="7"/>
  <c r="X19" i="7"/>
  <c r="X18" i="7"/>
  <c r="X16" i="7"/>
  <c r="X15" i="7"/>
  <c r="X14" i="7"/>
  <c r="X12" i="7"/>
  <c r="Z50" i="7"/>
  <c r="X50" i="7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S47" i="7"/>
  <c r="S48" i="7"/>
  <c r="S49" i="7"/>
  <c r="S44" i="7"/>
  <c r="V44" i="7" s="1"/>
  <c r="S45" i="7"/>
  <c r="S46" i="7"/>
  <c r="S42" i="7"/>
  <c r="S43" i="7"/>
  <c r="S37" i="7"/>
  <c r="S38" i="7"/>
  <c r="S39" i="7"/>
  <c r="S40" i="7"/>
  <c r="S41" i="7"/>
  <c r="S36" i="7"/>
  <c r="S32" i="7"/>
  <c r="S33" i="7"/>
  <c r="S34" i="7"/>
  <c r="S31" i="7"/>
  <c r="V50" i="7"/>
  <c r="T50" i="7"/>
  <c r="S35" i="7"/>
  <c r="V35" i="7" s="1"/>
  <c r="G34" i="4"/>
  <c r="H34" i="4"/>
  <c r="F34" i="4"/>
  <c r="E34" i="4"/>
  <c r="P50" i="7"/>
  <c r="P22" i="7"/>
  <c r="P21" i="7"/>
  <c r="P20" i="7"/>
  <c r="P19" i="7"/>
  <c r="P18" i="7"/>
  <c r="P16" i="7"/>
  <c r="P15" i="7"/>
  <c r="P14" i="7"/>
  <c r="P12" i="7"/>
  <c r="R50" i="7"/>
  <c r="O6" i="1"/>
  <c r="L50" i="7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N50" i="7"/>
  <c r="J50" i="7"/>
  <c r="F50" i="7"/>
  <c r="L16" i="7"/>
  <c r="L15" i="7"/>
  <c r="L14" i="7"/>
  <c r="L12" i="7"/>
  <c r="H16" i="7"/>
  <c r="H15" i="7"/>
  <c r="H14" i="7"/>
  <c r="H12" i="7"/>
  <c r="D16" i="7"/>
  <c r="D15" i="7"/>
  <c r="D14" i="7"/>
  <c r="D12" i="7"/>
  <c r="K108" i="6" l="1"/>
  <c r="AK22" i="7"/>
  <c r="L108" i="6"/>
  <c r="AZ16" i="7"/>
  <c r="AZ50" i="7"/>
  <c r="AZ19" i="7"/>
  <c r="AZ12" i="7"/>
  <c r="AZ20" i="7"/>
  <c r="AZ14" i="7"/>
  <c r="AZ22" i="7"/>
  <c r="AZ15" i="7"/>
  <c r="AL19" i="7"/>
  <c r="AK16" i="7"/>
  <c r="AL21" i="7"/>
  <c r="AB28" i="7"/>
  <c r="AK18" i="7"/>
  <c r="AK12" i="7"/>
  <c r="AL58" i="7" s="1"/>
  <c r="AJ27" i="7"/>
  <c r="AL22" i="7"/>
  <c r="AK14" i="7"/>
  <c r="AL59" i="7" s="1"/>
  <c r="X28" i="7"/>
  <c r="BA50" i="7"/>
  <c r="AJ24" i="7"/>
  <c r="X26" i="7"/>
  <c r="AK19" i="7"/>
  <c r="AJ28" i="7"/>
  <c r="AL16" i="7"/>
  <c r="AL12" i="7"/>
  <c r="AK15" i="7"/>
  <c r="AJ26" i="7"/>
  <c r="AK20" i="7"/>
  <c r="AK21" i="7"/>
  <c r="AI17" i="7"/>
  <c r="AI26" i="7"/>
  <c r="AL26" i="7" s="1"/>
  <c r="AL15" i="7"/>
  <c r="AI24" i="7"/>
  <c r="AI28" i="7"/>
  <c r="AL14" i="7"/>
  <c r="AL18" i="7"/>
  <c r="AI11" i="7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B21" i="7"/>
  <c r="B27" i="7" s="1"/>
  <c r="B22" i="7"/>
  <c r="B28" i="7" s="1"/>
  <c r="B20" i="7"/>
  <c r="B26" i="7" s="1"/>
  <c r="B19" i="7"/>
  <c r="B25" i="7" s="1"/>
  <c r="B18" i="7"/>
  <c r="B24" i="7" s="1"/>
  <c r="D18" i="7"/>
  <c r="AZ18" i="7" s="1"/>
  <c r="P8" i="4"/>
  <c r="O8" i="4"/>
  <c r="N8" i="4"/>
  <c r="M8" i="4"/>
  <c r="L8" i="4"/>
  <c r="K8" i="4"/>
  <c r="J8" i="4"/>
  <c r="I8" i="4"/>
  <c r="H8" i="4"/>
  <c r="G8" i="4"/>
  <c r="F8" i="4"/>
  <c r="AQ54" i="7"/>
  <c r="AI54" i="7"/>
  <c r="AE54" i="7"/>
  <c r="S54" i="7"/>
  <c r="K54" i="7"/>
  <c r="G54" i="7"/>
  <c r="AQ53" i="7"/>
  <c r="AT53" i="7" s="1"/>
  <c r="AA53" i="7"/>
  <c r="W53" i="7"/>
  <c r="Z53" i="7" s="1"/>
  <c r="K53" i="7"/>
  <c r="AE49" i="7"/>
  <c r="AA49" i="7"/>
  <c r="O49" i="7"/>
  <c r="K49" i="7"/>
  <c r="G49" i="7"/>
  <c r="AE48" i="7"/>
  <c r="AA48" i="7"/>
  <c r="O48" i="7"/>
  <c r="K48" i="7"/>
  <c r="G48" i="7"/>
  <c r="AE47" i="7"/>
  <c r="AA47" i="7"/>
  <c r="O47" i="7"/>
  <c r="K47" i="7"/>
  <c r="G47" i="7"/>
  <c r="AE46" i="7"/>
  <c r="AA46" i="7"/>
  <c r="O46" i="7"/>
  <c r="K46" i="7"/>
  <c r="G46" i="7"/>
  <c r="AE45" i="7"/>
  <c r="AA45" i="7"/>
  <c r="O45" i="7"/>
  <c r="K45" i="7"/>
  <c r="G45" i="7"/>
  <c r="AE44" i="7"/>
  <c r="AH44" i="7" s="1"/>
  <c r="AA44" i="7"/>
  <c r="O44" i="7"/>
  <c r="K44" i="7"/>
  <c r="G44" i="7"/>
  <c r="AE43" i="7"/>
  <c r="AA43" i="7"/>
  <c r="O43" i="7"/>
  <c r="K43" i="7"/>
  <c r="G43" i="7"/>
  <c r="AE42" i="7"/>
  <c r="AA42" i="7"/>
  <c r="O42" i="7"/>
  <c r="K42" i="7"/>
  <c r="G42" i="7"/>
  <c r="AE41" i="7"/>
  <c r="AA41" i="7"/>
  <c r="O41" i="7"/>
  <c r="K41" i="7"/>
  <c r="G41" i="7"/>
  <c r="AE40" i="7"/>
  <c r="AA40" i="7"/>
  <c r="O40" i="7"/>
  <c r="K40" i="7"/>
  <c r="G40" i="7"/>
  <c r="AE39" i="7"/>
  <c r="AA39" i="7"/>
  <c r="O39" i="7"/>
  <c r="K39" i="7"/>
  <c r="G39" i="7"/>
  <c r="AE38" i="7"/>
  <c r="AA38" i="7"/>
  <c r="O38" i="7"/>
  <c r="K38" i="7"/>
  <c r="G38" i="7"/>
  <c r="AE37" i="7"/>
  <c r="AA37" i="7"/>
  <c r="O37" i="7"/>
  <c r="K37" i="7"/>
  <c r="G37" i="7"/>
  <c r="AE36" i="7"/>
  <c r="AA36" i="7"/>
  <c r="O36" i="7"/>
  <c r="K36" i="7"/>
  <c r="G36" i="7"/>
  <c r="AE35" i="7"/>
  <c r="AH35" i="7" s="1"/>
  <c r="AA35" i="7"/>
  <c r="AD35" i="7" s="1"/>
  <c r="O35" i="7"/>
  <c r="K35" i="7"/>
  <c r="G35" i="7"/>
  <c r="AE34" i="7"/>
  <c r="AA34" i="7"/>
  <c r="O34" i="7"/>
  <c r="K34" i="7"/>
  <c r="G34" i="7"/>
  <c r="AE33" i="7"/>
  <c r="AA33" i="7"/>
  <c r="O33" i="7"/>
  <c r="K33" i="7"/>
  <c r="G33" i="7"/>
  <c r="AE32" i="7"/>
  <c r="AA32" i="7"/>
  <c r="O32" i="7"/>
  <c r="K32" i="7"/>
  <c r="G32" i="7"/>
  <c r="AE31" i="7"/>
  <c r="AA31" i="7"/>
  <c r="O31" i="7"/>
  <c r="K31" i="7"/>
  <c r="G31" i="7"/>
  <c r="BO22" i="7"/>
  <c r="BP22" i="7" s="1"/>
  <c r="BM22" i="7"/>
  <c r="BN22" i="7" s="1"/>
  <c r="BK22" i="7"/>
  <c r="BL22" i="7" s="1"/>
  <c r="BI22" i="7"/>
  <c r="BJ22" i="7" s="1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G21" i="7"/>
  <c r="BO20" i="7"/>
  <c r="BP20" i="7" s="1"/>
  <c r="BM20" i="7"/>
  <c r="BN20" i="7" s="1"/>
  <c r="BK20" i="7"/>
  <c r="BL20" i="7" s="1"/>
  <c r="BI20" i="7"/>
  <c r="BJ20" i="7" s="1"/>
  <c r="S20" i="7"/>
  <c r="V20" i="7" s="1"/>
  <c r="G20" i="7"/>
  <c r="BO19" i="7"/>
  <c r="BP19" i="7" s="1"/>
  <c r="BM19" i="7"/>
  <c r="BN19" i="7" s="1"/>
  <c r="BK19" i="7"/>
  <c r="BL19" i="7" s="1"/>
  <c r="BI19" i="7"/>
  <c r="BJ19" i="7" s="1"/>
  <c r="S19" i="7"/>
  <c r="V19" i="7" s="1"/>
  <c r="BO18" i="7"/>
  <c r="BP18" i="7" s="1"/>
  <c r="BM18" i="7"/>
  <c r="BN18" i="7" s="1"/>
  <c r="BK18" i="7"/>
  <c r="BL18" i="7" s="1"/>
  <c r="BI18" i="7"/>
  <c r="BJ18" i="7" s="1"/>
  <c r="S18" i="7"/>
  <c r="G18" i="7"/>
  <c r="BO16" i="7"/>
  <c r="BP16" i="7" s="1"/>
  <c r="BM16" i="7"/>
  <c r="BN16" i="7" s="1"/>
  <c r="BK16" i="7"/>
  <c r="BL16" i="7" s="1"/>
  <c r="BI16" i="7"/>
  <c r="BJ16" i="7" s="1"/>
  <c r="BE16" i="7"/>
  <c r="BF16" i="7" s="1"/>
  <c r="W16" i="7"/>
  <c r="Z16" i="7" s="1"/>
  <c r="S16" i="7"/>
  <c r="G16" i="7"/>
  <c r="BO15" i="7"/>
  <c r="BP15" i="7" s="1"/>
  <c r="BM15" i="7"/>
  <c r="BN15" i="7" s="1"/>
  <c r="BK15" i="7"/>
  <c r="BL15" i="7" s="1"/>
  <c r="BI15" i="7"/>
  <c r="BJ15" i="7" s="1"/>
  <c r="BE15" i="7"/>
  <c r="BF15" i="7" s="1"/>
  <c r="W15" i="7"/>
  <c r="S15" i="7"/>
  <c r="G15" i="7"/>
  <c r="BO14" i="7"/>
  <c r="BP14" i="7" s="1"/>
  <c r="BM14" i="7"/>
  <c r="BN14" i="7" s="1"/>
  <c r="BK14" i="7"/>
  <c r="BL14" i="7" s="1"/>
  <c r="BI14" i="7"/>
  <c r="BJ14" i="7" s="1"/>
  <c r="BE14" i="7"/>
  <c r="BF14" i="7" s="1"/>
  <c r="W14" i="7"/>
  <c r="S14" i="7"/>
  <c r="V14" i="7" s="1"/>
  <c r="G14" i="7"/>
  <c r="S13" i="7"/>
  <c r="G13" i="7"/>
  <c r="G12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21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AO53" i="7" s="1"/>
  <c r="T52" i="3"/>
  <c r="AJ53" i="7" s="1"/>
  <c r="R52" i="3"/>
  <c r="AF53" i="7" s="1"/>
  <c r="P52" i="3"/>
  <c r="AB53" i="7" s="1"/>
  <c r="N52" i="3"/>
  <c r="X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N46" i="3"/>
  <c r="X47" i="7" s="1"/>
  <c r="Y47" i="7" s="1"/>
  <c r="L46" i="3"/>
  <c r="T47" i="7" s="1"/>
  <c r="V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P45" i="3"/>
  <c r="AB46" i="7" s="1"/>
  <c r="N45" i="3"/>
  <c r="X46" i="7" s="1"/>
  <c r="Z46" i="7" s="1"/>
  <c r="L45" i="3"/>
  <c r="T46" i="7" s="1"/>
  <c r="V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P44" i="3"/>
  <c r="AB45" i="7" s="1"/>
  <c r="N44" i="3"/>
  <c r="X45" i="7" s="1"/>
  <c r="Z45" i="7" s="1"/>
  <c r="L44" i="3"/>
  <c r="T45" i="7" s="1"/>
  <c r="V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P43" i="3"/>
  <c r="AB44" i="7" s="1"/>
  <c r="N43" i="3"/>
  <c r="X44" i="7" s="1"/>
  <c r="Y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P42" i="3"/>
  <c r="AB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AO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BO28" i="7" s="1"/>
  <c r="BP28" i="7" s="1"/>
  <c r="X27" i="3"/>
  <c r="BM28" i="7" s="1"/>
  <c r="BN28" i="7" s="1"/>
  <c r="V27" i="3"/>
  <c r="BK28" i="7" s="1"/>
  <c r="BL28" i="7" s="1"/>
  <c r="T27" i="3"/>
  <c r="BI28" i="7" s="1"/>
  <c r="BJ28" i="7" s="1"/>
  <c r="R27" i="3"/>
  <c r="P27" i="3"/>
  <c r="BE28" i="7" s="1"/>
  <c r="BF28" i="7" s="1"/>
  <c r="N27" i="3"/>
  <c r="O27" i="3" s="1"/>
  <c r="L27" i="3"/>
  <c r="M27" i="3" s="1"/>
  <c r="J27" i="3"/>
  <c r="H27" i="3"/>
  <c r="Z25" i="3"/>
  <c r="BO26" i="7" s="1"/>
  <c r="BP26" i="7" s="1"/>
  <c r="X25" i="3"/>
  <c r="BM26" i="7" s="1"/>
  <c r="BN26" i="7" s="1"/>
  <c r="V25" i="3"/>
  <c r="BK26" i="7" s="1"/>
  <c r="BL26" i="7" s="1"/>
  <c r="T25" i="3"/>
  <c r="BI26" i="7" s="1"/>
  <c r="BJ26" i="7" s="1"/>
  <c r="R25" i="3"/>
  <c r="P25" i="3"/>
  <c r="BE26" i="7" s="1"/>
  <c r="BF26" i="7" s="1"/>
  <c r="N25" i="3"/>
  <c r="O25" i="3" s="1"/>
  <c r="L25" i="3"/>
  <c r="M25" i="3" s="1"/>
  <c r="J25" i="3"/>
  <c r="H25" i="3"/>
  <c r="Z12" i="3"/>
  <c r="X12" i="3"/>
  <c r="T10" i="3"/>
  <c r="AF13" i="7"/>
  <c r="AB13" i="7"/>
  <c r="AB25" i="7" s="1"/>
  <c r="Z23" i="3"/>
  <c r="BO24" i="7" s="1"/>
  <c r="BP24" i="7" s="1"/>
  <c r="X23" i="3"/>
  <c r="BM24" i="7" s="1"/>
  <c r="BN24" i="7" s="1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H11" i="7" s="1"/>
  <c r="F25" i="3"/>
  <c r="F27" i="3"/>
  <c r="D25" i="3"/>
  <c r="D27" i="3"/>
  <c r="E19" i="3"/>
  <c r="E21" i="3"/>
  <c r="C21" i="3"/>
  <c r="C27" i="3" s="1"/>
  <c r="C19" i="3"/>
  <c r="C25" i="3" s="1"/>
  <c r="B8" i="5"/>
  <c r="B9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A27" i="3" l="1"/>
  <c r="R35" i="7"/>
  <c r="Y56" i="3"/>
  <c r="AZ34" i="7"/>
  <c r="AZ38" i="7"/>
  <c r="AZ42" i="7"/>
  <c r="AZ46" i="7"/>
  <c r="AZ47" i="7"/>
  <c r="M108" i="6"/>
  <c r="AZ54" i="7"/>
  <c r="AZ30" i="7"/>
  <c r="AZ43" i="7"/>
  <c r="AZ31" i="7"/>
  <c r="AZ35" i="7"/>
  <c r="AZ39" i="7"/>
  <c r="AW31" i="7"/>
  <c r="AX31" i="7"/>
  <c r="W56" i="3"/>
  <c r="AZ33" i="7"/>
  <c r="AZ37" i="7"/>
  <c r="AZ41" i="7"/>
  <c r="AZ45" i="7"/>
  <c r="AZ49" i="7"/>
  <c r="AX33" i="7"/>
  <c r="AW33" i="7"/>
  <c r="AX37" i="7"/>
  <c r="AW37" i="7"/>
  <c r="AX41" i="7"/>
  <c r="AW41" i="7"/>
  <c r="AX45" i="7"/>
  <c r="AW45" i="7"/>
  <c r="AX64" i="7" s="1"/>
  <c r="AX49" i="7"/>
  <c r="AW49" i="7"/>
  <c r="AY40" i="7"/>
  <c r="AY48" i="7"/>
  <c r="AW34" i="7"/>
  <c r="AX34" i="7"/>
  <c r="AW38" i="7"/>
  <c r="AX38" i="7"/>
  <c r="AW42" i="7"/>
  <c r="AX65" i="7" s="1"/>
  <c r="AX42" i="7"/>
  <c r="AW46" i="7"/>
  <c r="AX46" i="7"/>
  <c r="AK53" i="7"/>
  <c r="AV53" i="7"/>
  <c r="AA25" i="3"/>
  <c r="Z24" i="3"/>
  <c r="BO25" i="7" s="1"/>
  <c r="BP25" i="7" s="1"/>
  <c r="AV13" i="7"/>
  <c r="AX39" i="7"/>
  <c r="AW39" i="7"/>
  <c r="AW43" i="7"/>
  <c r="AX43" i="7"/>
  <c r="AX47" i="7"/>
  <c r="AW47" i="7"/>
  <c r="AZ32" i="7"/>
  <c r="AZ36" i="7"/>
  <c r="AZ40" i="7"/>
  <c r="AZ44" i="7"/>
  <c r="AZ48" i="7"/>
  <c r="AX32" i="7"/>
  <c r="AW32" i="7"/>
  <c r="AX36" i="7"/>
  <c r="AW36" i="7"/>
  <c r="AW40" i="7"/>
  <c r="AX40" i="7"/>
  <c r="AX48" i="7"/>
  <c r="AW48" i="7"/>
  <c r="AY31" i="7"/>
  <c r="AY39" i="7"/>
  <c r="AY33" i="7"/>
  <c r="AY41" i="7"/>
  <c r="AY45" i="7"/>
  <c r="AY32" i="7"/>
  <c r="AM54" i="7"/>
  <c r="AO54" i="7" s="1"/>
  <c r="AU54" i="7"/>
  <c r="AY37" i="7"/>
  <c r="AY34" i="7"/>
  <c r="AY42" i="7"/>
  <c r="AY47" i="7"/>
  <c r="AY21" i="7"/>
  <c r="AY36" i="7"/>
  <c r="AY44" i="7"/>
  <c r="AE53" i="7"/>
  <c r="AH53" i="7" s="1"/>
  <c r="AU53" i="7"/>
  <c r="AY49" i="7"/>
  <c r="AY38" i="7"/>
  <c r="AY46" i="7"/>
  <c r="AY35" i="7"/>
  <c r="AY4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64" i="7" s="1"/>
  <c r="AT45" i="7"/>
  <c r="AS49" i="7"/>
  <c r="AT49" i="7"/>
  <c r="AS34" i="7"/>
  <c r="AT34" i="7"/>
  <c r="AT38" i="7"/>
  <c r="AS38" i="7"/>
  <c r="AS42" i="7"/>
  <c r="AT65" i="7" s="1"/>
  <c r="AT42" i="7"/>
  <c r="AS46" i="7"/>
  <c r="AT46" i="7"/>
  <c r="AT33" i="7"/>
  <c r="AS33" i="7"/>
  <c r="X10" i="3"/>
  <c r="AR13" i="7"/>
  <c r="T59" i="3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65" i="7" s="1"/>
  <c r="AP46" i="7"/>
  <c r="AO46" i="7"/>
  <c r="AP54" i="7"/>
  <c r="AK17" i="7"/>
  <c r="AL28" i="7"/>
  <c r="W25" i="3"/>
  <c r="O22" i="4"/>
  <c r="K17" i="4"/>
  <c r="O11" i="4"/>
  <c r="M9" i="4"/>
  <c r="E9" i="4"/>
  <c r="U56" i="3"/>
  <c r="M22" i="4"/>
  <c r="E11" i="4"/>
  <c r="K9" i="4"/>
  <c r="L26" i="4"/>
  <c r="AK40" i="7"/>
  <c r="S56" i="3"/>
  <c r="H17" i="4"/>
  <c r="L11" i="4"/>
  <c r="N10" i="4"/>
  <c r="AK48" i="7"/>
  <c r="AL32" i="7"/>
  <c r="O56" i="3"/>
  <c r="AK24" i="7"/>
  <c r="M17" i="4"/>
  <c r="E17" i="4"/>
  <c r="P26" i="4"/>
  <c r="AK37" i="7"/>
  <c r="AL41" i="7"/>
  <c r="BG26" i="7"/>
  <c r="BH26" i="7" s="1"/>
  <c r="AF26" i="7"/>
  <c r="AK54" i="7"/>
  <c r="AK46" i="7"/>
  <c r="AK39" i="7"/>
  <c r="AK45" i="7"/>
  <c r="AL64" i="7" s="1"/>
  <c r="AL49" i="7"/>
  <c r="BG24" i="7"/>
  <c r="BH24" i="7" s="1"/>
  <c r="AF24" i="7"/>
  <c r="AL34" i="7"/>
  <c r="AK34" i="7"/>
  <c r="AK36" i="7"/>
  <c r="AL36" i="7"/>
  <c r="AK42" i="7"/>
  <c r="AL65" i="7" s="1"/>
  <c r="AL42" i="7"/>
  <c r="AL43" i="7"/>
  <c r="T24" i="3"/>
  <c r="BI25" i="7" s="1"/>
  <c r="BJ25" i="7" s="1"/>
  <c r="AJ13" i="7"/>
  <c r="BG28" i="7"/>
  <c r="BH28" i="7" s="1"/>
  <c r="AF28" i="7"/>
  <c r="AG33" i="7"/>
  <c r="AG54" i="7"/>
  <c r="AK33" i="7"/>
  <c r="AL38" i="7"/>
  <c r="AK47" i="7"/>
  <c r="AL31" i="7"/>
  <c r="AH40" i="7"/>
  <c r="AG48" i="7"/>
  <c r="AC49" i="7"/>
  <c r="AL54" i="7"/>
  <c r="AK26" i="7"/>
  <c r="AK28" i="7"/>
  <c r="AI23" i="7"/>
  <c r="AL24" i="7"/>
  <c r="AK27" i="7"/>
  <c r="AL27" i="7"/>
  <c r="AC47" i="7"/>
  <c r="AH43" i="7"/>
  <c r="AH54" i="7"/>
  <c r="AH31" i="7"/>
  <c r="AD32" i="7"/>
  <c r="AD40" i="7"/>
  <c r="AC48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C42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Y46" i="7"/>
  <c r="AC31" i="7"/>
  <c r="AH38" i="7"/>
  <c r="AD39" i="7"/>
  <c r="AH46" i="7"/>
  <c r="AD47" i="7"/>
  <c r="Z32" i="7"/>
  <c r="Y45" i="7"/>
  <c r="AC40" i="7"/>
  <c r="Z31" i="7"/>
  <c r="H22" i="4"/>
  <c r="N9" i="4"/>
  <c r="G26" i="4"/>
  <c r="AC44" i="7"/>
  <c r="AD44" i="7"/>
  <c r="AD31" i="7"/>
  <c r="AC43" i="7"/>
  <c r="AG43" i="7"/>
  <c r="BE19" i="7"/>
  <c r="BF19" i="7" s="1"/>
  <c r="AA19" i="7"/>
  <c r="AG39" i="7"/>
  <c r="AH39" i="7"/>
  <c r="AH47" i="7"/>
  <c r="AG47" i="7"/>
  <c r="AC46" i="7"/>
  <c r="AE12" i="7"/>
  <c r="AA12" i="7"/>
  <c r="BE20" i="7"/>
  <c r="BF20" i="7" s="1"/>
  <c r="AA20" i="7"/>
  <c r="BG15" i="7"/>
  <c r="BH15" i="7" s="1"/>
  <c r="AE15" i="7"/>
  <c r="AA15" i="7"/>
  <c r="BG20" i="7"/>
  <c r="BH20" i="7" s="1"/>
  <c r="AE20" i="7"/>
  <c r="AC36" i="7"/>
  <c r="AD36" i="7"/>
  <c r="BE18" i="7"/>
  <c r="BF18" i="7" s="1"/>
  <c r="AA18" i="7"/>
  <c r="AD37" i="7"/>
  <c r="AC37" i="7"/>
  <c r="AE13" i="7"/>
  <c r="AA13" i="7"/>
  <c r="BG18" i="7"/>
  <c r="BH18" i="7" s="1"/>
  <c r="AE18" i="7"/>
  <c r="AG37" i="7"/>
  <c r="AH37" i="7"/>
  <c r="AG44" i="7"/>
  <c r="AC21" i="7"/>
  <c r="BG16" i="7"/>
  <c r="BH16" i="7" s="1"/>
  <c r="AE16" i="7"/>
  <c r="AA16" i="7"/>
  <c r="AD53" i="7"/>
  <c r="AC53" i="7"/>
  <c r="AG46" i="7"/>
  <c r="W54" i="7"/>
  <c r="Z54" i="7" s="1"/>
  <c r="AA54" i="7"/>
  <c r="AG36" i="7"/>
  <c r="AG42" i="7"/>
  <c r="AC39" i="7"/>
  <c r="AG35" i="7"/>
  <c r="BG14" i="7"/>
  <c r="BH14" i="7" s="1"/>
  <c r="AE14" i="7"/>
  <c r="AA14" i="7"/>
  <c r="S27" i="7"/>
  <c r="BG19" i="7"/>
  <c r="BH19" i="7" s="1"/>
  <c r="AE19" i="7"/>
  <c r="BE22" i="7"/>
  <c r="BF22" i="7" s="1"/>
  <c r="AA22" i="7"/>
  <c r="AG32" i="7"/>
  <c r="AG38" i="7"/>
  <c r="AC41" i="7"/>
  <c r="AC35" i="7"/>
  <c r="AG21" i="7"/>
  <c r="AH34" i="7"/>
  <c r="AC38" i="7"/>
  <c r="AG45" i="7"/>
  <c r="BI35" i="7"/>
  <c r="BJ35" i="7" s="1"/>
  <c r="BG22" i="7"/>
  <c r="BH22" i="7" s="1"/>
  <c r="AE22" i="7"/>
  <c r="AH41" i="7"/>
  <c r="AG41" i="7"/>
  <c r="AH49" i="7"/>
  <c r="AG49" i="7"/>
  <c r="AC33" i="7"/>
  <c r="AC45" i="7"/>
  <c r="W27" i="7"/>
  <c r="S27" i="3"/>
  <c r="S25" i="3"/>
  <c r="Q25" i="3"/>
  <c r="Q27" i="3"/>
  <c r="T13" i="7"/>
  <c r="T25" i="7" s="1"/>
  <c r="L59" i="3"/>
  <c r="N24" i="3"/>
  <c r="O24" i="3" s="1"/>
  <c r="X13" i="7"/>
  <c r="X25" i="7" s="1"/>
  <c r="BI47" i="7"/>
  <c r="BJ47" i="7" s="1"/>
  <c r="BM49" i="7"/>
  <c r="BN49" i="7" s="1"/>
  <c r="BC20" i="7"/>
  <c r="BD20" i="7" s="1"/>
  <c r="W20" i="7"/>
  <c r="W26" i="7" s="1"/>
  <c r="Y16" i="7"/>
  <c r="W13" i="7"/>
  <c r="BC18" i="7"/>
  <c r="BD18" i="7" s="1"/>
  <c r="W18" i="7"/>
  <c r="Z15" i="7"/>
  <c r="BC19" i="7"/>
  <c r="BD19" i="7" s="1"/>
  <c r="W19" i="7"/>
  <c r="BC22" i="7"/>
  <c r="BD22" i="7" s="1"/>
  <c r="W22" i="7"/>
  <c r="W28" i="7" s="1"/>
  <c r="Y15" i="7"/>
  <c r="Z14" i="7"/>
  <c r="Y14" i="7"/>
  <c r="Z59" i="7" s="1"/>
  <c r="W12" i="7"/>
  <c r="Y53" i="7"/>
  <c r="S28" i="7"/>
  <c r="V28" i="7" s="1"/>
  <c r="M56" i="3"/>
  <c r="K10" i="4"/>
  <c r="V54" i="7"/>
  <c r="U32" i="7"/>
  <c r="U45" i="7"/>
  <c r="U46" i="7"/>
  <c r="U48" i="7"/>
  <c r="V41" i="7"/>
  <c r="U42" i="7"/>
  <c r="V42" i="7"/>
  <c r="U49" i="7"/>
  <c r="V34" i="7"/>
  <c r="N22" i="4"/>
  <c r="N11" i="4"/>
  <c r="F11" i="4"/>
  <c r="P10" i="4"/>
  <c r="H10" i="4"/>
  <c r="M26" i="4"/>
  <c r="U47" i="7"/>
  <c r="V37" i="7"/>
  <c r="V39" i="7"/>
  <c r="U33" i="7"/>
  <c r="V43" i="7"/>
  <c r="U36" i="7"/>
  <c r="M98" i="5"/>
  <c r="S17" i="7"/>
  <c r="N98" i="5"/>
  <c r="V31" i="7"/>
  <c r="U31" i="7"/>
  <c r="M96" i="5"/>
  <c r="K22" i="4"/>
  <c r="H98" i="5"/>
  <c r="I21" i="4" s="1"/>
  <c r="N7" i="4"/>
  <c r="O17" i="4"/>
  <c r="K11" i="4"/>
  <c r="M10" i="4"/>
  <c r="E10" i="4"/>
  <c r="V40" i="7"/>
  <c r="U40" i="7"/>
  <c r="U38" i="7"/>
  <c r="N96" i="5"/>
  <c r="G98" i="5"/>
  <c r="N17" i="4"/>
  <c r="P9" i="4"/>
  <c r="U14" i="7"/>
  <c r="V15" i="7"/>
  <c r="V18" i="7"/>
  <c r="U18" i="7"/>
  <c r="S53" i="7"/>
  <c r="S25" i="7"/>
  <c r="U54" i="7"/>
  <c r="V22" i="7"/>
  <c r="U15" i="7"/>
  <c r="S12" i="7"/>
  <c r="V16" i="7"/>
  <c r="U16" i="7"/>
  <c r="S26" i="7"/>
  <c r="V26" i="7" s="1"/>
  <c r="U20" i="7"/>
  <c r="U19" i="7"/>
  <c r="I22" i="4"/>
  <c r="H7" i="4"/>
  <c r="H96" i="5"/>
  <c r="I17" i="4"/>
  <c r="G10" i="4"/>
  <c r="G9" i="4"/>
  <c r="J26" i="4"/>
  <c r="J10" i="4"/>
  <c r="J9" i="4"/>
  <c r="Q32" i="7"/>
  <c r="K56" i="3"/>
  <c r="K7" i="4"/>
  <c r="P26" i="7"/>
  <c r="P28" i="7"/>
  <c r="R37" i="7"/>
  <c r="Q41" i="7"/>
  <c r="R43" i="7"/>
  <c r="R47" i="7"/>
  <c r="Q49" i="7"/>
  <c r="P53" i="7"/>
  <c r="K18" i="3"/>
  <c r="P13" i="7"/>
  <c r="E12" i="7"/>
  <c r="F58" i="7" s="1"/>
  <c r="R38" i="7"/>
  <c r="O12" i="7"/>
  <c r="Q12" i="7" s="1"/>
  <c r="BC14" i="7"/>
  <c r="BD14" i="7" s="1"/>
  <c r="K15" i="7"/>
  <c r="N15" i="7" s="1"/>
  <c r="K14" i="7"/>
  <c r="K13" i="7"/>
  <c r="BC16" i="7"/>
  <c r="BD16" i="7" s="1"/>
  <c r="J21" i="7"/>
  <c r="K12" i="7"/>
  <c r="M12" i="7" s="1"/>
  <c r="O13" i="7"/>
  <c r="BC15" i="7"/>
  <c r="BD15" i="7" s="1"/>
  <c r="O19" i="7"/>
  <c r="Q43" i="7"/>
  <c r="O15" i="7"/>
  <c r="O18" i="7"/>
  <c r="Q36" i="7"/>
  <c r="R36" i="7"/>
  <c r="Q42" i="7"/>
  <c r="R42" i="7"/>
  <c r="Q48" i="7"/>
  <c r="R48" i="7"/>
  <c r="O53" i="7"/>
  <c r="O54" i="7"/>
  <c r="R41" i="7"/>
  <c r="Q37" i="7"/>
  <c r="O16" i="7"/>
  <c r="O14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G96" i="5"/>
  <c r="I11" i="4"/>
  <c r="H11" i="4"/>
  <c r="I26" i="4"/>
  <c r="N97" i="5"/>
  <c r="M54" i="7"/>
  <c r="L98" i="5"/>
  <c r="L7" i="4"/>
  <c r="L96" i="5"/>
  <c r="J95" i="5"/>
  <c r="L97" i="5"/>
  <c r="M11" i="4"/>
  <c r="O10" i="4"/>
  <c r="I10" i="4"/>
  <c r="O9" i="4"/>
  <c r="I9" i="4"/>
  <c r="N26" i="4"/>
  <c r="G25" i="3"/>
  <c r="H26" i="7"/>
  <c r="I27" i="3"/>
  <c r="L28" i="7"/>
  <c r="F31" i="7"/>
  <c r="F38" i="7"/>
  <c r="F32" i="7"/>
  <c r="F44" i="7"/>
  <c r="F36" i="7"/>
  <c r="G27" i="3"/>
  <c r="H28" i="7"/>
  <c r="L22" i="4"/>
  <c r="K98" i="5"/>
  <c r="K96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7" i="4"/>
  <c r="G97" i="5"/>
  <c r="J98" i="5"/>
  <c r="D98" i="5"/>
  <c r="P7" i="4"/>
  <c r="J7" i="4"/>
  <c r="J96" i="5"/>
  <c r="N95" i="5"/>
  <c r="H95" i="5"/>
  <c r="J97" i="5"/>
  <c r="F26" i="4"/>
  <c r="I25" i="3"/>
  <c r="L26" i="7"/>
  <c r="E48" i="7"/>
  <c r="E32" i="7"/>
  <c r="M7" i="4"/>
  <c r="K95" i="5"/>
  <c r="M97" i="5"/>
  <c r="P22" i="4"/>
  <c r="J22" i="4"/>
  <c r="O98" i="5"/>
  <c r="P21" i="4" s="1"/>
  <c r="I98" i="5"/>
  <c r="C98" i="5"/>
  <c r="O7" i="4"/>
  <c r="I7" i="4"/>
  <c r="O96" i="5"/>
  <c r="I96" i="5"/>
  <c r="C96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E27" i="3"/>
  <c r="D28" i="7"/>
  <c r="BG54" i="7"/>
  <c r="BH54" i="7" s="1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J16" i="7"/>
  <c r="I16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G24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F59" i="7" s="1"/>
  <c r="J54" i="7"/>
  <c r="G27" i="7"/>
  <c r="G11" i="7"/>
  <c r="G19" i="7"/>
  <c r="G53" i="7"/>
  <c r="I53" i="7" s="1"/>
  <c r="K16" i="7"/>
  <c r="M16" i="7" s="1"/>
  <c r="K18" i="7"/>
  <c r="M18" i="7" s="1"/>
  <c r="K19" i="7"/>
  <c r="M19" i="7" s="1"/>
  <c r="G22" i="7"/>
  <c r="AY22" i="7" s="1"/>
  <c r="K20" i="7"/>
  <c r="M20" i="7" s="1"/>
  <c r="G26" i="7"/>
  <c r="C26" i="7"/>
  <c r="C17" i="7"/>
  <c r="C23" i="7" s="1"/>
  <c r="BC33" i="7"/>
  <c r="BD33" i="7" s="1"/>
  <c r="BE13" i="7"/>
  <c r="BF13" i="7" s="1"/>
  <c r="C24" i="7"/>
  <c r="C25" i="7"/>
  <c r="C29" i="7"/>
  <c r="BE36" i="7"/>
  <c r="BF36" i="7" s="1"/>
  <c r="BE48" i="7"/>
  <c r="BF48" i="7" s="1"/>
  <c r="C28" i="7"/>
  <c r="C27" i="7"/>
  <c r="BC40" i="7"/>
  <c r="BD40" i="7" s="1"/>
  <c r="G22" i="4"/>
  <c r="F98" i="5"/>
  <c r="H21" i="4" s="1"/>
  <c r="F7" i="4"/>
  <c r="F96" i="5"/>
  <c r="D95" i="5"/>
  <c r="G17" i="4"/>
  <c r="F97" i="5"/>
  <c r="G11" i="4"/>
  <c r="H26" i="4"/>
  <c r="F22" i="4"/>
  <c r="E98" i="5"/>
  <c r="E7" i="4"/>
  <c r="E96" i="5"/>
  <c r="F17" i="4"/>
  <c r="E97" i="5"/>
  <c r="H9" i="4"/>
  <c r="D96" i="5"/>
  <c r="D97" i="5"/>
  <c r="E95" i="5"/>
  <c r="E56" i="3"/>
  <c r="F95" i="5"/>
  <c r="BC36" i="7"/>
  <c r="BD36" i="7" s="1"/>
  <c r="BO42" i="7"/>
  <c r="BP42" i="7" s="1"/>
  <c r="BK47" i="7"/>
  <c r="BL47" i="7" s="1"/>
  <c r="BC48" i="7"/>
  <c r="BD48" i="7" s="1"/>
  <c r="BC13" i="7"/>
  <c r="BD13" i="7" s="1"/>
  <c r="BK32" i="7"/>
  <c r="BL32" i="7" s="1"/>
  <c r="BC32" i="7"/>
  <c r="BD32" i="7" s="1"/>
  <c r="BE33" i="7"/>
  <c r="BF33" i="7" s="1"/>
  <c r="BK13" i="7"/>
  <c r="BL13" i="7" s="1"/>
  <c r="BG41" i="7"/>
  <c r="BH41" i="7" s="1"/>
  <c r="BC12" i="7"/>
  <c r="BD12" i="7" s="1"/>
  <c r="BK12" i="7"/>
  <c r="BL12" i="7" s="1"/>
  <c r="BM13" i="7"/>
  <c r="BN13" i="7" s="1"/>
  <c r="BC31" i="7"/>
  <c r="BD31" i="7" s="1"/>
  <c r="BK31" i="7"/>
  <c r="BL31" i="7" s="1"/>
  <c r="BE32" i="7"/>
  <c r="BF32" i="7" s="1"/>
  <c r="BM32" i="7"/>
  <c r="BN32" i="7" s="1"/>
  <c r="BG33" i="7"/>
  <c r="BH33" i="7" s="1"/>
  <c r="BO33" i="7"/>
  <c r="BP33" i="7" s="1"/>
  <c r="BI12" i="7"/>
  <c r="BJ12" i="7" s="1"/>
  <c r="BI31" i="7"/>
  <c r="BJ31" i="7" s="1"/>
  <c r="BE12" i="7"/>
  <c r="BF12" i="7" s="1"/>
  <c r="BM12" i="7"/>
  <c r="BN12" i="7" s="1"/>
  <c r="BG13" i="7"/>
  <c r="BH13" i="7" s="1"/>
  <c r="BO13" i="7"/>
  <c r="BP13" i="7" s="1"/>
  <c r="BE31" i="7"/>
  <c r="BF31" i="7" s="1"/>
  <c r="BM31" i="7"/>
  <c r="BN31" i="7" s="1"/>
  <c r="BG32" i="7"/>
  <c r="BH32" i="7" s="1"/>
  <c r="BO32" i="7"/>
  <c r="BP32" i="7" s="1"/>
  <c r="BI33" i="7"/>
  <c r="BJ33" i="7" s="1"/>
  <c r="BC34" i="7"/>
  <c r="BD34" i="7" s="1"/>
  <c r="BK34" i="7"/>
  <c r="BL34" i="7" s="1"/>
  <c r="BE35" i="7"/>
  <c r="BF35" i="7" s="1"/>
  <c r="BM35" i="7"/>
  <c r="BN35" i="7" s="1"/>
  <c r="BG36" i="7"/>
  <c r="BH36" i="7" s="1"/>
  <c r="BO36" i="7"/>
  <c r="BP36" i="7" s="1"/>
  <c r="BI37" i="7"/>
  <c r="BJ37" i="7" s="1"/>
  <c r="BC38" i="7"/>
  <c r="BD38" i="7" s="1"/>
  <c r="BK38" i="7"/>
  <c r="BL38" i="7" s="1"/>
  <c r="BE39" i="7"/>
  <c r="BF39" i="7" s="1"/>
  <c r="BM39" i="7"/>
  <c r="BN39" i="7" s="1"/>
  <c r="BG40" i="7"/>
  <c r="BH40" i="7" s="1"/>
  <c r="BO40" i="7"/>
  <c r="BP40" i="7" s="1"/>
  <c r="BI41" i="7"/>
  <c r="BJ41" i="7" s="1"/>
  <c r="BC42" i="7"/>
  <c r="BD42" i="7" s="1"/>
  <c r="BK42" i="7"/>
  <c r="BL42" i="7" s="1"/>
  <c r="BE43" i="7"/>
  <c r="BF43" i="7" s="1"/>
  <c r="BM43" i="7"/>
  <c r="BN43" i="7" s="1"/>
  <c r="BG44" i="7"/>
  <c r="BH44" i="7" s="1"/>
  <c r="BO44" i="7"/>
  <c r="BP44" i="7" s="1"/>
  <c r="BI45" i="7"/>
  <c r="BJ45" i="7" s="1"/>
  <c r="BC46" i="7"/>
  <c r="BD46" i="7" s="1"/>
  <c r="BK46" i="7"/>
  <c r="BL46" i="7" s="1"/>
  <c r="BE47" i="7"/>
  <c r="BF47" i="7" s="1"/>
  <c r="BM47" i="7"/>
  <c r="BN47" i="7" s="1"/>
  <c r="BG48" i="7"/>
  <c r="BH48" i="7" s="1"/>
  <c r="BO48" i="7"/>
  <c r="BP48" i="7" s="1"/>
  <c r="BI49" i="7"/>
  <c r="BJ49" i="7" s="1"/>
  <c r="BK53" i="7"/>
  <c r="BL53" i="7" s="1"/>
  <c r="BK54" i="7"/>
  <c r="BL54" i="7" s="1"/>
  <c r="BG12" i="7"/>
  <c r="BH12" i="7" s="1"/>
  <c r="BO12" i="7"/>
  <c r="BP12" i="7" s="1"/>
  <c r="BI13" i="7"/>
  <c r="BJ13" i="7" s="1"/>
  <c r="BG31" i="7"/>
  <c r="BH31" i="7" s="1"/>
  <c r="BO31" i="7"/>
  <c r="BP31" i="7" s="1"/>
  <c r="BI32" i="7"/>
  <c r="BJ32" i="7" s="1"/>
  <c r="BK33" i="7"/>
  <c r="BL33" i="7" s="1"/>
  <c r="BE34" i="7"/>
  <c r="BF34" i="7" s="1"/>
  <c r="BM34" i="7"/>
  <c r="BN34" i="7" s="1"/>
  <c r="BG35" i="7"/>
  <c r="BH35" i="7" s="1"/>
  <c r="BO35" i="7"/>
  <c r="BP35" i="7" s="1"/>
  <c r="BI36" i="7"/>
  <c r="BJ36" i="7" s="1"/>
  <c r="BC37" i="7"/>
  <c r="BD37" i="7" s="1"/>
  <c r="BK37" i="7"/>
  <c r="BL37" i="7" s="1"/>
  <c r="BE38" i="7"/>
  <c r="BF38" i="7" s="1"/>
  <c r="BM38" i="7"/>
  <c r="BN38" i="7" s="1"/>
  <c r="BG39" i="7"/>
  <c r="BH39" i="7" s="1"/>
  <c r="BO39" i="7"/>
  <c r="BP39" i="7" s="1"/>
  <c r="BI40" i="7"/>
  <c r="BJ40" i="7" s="1"/>
  <c r="BC41" i="7"/>
  <c r="BD41" i="7" s="1"/>
  <c r="BK41" i="7"/>
  <c r="BL41" i="7" s="1"/>
  <c r="BE42" i="7"/>
  <c r="BF42" i="7" s="1"/>
  <c r="BM42" i="7"/>
  <c r="BN42" i="7" s="1"/>
  <c r="BG43" i="7"/>
  <c r="BH43" i="7" s="1"/>
  <c r="BO43" i="7"/>
  <c r="BP43" i="7" s="1"/>
  <c r="BI44" i="7"/>
  <c r="BJ44" i="7" s="1"/>
  <c r="BC45" i="7"/>
  <c r="BD45" i="7" s="1"/>
  <c r="BK45" i="7"/>
  <c r="BL45" i="7" s="1"/>
  <c r="BE46" i="7"/>
  <c r="BF46" i="7" s="1"/>
  <c r="BM46" i="7"/>
  <c r="BN46" i="7" s="1"/>
  <c r="BG47" i="7"/>
  <c r="BH47" i="7" s="1"/>
  <c r="BO47" i="7"/>
  <c r="BP47" i="7" s="1"/>
  <c r="BI48" i="7"/>
  <c r="BJ48" i="7" s="1"/>
  <c r="BC49" i="7"/>
  <c r="BD49" i="7" s="1"/>
  <c r="BK49" i="7"/>
  <c r="BL49" i="7" s="1"/>
  <c r="BE53" i="7"/>
  <c r="BF53" i="7" s="1"/>
  <c r="BM53" i="7"/>
  <c r="BN53" i="7" s="1"/>
  <c r="BE54" i="7"/>
  <c r="BF54" i="7" s="1"/>
  <c r="BM54" i="7"/>
  <c r="BN54" i="7" s="1"/>
  <c r="BM33" i="7"/>
  <c r="BN33" i="7" s="1"/>
  <c r="BG34" i="7"/>
  <c r="BH34" i="7" s="1"/>
  <c r="BO34" i="7"/>
  <c r="BP34" i="7" s="1"/>
  <c r="BK36" i="7"/>
  <c r="BL36" i="7" s="1"/>
  <c r="BE37" i="7"/>
  <c r="BF37" i="7" s="1"/>
  <c r="BM37" i="7"/>
  <c r="BN37" i="7" s="1"/>
  <c r="BG38" i="7"/>
  <c r="BH38" i="7" s="1"/>
  <c r="BO38" i="7"/>
  <c r="BP38" i="7" s="1"/>
  <c r="BI39" i="7"/>
  <c r="BJ39" i="7" s="1"/>
  <c r="BK40" i="7"/>
  <c r="BL40" i="7" s="1"/>
  <c r="BE41" i="7"/>
  <c r="BF41" i="7" s="1"/>
  <c r="BM41" i="7"/>
  <c r="BN41" i="7" s="1"/>
  <c r="BG42" i="7"/>
  <c r="BH42" i="7" s="1"/>
  <c r="BI43" i="7"/>
  <c r="BJ43" i="7" s="1"/>
  <c r="BC44" i="7"/>
  <c r="BD44" i="7" s="1"/>
  <c r="BK44" i="7"/>
  <c r="BL44" i="7" s="1"/>
  <c r="BE45" i="7"/>
  <c r="BF45" i="7" s="1"/>
  <c r="BM45" i="7"/>
  <c r="BN45" i="7" s="1"/>
  <c r="BG46" i="7"/>
  <c r="BH46" i="7" s="1"/>
  <c r="BO46" i="7"/>
  <c r="BP46" i="7" s="1"/>
  <c r="BK48" i="7"/>
  <c r="BL48" i="7" s="1"/>
  <c r="BE49" i="7"/>
  <c r="BF49" i="7" s="1"/>
  <c r="BO53" i="7"/>
  <c r="BP53" i="7" s="1"/>
  <c r="BO54" i="7"/>
  <c r="BP54" i="7" s="1"/>
  <c r="BI34" i="7"/>
  <c r="BJ34" i="7" s="1"/>
  <c r="BC35" i="7"/>
  <c r="BD35" i="7" s="1"/>
  <c r="BK35" i="7"/>
  <c r="BL35" i="7" s="1"/>
  <c r="BM36" i="7"/>
  <c r="BN36" i="7" s="1"/>
  <c r="BG37" i="7"/>
  <c r="BH37" i="7" s="1"/>
  <c r="BO37" i="7"/>
  <c r="BP37" i="7" s="1"/>
  <c r="BI38" i="7"/>
  <c r="BJ38" i="7" s="1"/>
  <c r="BC39" i="7"/>
  <c r="BD39" i="7" s="1"/>
  <c r="BK39" i="7"/>
  <c r="BL39" i="7" s="1"/>
  <c r="BE40" i="7"/>
  <c r="BF40" i="7" s="1"/>
  <c r="BM40" i="7"/>
  <c r="BN40" i="7" s="1"/>
  <c r="BO41" i="7"/>
  <c r="BP41" i="7" s="1"/>
  <c r="BI42" i="7"/>
  <c r="BJ42" i="7" s="1"/>
  <c r="BC43" i="7"/>
  <c r="BD43" i="7" s="1"/>
  <c r="BK43" i="7"/>
  <c r="BL43" i="7" s="1"/>
  <c r="BE44" i="7"/>
  <c r="BF44" i="7" s="1"/>
  <c r="BM44" i="7"/>
  <c r="BN44" i="7" s="1"/>
  <c r="BG45" i="7"/>
  <c r="BH45" i="7" s="1"/>
  <c r="BO45" i="7"/>
  <c r="BP45" i="7" s="1"/>
  <c r="BI46" i="7"/>
  <c r="BJ46" i="7" s="1"/>
  <c r="BC47" i="7"/>
  <c r="BD47" i="7" s="1"/>
  <c r="BM48" i="7"/>
  <c r="BN48" i="7" s="1"/>
  <c r="BG49" i="7"/>
  <c r="BH49" i="7" s="1"/>
  <c r="BO49" i="7"/>
  <c r="BP49" i="7" s="1"/>
  <c r="BI53" i="7"/>
  <c r="BJ53" i="7" s="1"/>
  <c r="BC54" i="7"/>
  <c r="BD54" i="7" s="1"/>
  <c r="BC53" i="7"/>
  <c r="BD53" i="7" s="1"/>
  <c r="BG53" i="7"/>
  <c r="BH53" i="7" s="1"/>
  <c r="BI54" i="7"/>
  <c r="BJ54" i="7" s="1"/>
  <c r="AU17" i="7"/>
  <c r="G30" i="7"/>
  <c r="AI30" i="7"/>
  <c r="AQ30" i="7"/>
  <c r="AQ29" i="7" s="1"/>
  <c r="BK30" i="7"/>
  <c r="BL30" i="7" s="1"/>
  <c r="AM11" i="7"/>
  <c r="W30" i="7"/>
  <c r="AA18" i="3"/>
  <c r="U24" i="3"/>
  <c r="U17" i="3"/>
  <c r="AA24" i="3"/>
  <c r="AA17" i="3"/>
  <c r="P24" i="3"/>
  <c r="BE25" i="7" s="1"/>
  <c r="BF25" i="7" s="1"/>
  <c r="Q18" i="3"/>
  <c r="J24" i="3"/>
  <c r="V24" i="3"/>
  <c r="BK25" i="7" s="1"/>
  <c r="BL25" i="7" s="1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BM25" i="7" s="1"/>
  <c r="BN25" i="7" s="1"/>
  <c r="Y18" i="3"/>
  <c r="S23" i="3"/>
  <c r="Y17" i="3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Z28" i="3"/>
  <c r="AV29" i="7" s="1"/>
  <c r="P23" i="3"/>
  <c r="BE24" i="7" s="1"/>
  <c r="BF24" i="7" s="1"/>
  <c r="T23" i="3"/>
  <c r="BI24" i="7" s="1"/>
  <c r="BJ24" i="7" s="1"/>
  <c r="J23" i="3"/>
  <c r="V23" i="3"/>
  <c r="BK24" i="7" s="1"/>
  <c r="BL24" i="7" s="1"/>
  <c r="O20" i="1"/>
  <c r="O21" i="1"/>
  <c r="O22" i="1"/>
  <c r="N44" i="1"/>
  <c r="N15" i="1"/>
  <c r="Z16" i="3" s="1"/>
  <c r="AV17" i="7" s="1"/>
  <c r="N8" i="1"/>
  <c r="AY54" i="7" l="1"/>
  <c r="BA39" i="7"/>
  <c r="N21" i="4"/>
  <c r="AG53" i="7"/>
  <c r="N108" i="6"/>
  <c r="AZ26" i="7"/>
  <c r="BA35" i="7"/>
  <c r="I18" i="4"/>
  <c r="H18" i="4"/>
  <c r="AZ53" i="7"/>
  <c r="AZ13" i="7"/>
  <c r="BO30" i="7"/>
  <c r="BP30" i="7" s="1"/>
  <c r="AU30" i="7"/>
  <c r="AV23" i="7"/>
  <c r="AW17" i="7"/>
  <c r="AZ28" i="7"/>
  <c r="AT30" i="7"/>
  <c r="AV25" i="7"/>
  <c r="AX13" i="7"/>
  <c r="AW13" i="7"/>
  <c r="AS30" i="7"/>
  <c r="AT63" i="7" s="1"/>
  <c r="AU11" i="7"/>
  <c r="AQ11" i="7"/>
  <c r="AQ23" i="7" s="1"/>
  <c r="AQ51" i="7" s="1"/>
  <c r="AQ55" i="7" s="1"/>
  <c r="W24" i="3"/>
  <c r="AX17" i="7"/>
  <c r="AY14" i="7"/>
  <c r="BB14" i="7" s="1"/>
  <c r="AY13" i="7"/>
  <c r="AY19" i="7"/>
  <c r="BA19" i="7" s="1"/>
  <c r="AY16" i="7"/>
  <c r="BA16" i="7" s="1"/>
  <c r="AY12" i="7"/>
  <c r="BA12" i="7" s="1"/>
  <c r="AY20" i="7"/>
  <c r="BA20" i="7" s="1"/>
  <c r="AY15" i="7"/>
  <c r="BB15" i="7" s="1"/>
  <c r="AY18" i="7"/>
  <c r="BA18" i="7" s="1"/>
  <c r="AW54" i="7"/>
  <c r="AX54" i="7"/>
  <c r="AX53" i="7"/>
  <c r="AW53" i="7"/>
  <c r="AY53" i="7"/>
  <c r="Z26" i="3"/>
  <c r="BO27" i="7" s="1"/>
  <c r="BP27" i="7" s="1"/>
  <c r="AA20" i="3"/>
  <c r="AS29" i="7"/>
  <c r="AT29" i="7"/>
  <c r="Z4" i="3"/>
  <c r="AT13" i="7"/>
  <c r="AS13" i="7"/>
  <c r="AR25" i="7"/>
  <c r="Y24" i="3"/>
  <c r="X59" i="3"/>
  <c r="AR11" i="7"/>
  <c r="P13" i="4"/>
  <c r="O13" i="4"/>
  <c r="BA41" i="7"/>
  <c r="BA22" i="7"/>
  <c r="O21" i="4"/>
  <c r="O18" i="4" s="1"/>
  <c r="AM30" i="7"/>
  <c r="AP11" i="7"/>
  <c r="AO11" i="7"/>
  <c r="AM23" i="7"/>
  <c r="BA44" i="7"/>
  <c r="BA47" i="7"/>
  <c r="BA40" i="7"/>
  <c r="T11" i="7"/>
  <c r="W23" i="3"/>
  <c r="L15" i="4"/>
  <c r="L14" i="4" s="1"/>
  <c r="N18" i="4"/>
  <c r="K21" i="4"/>
  <c r="K18" i="4" s="1"/>
  <c r="BA38" i="7"/>
  <c r="BA49" i="7"/>
  <c r="P18" i="4"/>
  <c r="E12" i="4"/>
  <c r="M21" i="4"/>
  <c r="M18" i="4" s="1"/>
  <c r="X11" i="7"/>
  <c r="N59" i="3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Y54" i="7"/>
  <c r="BA45" i="7"/>
  <c r="BA42" i="7"/>
  <c r="V25" i="7"/>
  <c r="BA43" i="7"/>
  <c r="BA34" i="7"/>
  <c r="BG25" i="7"/>
  <c r="BH25" i="7" s="1"/>
  <c r="AF25" i="7"/>
  <c r="BI11" i="7"/>
  <c r="BJ11" i="7" s="1"/>
  <c r="V13" i="7"/>
  <c r="U23" i="3"/>
  <c r="F21" i="4"/>
  <c r="F18" i="4" s="1"/>
  <c r="J21" i="4"/>
  <c r="J18" i="4" s="1"/>
  <c r="AG19" i="7"/>
  <c r="AH19" i="7"/>
  <c r="AC13" i="7"/>
  <c r="AD13" i="7"/>
  <c r="AA25" i="7"/>
  <c r="AE11" i="7"/>
  <c r="AE25" i="7"/>
  <c r="AH13" i="7"/>
  <c r="AG13" i="7"/>
  <c r="AE17" i="7"/>
  <c r="AH20" i="7"/>
  <c r="AG20" i="7"/>
  <c r="AD12" i="7"/>
  <c r="AC12" i="7"/>
  <c r="AA24" i="7"/>
  <c r="AA11" i="7"/>
  <c r="AC19" i="7"/>
  <c r="AD19" i="7"/>
  <c r="AH12" i="7"/>
  <c r="AG12" i="7"/>
  <c r="AE24" i="7"/>
  <c r="BE30" i="7"/>
  <c r="BF30" i="7" s="1"/>
  <c r="AA30" i="7"/>
  <c r="AC54" i="7"/>
  <c r="AD54" i="7"/>
  <c r="AD15" i="7"/>
  <c r="AC15" i="7"/>
  <c r="AA27" i="7"/>
  <c r="BG30" i="7"/>
  <c r="BH30" i="7" s="1"/>
  <c r="AE30" i="7"/>
  <c r="BC25" i="7"/>
  <c r="BD25" i="7" s="1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H59" i="7" s="1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X29" i="7"/>
  <c r="AZ29" i="7" s="1"/>
  <c r="I24" i="3"/>
  <c r="S24" i="3"/>
  <c r="K27" i="7"/>
  <c r="Y28" i="7"/>
  <c r="Z28" i="7"/>
  <c r="Z26" i="7"/>
  <c r="Y26" i="7"/>
  <c r="Z22" i="7"/>
  <c r="Y22" i="7"/>
  <c r="BC24" i="7"/>
  <c r="BD24" i="7" s="1"/>
  <c r="Z18" i="7"/>
  <c r="Y18" i="7"/>
  <c r="Z30" i="7"/>
  <c r="W29" i="7"/>
  <c r="Y30" i="7"/>
  <c r="Y29" i="7" s="1"/>
  <c r="Y20" i="7"/>
  <c r="Z20" i="7"/>
  <c r="M15" i="7"/>
  <c r="Y12" i="7"/>
  <c r="W24" i="7"/>
  <c r="W11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BC26" i="7"/>
  <c r="BD26" i="7" s="1"/>
  <c r="F15" i="4"/>
  <c r="F14" i="4" s="1"/>
  <c r="H15" i="4"/>
  <c r="H14" i="4" s="1"/>
  <c r="O12" i="4"/>
  <c r="M13" i="4"/>
  <c r="U26" i="7"/>
  <c r="V53" i="7"/>
  <c r="U53" i="7"/>
  <c r="S30" i="7"/>
  <c r="U25" i="7"/>
  <c r="U12" i="7"/>
  <c r="S11" i="7"/>
  <c r="S24" i="7"/>
  <c r="V12" i="7"/>
  <c r="N13" i="7"/>
  <c r="M14" i="7"/>
  <c r="N14" i="7"/>
  <c r="F29" i="7"/>
  <c r="M24" i="3"/>
  <c r="J13" i="4"/>
  <c r="M13" i="7"/>
  <c r="P24" i="7"/>
  <c r="P25" i="7"/>
  <c r="E13" i="4"/>
  <c r="N12" i="7"/>
  <c r="P15" i="4"/>
  <c r="P14" i="4" s="1"/>
  <c r="K15" i="4"/>
  <c r="K14" i="4" s="1"/>
  <c r="J12" i="4"/>
  <c r="P12" i="4"/>
  <c r="N12" i="4"/>
  <c r="BC28" i="7"/>
  <c r="BD28" i="7" s="1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O30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J15" i="4"/>
  <c r="J14" i="4" s="1"/>
  <c r="L13" i="4"/>
  <c r="O15" i="4"/>
  <c r="O14" i="4" s="1"/>
  <c r="E11" i="7"/>
  <c r="H12" i="4"/>
  <c r="BC11" i="7"/>
  <c r="BD11" i="7" s="1"/>
  <c r="L12" i="4"/>
  <c r="I12" i="4"/>
  <c r="L21" i="4"/>
  <c r="L18" i="4" s="1"/>
  <c r="BM11" i="7"/>
  <c r="BN11" i="7" s="1"/>
  <c r="I26" i="7"/>
  <c r="BB45" i="7"/>
  <c r="BB41" i="7"/>
  <c r="BB37" i="7"/>
  <c r="BB33" i="7"/>
  <c r="BB36" i="7"/>
  <c r="I30" i="7"/>
  <c r="I29" i="7" s="1"/>
  <c r="BK11" i="7"/>
  <c r="BL11" i="7" s="1"/>
  <c r="J11" i="7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BO11" i="7"/>
  <c r="BP11" i="7" s="1"/>
  <c r="I19" i="7"/>
  <c r="BB47" i="7"/>
  <c r="BB43" i="7"/>
  <c r="BB34" i="7"/>
  <c r="I11" i="7"/>
  <c r="N20" i="7"/>
  <c r="G28" i="7"/>
  <c r="J22" i="7"/>
  <c r="K25" i="7"/>
  <c r="M25" i="7" s="1"/>
  <c r="N19" i="7"/>
  <c r="F28" i="7"/>
  <c r="E28" i="7"/>
  <c r="G25" i="7"/>
  <c r="J19" i="7"/>
  <c r="K24" i="7"/>
  <c r="M24" i="7" s="1"/>
  <c r="N18" i="7"/>
  <c r="E29" i="7"/>
  <c r="G29" i="7"/>
  <c r="J30" i="7"/>
  <c r="F53" i="7"/>
  <c r="E53" i="7"/>
  <c r="F26" i="7"/>
  <c r="E26" i="7"/>
  <c r="K28" i="7"/>
  <c r="M28" i="7" s="1"/>
  <c r="N16" i="7"/>
  <c r="J26" i="7"/>
  <c r="J53" i="7"/>
  <c r="K17" i="7"/>
  <c r="K30" i="7"/>
  <c r="M30" i="7" s="1"/>
  <c r="M29" i="7" s="1"/>
  <c r="K26" i="7"/>
  <c r="M26" i="7" s="1"/>
  <c r="G17" i="7"/>
  <c r="K11" i="7"/>
  <c r="I23" i="3"/>
  <c r="G12" i="4"/>
  <c r="F12" i="4"/>
  <c r="F13" i="4"/>
  <c r="Z57" i="3"/>
  <c r="BO21" i="7"/>
  <c r="BP21" i="7" s="1"/>
  <c r="BM30" i="7"/>
  <c r="BN30" i="7" s="1"/>
  <c r="BC30" i="7"/>
  <c r="BD30" i="7" s="1"/>
  <c r="BI30" i="7"/>
  <c r="BJ30" i="7" s="1"/>
  <c r="BO17" i="7"/>
  <c r="BP17" i="7" s="1"/>
  <c r="AM29" i="7"/>
  <c r="AP29" i="7" s="1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N45" i="1" s="1"/>
  <c r="N56" i="1" s="1"/>
  <c r="N62" i="1" s="1"/>
  <c r="O108" i="6" l="1"/>
  <c r="AY11" i="7"/>
  <c r="BA53" i="7"/>
  <c r="BA14" i="7"/>
  <c r="AA57" i="3"/>
  <c r="Z58" i="3"/>
  <c r="AA58" i="3" s="1"/>
  <c r="AX11" i="7"/>
  <c r="AU23" i="7"/>
  <c r="AW11" i="7"/>
  <c r="AV51" i="7"/>
  <c r="AW23" i="7"/>
  <c r="AU29" i="7"/>
  <c r="AA26" i="3"/>
  <c r="AX30" i="7"/>
  <c r="AW30" i="7"/>
  <c r="AX63" i="7" s="1"/>
  <c r="AY25" i="7"/>
  <c r="AX25" i="7"/>
  <c r="AW25" i="7"/>
  <c r="AY28" i="7"/>
  <c r="BA28" i="7" s="1"/>
  <c r="AY27" i="7"/>
  <c r="AY30" i="7"/>
  <c r="BA30" i="7" s="1"/>
  <c r="AY26" i="7"/>
  <c r="BA26" i="7" s="1"/>
  <c r="AY17" i="7"/>
  <c r="AY24" i="7"/>
  <c r="AS11" i="7"/>
  <c r="AT11" i="7"/>
  <c r="Z11" i="7"/>
  <c r="AS25" i="7"/>
  <c r="AT25" i="7"/>
  <c r="V11" i="7"/>
  <c r="AP30" i="7"/>
  <c r="AO30" i="7"/>
  <c r="AP63" i="7" s="1"/>
  <c r="AM51" i="7"/>
  <c r="AO29" i="7"/>
  <c r="BA13" i="7"/>
  <c r="BB12" i="7"/>
  <c r="Z29" i="7"/>
  <c r="AK25" i="7"/>
  <c r="AL25" i="7"/>
  <c r="BI29" i="7"/>
  <c r="BJ29" i="7" s="1"/>
  <c r="AI29" i="7"/>
  <c r="AK29" i="7"/>
  <c r="AK51" i="7" s="1"/>
  <c r="AK55" i="7" s="1"/>
  <c r="AC11" i="7"/>
  <c r="BG29" i="7"/>
  <c r="BH29" i="7" s="1"/>
  <c r="AE29" i="7"/>
  <c r="AH29" i="7" s="1"/>
  <c r="AH26" i="7"/>
  <c r="AG26" i="7"/>
  <c r="AD26" i="7"/>
  <c r="AC26" i="7"/>
  <c r="AH58" i="7"/>
  <c r="AG11" i="7"/>
  <c r="BA15" i="7"/>
  <c r="BA54" i="7"/>
  <c r="AD25" i="7"/>
  <c r="AC25" i="7"/>
  <c r="AG17" i="7"/>
  <c r="AH30" i="7"/>
  <c r="AG30" i="7"/>
  <c r="AD28" i="7"/>
  <c r="AC28" i="7"/>
  <c r="AD30" i="7"/>
  <c r="AA29" i="7"/>
  <c r="AD29" i="7" s="1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Z58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G23" i="7"/>
  <c r="BB16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I23" i="7" s="1"/>
  <c r="I51" i="7" s="1"/>
  <c r="BB20" i="7"/>
  <c r="K29" i="7"/>
  <c r="N30" i="7"/>
  <c r="N24" i="7"/>
  <c r="J28" i="7"/>
  <c r="N25" i="7"/>
  <c r="C51" i="7"/>
  <c r="N28" i="7"/>
  <c r="J29" i="7"/>
  <c r="N26" i="7"/>
  <c r="K23" i="7"/>
  <c r="BO29" i="7"/>
  <c r="BP29" i="7" s="1"/>
  <c r="N64" i="1"/>
  <c r="P6" i="4"/>
  <c r="P5" i="4" s="1"/>
  <c r="P24" i="4" s="1"/>
  <c r="P27" i="4" s="1"/>
  <c r="BO23" i="7"/>
  <c r="BP23" i="7" s="1"/>
  <c r="BE29" i="7"/>
  <c r="BF29" i="7" s="1"/>
  <c r="BK29" i="7"/>
  <c r="BL29" i="7" s="1"/>
  <c r="BM29" i="7"/>
  <c r="BN29" i="7" s="1"/>
  <c r="BC29" i="7"/>
  <c r="BD29" i="7" s="1"/>
  <c r="Z3" i="3"/>
  <c r="Z50" i="3"/>
  <c r="AA50" i="3" s="1"/>
  <c r="I44" i="1"/>
  <c r="P4" i="3" s="1"/>
  <c r="J44" i="1"/>
  <c r="R4" i="3" s="1"/>
  <c r="K44" i="1"/>
  <c r="T4" i="3" s="1"/>
  <c r="L44" i="1"/>
  <c r="V4" i="3" s="1"/>
  <c r="M44" i="1"/>
  <c r="X4" i="3" s="1"/>
  <c r="P108" i="6" l="1"/>
  <c r="AV55" i="7"/>
  <c r="AX23" i="7"/>
  <c r="AU51" i="7"/>
  <c r="AY29" i="7"/>
  <c r="BB29" i="7" s="1"/>
  <c r="AX29" i="7"/>
  <c r="AW29" i="7"/>
  <c r="AY23" i="7"/>
  <c r="C52" i="7"/>
  <c r="AM55" i="7"/>
  <c r="AL29" i="7"/>
  <c r="AI51" i="7"/>
  <c r="AG23" i="7"/>
  <c r="AC23" i="7"/>
  <c r="AC51" i="7" s="1"/>
  <c r="AC55" i="7" s="1"/>
  <c r="AE51" i="7"/>
  <c r="AH63" i="7"/>
  <c r="AG29" i="7"/>
  <c r="AA51" i="7"/>
  <c r="G51" i="7"/>
  <c r="W51" i="7"/>
  <c r="S51" i="7"/>
  <c r="O51" i="7"/>
  <c r="Q23" i="7"/>
  <c r="Q51" i="7" s="1"/>
  <c r="I52" i="7"/>
  <c r="I55" i="7"/>
  <c r="I56" i="7" s="1"/>
  <c r="BB28" i="7"/>
  <c r="BB30" i="7"/>
  <c r="M55" i="7"/>
  <c r="M56" i="7" s="1"/>
  <c r="M52" i="7"/>
  <c r="BB26" i="7"/>
  <c r="K51" i="7"/>
  <c r="K55" i="7" s="1"/>
  <c r="C55" i="7"/>
  <c r="N29" i="7"/>
  <c r="BO51" i="7"/>
  <c r="BP51" i="7" s="1"/>
  <c r="Z54" i="3"/>
  <c r="Z5" i="3"/>
  <c r="O19" i="1"/>
  <c r="Q108" i="6" l="1"/>
  <c r="BA29" i="7"/>
  <c r="AX51" i="7"/>
  <c r="AU55" i="7"/>
  <c r="AX55" i="7" s="1"/>
  <c r="AW55" i="7"/>
  <c r="AW51" i="7"/>
  <c r="AY51" i="7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Z6" i="3"/>
  <c r="AA54" i="3"/>
  <c r="AG51" i="7"/>
  <c r="AG55" i="7" s="1"/>
  <c r="AI55" i="7"/>
  <c r="AA55" i="7"/>
  <c r="AE55" i="7"/>
  <c r="G55" i="7"/>
  <c r="W55" i="7"/>
  <c r="S55" i="7"/>
  <c r="Q55" i="7"/>
  <c r="Q52" i="7"/>
  <c r="O55" i="7"/>
  <c r="C56" i="7"/>
  <c r="BO55" i="7"/>
  <c r="BP55" i="7" s="1"/>
  <c r="R108" i="6" l="1"/>
  <c r="S108" i="6"/>
  <c r="T108" i="6" s="1"/>
  <c r="U108" i="6" s="1"/>
  <c r="V108" i="6" s="1"/>
  <c r="W108" i="6" s="1"/>
  <c r="X108" i="6" s="1"/>
  <c r="Y108" i="6" s="1"/>
  <c r="Z108" i="6" s="1"/>
  <c r="AY55" i="7"/>
  <c r="G56" i="7"/>
  <c r="K56" i="7" s="1"/>
  <c r="O56" i="7" l="1"/>
  <c r="S56" i="7" l="1"/>
  <c r="W56" i="7" s="1"/>
  <c r="AA56" i="7" s="1"/>
  <c r="D44" i="1"/>
  <c r="F4" i="3" s="1"/>
  <c r="E44" i="1"/>
  <c r="H4" i="3" s="1"/>
  <c r="F44" i="1"/>
  <c r="J4" i="3" s="1"/>
  <c r="G44" i="1"/>
  <c r="L4" i="3" s="1"/>
  <c r="H44" i="1"/>
  <c r="N4" i="3" s="1"/>
  <c r="C44" i="1"/>
  <c r="D4" i="3" s="1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D8" i="1"/>
  <c r="F10" i="3" s="1"/>
  <c r="E8" i="1"/>
  <c r="F8" i="1"/>
  <c r="G8" i="1"/>
  <c r="L2" i="3" s="1"/>
  <c r="H8" i="1"/>
  <c r="N2" i="3" s="1"/>
  <c r="I8" i="1"/>
  <c r="P10" i="3" s="1"/>
  <c r="P59" i="3" s="1"/>
  <c r="J8" i="1"/>
  <c r="K8" i="1"/>
  <c r="T2" i="3" s="1"/>
  <c r="L8" i="1"/>
  <c r="V2" i="3" s="1"/>
  <c r="M8" i="1"/>
  <c r="X2" i="3" s="1"/>
  <c r="C8" i="1"/>
  <c r="D10" i="3" s="1"/>
  <c r="D11" i="7" s="1"/>
  <c r="Y16" i="3" l="1"/>
  <c r="AR17" i="7"/>
  <c r="W16" i="3"/>
  <c r="AN17" i="7"/>
  <c r="F11" i="7"/>
  <c r="U16" i="3"/>
  <c r="AJ17" i="7"/>
  <c r="R10" i="3"/>
  <c r="R59" i="3" s="1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BE11" i="7"/>
  <c r="BF11" i="7" s="1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5" i="1" s="1"/>
  <c r="I56" i="1" s="1"/>
  <c r="I62" i="1" s="1"/>
  <c r="K6" i="4" s="1"/>
  <c r="K5" i="4" s="1"/>
  <c r="K24" i="4" s="1"/>
  <c r="K27" i="4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R57" i="3"/>
  <c r="BG17" i="7"/>
  <c r="BH17" i="7" s="1"/>
  <c r="I20" i="3"/>
  <c r="T57" i="3"/>
  <c r="U20" i="3"/>
  <c r="T22" i="3"/>
  <c r="U22" i="3" s="1"/>
  <c r="BI17" i="7"/>
  <c r="BJ17" i="7" s="1"/>
  <c r="N57" i="3"/>
  <c r="BC17" i="7"/>
  <c r="BD17" i="7" s="1"/>
  <c r="N22" i="3"/>
  <c r="O22" i="3" s="1"/>
  <c r="P57" i="3"/>
  <c r="Q20" i="3"/>
  <c r="P22" i="3"/>
  <c r="Q22" i="3" s="1"/>
  <c r="BE17" i="7"/>
  <c r="BF17" i="7" s="1"/>
  <c r="K20" i="3"/>
  <c r="J57" i="3"/>
  <c r="J58" i="3" s="1"/>
  <c r="W20" i="3"/>
  <c r="V57" i="3"/>
  <c r="V22" i="3"/>
  <c r="W22" i="3" s="1"/>
  <c r="BK17" i="7"/>
  <c r="BL17" i="7" s="1"/>
  <c r="L57" i="3"/>
  <c r="L22" i="3"/>
  <c r="M22" i="3" s="1"/>
  <c r="X57" i="3"/>
  <c r="Y20" i="3"/>
  <c r="BM17" i="7"/>
  <c r="BN17" i="7" s="1"/>
  <c r="X22" i="3"/>
  <c r="Y22" i="3" s="1"/>
  <c r="L16" i="1"/>
  <c r="L45" i="1" s="1"/>
  <c r="L56" i="1" s="1"/>
  <c r="L62" i="1" s="1"/>
  <c r="M16" i="1"/>
  <c r="G16" i="1"/>
  <c r="G45" i="1" s="1"/>
  <c r="G56" i="1" s="1"/>
  <c r="J16" i="1"/>
  <c r="K16" i="1"/>
  <c r="F16" i="1"/>
  <c r="F45" i="1" s="1"/>
  <c r="F56" i="1" s="1"/>
  <c r="C16" i="1"/>
  <c r="C45" i="1" s="1"/>
  <c r="C56" i="1" s="1"/>
  <c r="C62" i="1" s="1"/>
  <c r="C64" i="1" s="1"/>
  <c r="H16" i="1"/>
  <c r="H45" i="1" s="1"/>
  <c r="H56" i="1" s="1"/>
  <c r="D16" i="1"/>
  <c r="D45" i="1" s="1"/>
  <c r="D56" i="1" s="1"/>
  <c r="D62" i="1" s="1"/>
  <c r="E16" i="1"/>
  <c r="E45" i="1" s="1"/>
  <c r="E56" i="1" s="1"/>
  <c r="Y57" i="3" l="1"/>
  <c r="X58" i="3"/>
  <c r="Y58" i="3" s="1"/>
  <c r="AT17" i="7"/>
  <c r="AS17" i="7"/>
  <c r="AR23" i="7"/>
  <c r="AP17" i="7"/>
  <c r="AN23" i="7"/>
  <c r="AO17" i="7"/>
  <c r="W57" i="3"/>
  <c r="V58" i="3"/>
  <c r="W58" i="3" s="1"/>
  <c r="R22" i="3"/>
  <c r="R50" i="3" s="1"/>
  <c r="S50" i="3" s="1"/>
  <c r="S16" i="3"/>
  <c r="O57" i="3"/>
  <c r="N58" i="3"/>
  <c r="O58" i="3" s="1"/>
  <c r="S57" i="3"/>
  <c r="R58" i="3"/>
  <c r="S58" i="3" s="1"/>
  <c r="M57" i="3"/>
  <c r="L58" i="3"/>
  <c r="M58" i="3" s="1"/>
  <c r="U57" i="3"/>
  <c r="T58" i="3"/>
  <c r="U58" i="3" s="1"/>
  <c r="Q57" i="3"/>
  <c r="P58" i="3"/>
  <c r="Q58" i="3" s="1"/>
  <c r="J2" i="3"/>
  <c r="J59" i="3"/>
  <c r="K58" i="3" s="1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BG11" i="7"/>
  <c r="BH11" i="7" s="1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K57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4" i="1"/>
  <c r="T23" i="7"/>
  <c r="V23" i="7" s="1"/>
  <c r="V17" i="7"/>
  <c r="T27" i="7"/>
  <c r="U21" i="7"/>
  <c r="U17" i="7" s="1"/>
  <c r="U23" i="7" s="1"/>
  <c r="U51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13" i="3"/>
  <c r="K39" i="3"/>
  <c r="K41" i="3"/>
  <c r="K14" i="3"/>
  <c r="K48" i="3"/>
  <c r="K35" i="3"/>
  <c r="K28" i="3"/>
  <c r="K10" i="3"/>
  <c r="K52" i="3"/>
  <c r="K38" i="3"/>
  <c r="K36" i="3"/>
  <c r="K53" i="3"/>
  <c r="K11" i="3"/>
  <c r="K32" i="3"/>
  <c r="K12" i="3"/>
  <c r="K46" i="3"/>
  <c r="K43" i="3"/>
  <c r="K15" i="3"/>
  <c r="K45" i="3"/>
  <c r="K42" i="3"/>
  <c r="K44" i="3"/>
  <c r="H22" i="3"/>
  <c r="H50" i="3" s="1"/>
  <c r="H57" i="3"/>
  <c r="L11" i="7"/>
  <c r="AZ11" i="7" s="1"/>
  <c r="I14" i="3"/>
  <c r="I15" i="3"/>
  <c r="I47" i="3"/>
  <c r="I28" i="3"/>
  <c r="I13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12" i="3"/>
  <c r="I34" i="3"/>
  <c r="I31" i="3"/>
  <c r="I48" i="3"/>
  <c r="I53" i="3"/>
  <c r="I16" i="3"/>
  <c r="H2" i="3"/>
  <c r="BC23" i="7"/>
  <c r="BD23" i="7" s="1"/>
  <c r="N3" i="3"/>
  <c r="N50" i="3"/>
  <c r="V3" i="3"/>
  <c r="V50" i="3"/>
  <c r="W50" i="3" s="1"/>
  <c r="BK23" i="7"/>
  <c r="BL23" i="7" s="1"/>
  <c r="J26" i="3"/>
  <c r="P27" i="7" s="1"/>
  <c r="BM23" i="7"/>
  <c r="BN23" i="7" s="1"/>
  <c r="X3" i="3"/>
  <c r="X50" i="3"/>
  <c r="Y50" i="3" s="1"/>
  <c r="L26" i="3"/>
  <c r="P26" i="3"/>
  <c r="BE21" i="7"/>
  <c r="BF21" i="7" s="1"/>
  <c r="L64" i="1"/>
  <c r="N6" i="4"/>
  <c r="N5" i="4" s="1"/>
  <c r="N24" i="4" s="1"/>
  <c r="N27" i="4" s="1"/>
  <c r="T50" i="3"/>
  <c r="U50" i="3" s="1"/>
  <c r="T3" i="3"/>
  <c r="BI23" i="7"/>
  <c r="BJ23" i="7" s="1"/>
  <c r="H26" i="3"/>
  <c r="L27" i="7" s="1"/>
  <c r="X26" i="3"/>
  <c r="BM21" i="7"/>
  <c r="BN21" i="7" s="1"/>
  <c r="T26" i="3"/>
  <c r="BI21" i="7"/>
  <c r="BJ21" i="7" s="1"/>
  <c r="L3" i="3"/>
  <c r="L50" i="3"/>
  <c r="N26" i="3"/>
  <c r="BC21" i="7"/>
  <c r="BD21" i="7" s="1"/>
  <c r="D64" i="1"/>
  <c r="F6" i="4"/>
  <c r="F5" i="4" s="1"/>
  <c r="F24" i="4" s="1"/>
  <c r="F27" i="4" s="1"/>
  <c r="V26" i="3"/>
  <c r="BK21" i="7"/>
  <c r="BL21" i="7" s="1"/>
  <c r="P3" i="3"/>
  <c r="BE23" i="7"/>
  <c r="BF23" i="7" s="1"/>
  <c r="P50" i="3"/>
  <c r="Q50" i="3" s="1"/>
  <c r="R26" i="3"/>
  <c r="AF27" i="7" s="1"/>
  <c r="BG21" i="7"/>
  <c r="BH21" i="7" s="1"/>
  <c r="F62" i="1"/>
  <c r="E62" i="1"/>
  <c r="K45" i="1"/>
  <c r="K56" i="1" s="1"/>
  <c r="J45" i="1"/>
  <c r="J56" i="1" s="1"/>
  <c r="J62" i="1" s="1"/>
  <c r="J64" i="1" s="1"/>
  <c r="H62" i="1"/>
  <c r="G62" i="1"/>
  <c r="M45" i="1"/>
  <c r="M56" i="1" s="1"/>
  <c r="M62" i="1" s="1"/>
  <c r="AR51" i="7" l="1"/>
  <c r="AS23" i="7"/>
  <c r="AT23" i="7"/>
  <c r="BM27" i="7"/>
  <c r="BN27" i="7" s="1"/>
  <c r="Y26" i="3"/>
  <c r="R3" i="3"/>
  <c r="AF23" i="7"/>
  <c r="AH23" i="7" s="1"/>
  <c r="BG23" i="7"/>
  <c r="BH23" i="7" s="1"/>
  <c r="S22" i="3"/>
  <c r="BB11" i="7"/>
  <c r="AO23" i="7"/>
  <c r="AN51" i="7"/>
  <c r="AP23" i="7"/>
  <c r="BK27" i="7"/>
  <c r="BL27" i="7" s="1"/>
  <c r="W26" i="3"/>
  <c r="I57" i="3"/>
  <c r="H58" i="3"/>
  <c r="I58" i="3" s="1"/>
  <c r="AG27" i="7"/>
  <c r="AH27" i="7"/>
  <c r="AJ51" i="7"/>
  <c r="AL23" i="7"/>
  <c r="BI27" i="7"/>
  <c r="BJ27" i="7" s="1"/>
  <c r="U26" i="3"/>
  <c r="AB51" i="7"/>
  <c r="AD23" i="7"/>
  <c r="BG27" i="7"/>
  <c r="BH27" i="7" s="1"/>
  <c r="S26" i="3"/>
  <c r="BE27" i="7"/>
  <c r="BF27" i="7" s="1"/>
  <c r="Q26" i="3"/>
  <c r="Z27" i="7"/>
  <c r="Y27" i="7"/>
  <c r="O50" i="3"/>
  <c r="X51" i="7"/>
  <c r="Z51" i="7" s="1"/>
  <c r="BC27" i="7"/>
  <c r="BD27" i="7" s="1"/>
  <c r="O26" i="3"/>
  <c r="M50" i="3"/>
  <c r="T51" i="7"/>
  <c r="V51" i="7" s="1"/>
  <c r="U52" i="7"/>
  <c r="U55" i="7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4" i="1"/>
  <c r="J6" i="4"/>
  <c r="J5" i="4" s="1"/>
  <c r="J24" i="4" s="1"/>
  <c r="J27" i="4" s="1"/>
  <c r="T54" i="3"/>
  <c r="U54" i="3" s="1"/>
  <c r="T5" i="3"/>
  <c r="BI51" i="7"/>
  <c r="BJ51" i="7" s="1"/>
  <c r="L6" i="4"/>
  <c r="L5" i="4" s="1"/>
  <c r="L24" i="4" s="1"/>
  <c r="L27" i="4" s="1"/>
  <c r="BE51" i="7"/>
  <c r="BF51" i="7" s="1"/>
  <c r="P5" i="3"/>
  <c r="P54" i="3"/>
  <c r="Q54" i="3" s="1"/>
  <c r="E64" i="1"/>
  <c r="G6" i="4"/>
  <c r="G5" i="4" s="1"/>
  <c r="G24" i="4" s="1"/>
  <c r="G27" i="4" s="1"/>
  <c r="N54" i="3"/>
  <c r="BC51" i="7"/>
  <c r="BD51" i="7" s="1"/>
  <c r="N5" i="3"/>
  <c r="X5" i="3"/>
  <c r="X54" i="3"/>
  <c r="Y54" i="3" s="1"/>
  <c r="BM51" i="7"/>
  <c r="BN51" i="7" s="1"/>
  <c r="L54" i="3"/>
  <c r="L5" i="3"/>
  <c r="M64" i="1"/>
  <c r="O6" i="4"/>
  <c r="O5" i="4" s="1"/>
  <c r="O24" i="4" s="1"/>
  <c r="O27" i="4" s="1"/>
  <c r="F64" i="1"/>
  <c r="H6" i="4"/>
  <c r="H5" i="4" s="1"/>
  <c r="H24" i="4" s="1"/>
  <c r="H27" i="4" s="1"/>
  <c r="H5" i="3"/>
  <c r="H54" i="3"/>
  <c r="BG51" i="7"/>
  <c r="BH51" i="7" s="1"/>
  <c r="R54" i="3"/>
  <c r="S54" i="3" s="1"/>
  <c r="R5" i="3"/>
  <c r="V54" i="3"/>
  <c r="W54" i="3" s="1"/>
  <c r="V5" i="3"/>
  <c r="BK51" i="7"/>
  <c r="BL51" i="7" s="1"/>
  <c r="G64" i="1"/>
  <c r="I6" i="4"/>
  <c r="I5" i="4" s="1"/>
  <c r="I24" i="4" s="1"/>
  <c r="I27" i="4" s="1"/>
  <c r="J5" i="3"/>
  <c r="J54" i="3"/>
  <c r="K62" i="1"/>
  <c r="O4" i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6" i="1"/>
  <c r="O47" i="1"/>
  <c r="O48" i="1"/>
  <c r="O49" i="1"/>
  <c r="O50" i="1"/>
  <c r="O51" i="1"/>
  <c r="O52" i="1"/>
  <c r="O53" i="1"/>
  <c r="O54" i="1"/>
  <c r="O55" i="1"/>
  <c r="O57" i="1"/>
  <c r="O58" i="1"/>
  <c r="O59" i="1"/>
  <c r="O60" i="1"/>
  <c r="O61" i="1"/>
  <c r="O63" i="1"/>
  <c r="O3" i="1"/>
  <c r="L1" i="1"/>
  <c r="V9" i="3" s="1"/>
  <c r="M1" i="1"/>
  <c r="X9" i="3" s="1"/>
  <c r="BM9" i="7" l="1"/>
  <c r="AQ9" i="7"/>
  <c r="AF51" i="7"/>
  <c r="AF55" i="7" s="1"/>
  <c r="AH55" i="7" s="1"/>
  <c r="AS51" i="7"/>
  <c r="AR55" i="7"/>
  <c r="AT51" i="7"/>
  <c r="BA11" i="7"/>
  <c r="AN55" i="7"/>
  <c r="AO51" i="7"/>
  <c r="AP51" i="7"/>
  <c r="BK9" i="7"/>
  <c r="AM9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BM55" i="7"/>
  <c r="BN55" i="7" s="1"/>
  <c r="K64" i="1"/>
  <c r="M6" i="4"/>
  <c r="M5" i="4" s="1"/>
  <c r="M24" i="4" s="1"/>
  <c r="M27" i="4" s="1"/>
  <c r="J6" i="3"/>
  <c r="V6" i="3"/>
  <c r="BK55" i="7"/>
  <c r="BL55" i="7" s="1"/>
  <c r="T6" i="3"/>
  <c r="BI55" i="7"/>
  <c r="BJ55" i="7" s="1"/>
  <c r="P6" i="3"/>
  <c r="BE55" i="7"/>
  <c r="BF55" i="7" s="1"/>
  <c r="R6" i="3"/>
  <c r="BG55" i="7"/>
  <c r="BH55" i="7" s="1"/>
  <c r="L6" i="3"/>
  <c r="N6" i="3"/>
  <c r="BC55" i="7"/>
  <c r="BD55" i="7" s="1"/>
  <c r="O44" i="1"/>
  <c r="O56" i="1"/>
  <c r="O45" i="1"/>
  <c r="AH51" i="7" l="1"/>
  <c r="AS55" i="7"/>
  <c r="AT55" i="7"/>
  <c r="AO55" i="7"/>
  <c r="AP55" i="7"/>
  <c r="AL55" i="7"/>
  <c r="AD55" i="7"/>
  <c r="O62" i="1"/>
  <c r="O64" i="1"/>
  <c r="D16" i="3"/>
  <c r="D17" i="7" s="1"/>
  <c r="AZ17" i="7" s="1"/>
  <c r="O1" i="5"/>
  <c r="P4" i="4" s="1"/>
  <c r="N1" i="5"/>
  <c r="O4" i="4" s="1"/>
  <c r="M1" i="5"/>
  <c r="N4" i="4" s="1"/>
  <c r="D1" i="1"/>
  <c r="F9" i="3" s="1"/>
  <c r="G9" i="7" s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D9" i="3" s="1"/>
  <c r="C9" i="7" s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F4" i="4"/>
  <c r="E4" i="4"/>
  <c r="E15" i="4"/>
  <c r="E6" i="4"/>
  <c r="B4" i="4"/>
  <c r="E18" i="3"/>
  <c r="C18" i="3"/>
  <c r="C24" i="3" s="1"/>
  <c r="C20" i="3"/>
  <c r="C26" i="3" s="1"/>
  <c r="C17" i="3"/>
  <c r="C23" i="3" s="1"/>
  <c r="F24" i="3"/>
  <c r="H25" i="7" s="1"/>
  <c r="BO9" i="7" l="1"/>
  <c r="AU9" i="7"/>
  <c r="BG9" i="7"/>
  <c r="AE9" i="7"/>
  <c r="BC9" i="7"/>
  <c r="W9" i="7"/>
  <c r="BE9" i="7"/>
  <c r="AA9" i="7"/>
  <c r="BI9" i="7"/>
  <c r="AI9" i="7"/>
  <c r="BA17" i="7"/>
  <c r="O9" i="7"/>
  <c r="I25" i="7"/>
  <c r="J25" i="7"/>
  <c r="BB17" i="7"/>
  <c r="D23" i="7"/>
  <c r="F17" i="7"/>
  <c r="G24" i="3"/>
  <c r="F57" i="3"/>
  <c r="F58" i="3" s="1"/>
  <c r="G58" i="3" s="1"/>
  <c r="D57" i="3"/>
  <c r="D58" i="3" s="1"/>
  <c r="D21" i="7"/>
  <c r="AZ21" i="7" s="1"/>
  <c r="E17" i="3"/>
  <c r="E26" i="4"/>
  <c r="G20" i="3"/>
  <c r="E22" i="4"/>
  <c r="F23" i="3"/>
  <c r="H24" i="7" s="1"/>
  <c r="D24" i="3"/>
  <c r="D25" i="7" s="1"/>
  <c r="AZ25" i="7" s="1"/>
  <c r="D23" i="3"/>
  <c r="D24" i="7" s="1"/>
  <c r="AZ24" i="7" s="1"/>
  <c r="BA21" i="7" l="1"/>
  <c r="BA25" i="7"/>
  <c r="BA24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s="1"/>
  <c r="E27" i="4" s="1"/>
  <c r="F52" i="7" l="1"/>
  <c r="D56" i="7"/>
  <c r="F56" i="7" s="1"/>
  <c r="F55" i="7"/>
  <c r="D26" i="3"/>
  <c r="D27" i="7" s="1"/>
  <c r="E58" i="3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57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H27" i="7" s="1"/>
  <c r="AZ27" i="7" s="1"/>
  <c r="BA27" i="7" l="1"/>
  <c r="I27" i="7"/>
  <c r="J27" i="7"/>
  <c r="D6" i="3"/>
  <c r="G26" i="3"/>
  <c r="F2" i="3"/>
  <c r="G44" i="3"/>
  <c r="G38" i="3"/>
  <c r="G32" i="3"/>
  <c r="G15" i="3"/>
  <c r="G46" i="3"/>
  <c r="G57" i="3"/>
  <c r="G49" i="3"/>
  <c r="G43" i="3"/>
  <c r="G37" i="3"/>
  <c r="G31" i="3"/>
  <c r="G13" i="3"/>
  <c r="G34" i="3"/>
  <c r="G10" i="3"/>
  <c r="G39" i="3"/>
  <c r="G33" i="3"/>
  <c r="G48" i="3"/>
  <c r="G42" i="3"/>
  <c r="G36" i="3"/>
  <c r="G30" i="3"/>
  <c r="G12" i="3"/>
  <c r="G53" i="3"/>
  <c r="G28" i="3"/>
  <c r="G52" i="3"/>
  <c r="G14" i="3"/>
  <c r="G47" i="3"/>
  <c r="G41" i="3"/>
  <c r="G35" i="3"/>
  <c r="G29" i="3"/>
  <c r="G11" i="3"/>
  <c r="G40" i="3"/>
  <c r="G16" i="3"/>
  <c r="G45" i="3"/>
  <c r="E54" i="3"/>
  <c r="D55" i="3"/>
  <c r="F22" i="3"/>
  <c r="H23" i="7" s="1"/>
  <c r="AZ23" i="7" s="1"/>
  <c r="BA23" i="7" l="1"/>
  <c r="BB27" i="7"/>
  <c r="J23" i="7"/>
  <c r="F3" i="3"/>
  <c r="G22" i="3"/>
  <c r="F50" i="3"/>
  <c r="H51" i="7" l="1"/>
  <c r="AZ51" i="7" s="1"/>
  <c r="AX66" i="7" s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BB23" i="7"/>
  <c r="F5" i="3"/>
  <c r="G50" i="3"/>
  <c r="F54" i="3"/>
  <c r="H55" i="7" s="1"/>
  <c r="AZ55" i="7" s="1"/>
  <c r="J51" i="7" l="1"/>
  <c r="AY70" i="7"/>
  <c r="AX70" i="7"/>
  <c r="H52" i="7"/>
  <c r="L52" i="7" s="1"/>
  <c r="P52" i="7" s="1"/>
  <c r="T52" i="7" s="1"/>
  <c r="X52" i="7" s="1"/>
  <c r="AB52" i="7" s="1"/>
  <c r="AF52" i="7" s="1"/>
  <c r="AJ52" i="7" s="1"/>
  <c r="AN52" i="7" s="1"/>
  <c r="AR52" i="7" s="1"/>
  <c r="AV52" i="7" s="1"/>
  <c r="BA55" i="7"/>
  <c r="BA51" i="7"/>
  <c r="J55" i="7"/>
  <c r="H56" i="7"/>
  <c r="L56" i="7" s="1"/>
  <c r="G54" i="3"/>
  <c r="F55" i="3"/>
  <c r="H55" i="3" s="1"/>
  <c r="F6" i="3"/>
  <c r="AX52" i="7" l="1"/>
  <c r="AW52" i="7"/>
  <c r="J52" i="7"/>
  <c r="AT70" i="7"/>
  <c r="BB51" i="7"/>
  <c r="BB55" i="7"/>
  <c r="J55" i="3"/>
  <c r="R52" i="7"/>
  <c r="J56" i="7"/>
  <c r="N52" i="7"/>
  <c r="V52" i="7" l="1"/>
  <c r="P56" i="7"/>
  <c r="R56" i="7" s="1"/>
  <c r="L55" i="3"/>
  <c r="N55" i="3" s="1"/>
  <c r="P55" i="3" s="1"/>
  <c r="R55" i="3" s="1"/>
  <c r="T55" i="3" s="1"/>
  <c r="V55" i="3" s="1"/>
  <c r="X55" i="3" s="1"/>
  <c r="Z55" i="3" s="1"/>
  <c r="BB56" i="7"/>
  <c r="BE52" i="7"/>
  <c r="BF52" i="7" s="1"/>
  <c r="N56" i="7"/>
  <c r="BC52" i="7"/>
  <c r="BD52" i="7" s="1"/>
  <c r="Q56" i="7" l="1"/>
  <c r="T56" i="7"/>
  <c r="X56" i="7" s="1"/>
  <c r="AB56" i="7" s="1"/>
  <c r="AC56" i="7" s="1"/>
  <c r="AD52" i="7"/>
  <c r="AC52" i="7"/>
  <c r="Y52" i="7"/>
  <c r="Z52" i="7"/>
  <c r="BE56" i="7"/>
  <c r="BF56" i="7" s="1"/>
  <c r="BI52" i="7"/>
  <c r="BJ52" i="7" s="1"/>
  <c r="BM52" i="7"/>
  <c r="BN52" i="7" s="1"/>
  <c r="BC56" i="7"/>
  <c r="BD56" i="7" s="1"/>
  <c r="BG52" i="7"/>
  <c r="BH52" i="7" s="1"/>
  <c r="AD56" i="7" l="1"/>
  <c r="AF56" i="7"/>
  <c r="AJ56" i="7" s="1"/>
  <c r="AN56" i="7" s="1"/>
  <c r="AR56" i="7" s="1"/>
  <c r="AV56" i="7" s="1"/>
  <c r="AW56" i="7" s="1"/>
  <c r="V56" i="7"/>
  <c r="U56" i="7"/>
  <c r="AG52" i="7"/>
  <c r="AH52" i="7"/>
  <c r="Z56" i="7"/>
  <c r="Y56" i="7"/>
  <c r="BM56" i="7"/>
  <c r="BN56" i="7" s="1"/>
  <c r="BI56" i="7"/>
  <c r="BJ56" i="7" s="1"/>
  <c r="BO52" i="7"/>
  <c r="BP52" i="7" s="1"/>
  <c r="BK52" i="7"/>
  <c r="BL52" i="7" s="1"/>
  <c r="BG56" i="7"/>
  <c r="BH56" i="7" s="1"/>
  <c r="AH56" i="7" l="1"/>
  <c r="AO56" i="7"/>
  <c r="AP56" i="7"/>
  <c r="AT56" i="7"/>
  <c r="AX56" i="7"/>
  <c r="AS56" i="7"/>
  <c r="AG56" i="7"/>
  <c r="AL56" i="7"/>
  <c r="AK56" i="7"/>
  <c r="AO52" i="7"/>
  <c r="AP52" i="7"/>
  <c r="BB52" i="7"/>
  <c r="AK52" i="7"/>
  <c r="AL52" i="7"/>
  <c r="BO56" i="7"/>
  <c r="BP56" i="7" s="1"/>
  <c r="BK56" i="7"/>
  <c r="BL56" i="7" s="1"/>
  <c r="AS52" i="7" l="1"/>
  <c r="AT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<sst xmlns="http://schemas.openxmlformats.org/spreadsheetml/2006/main" count="715" uniqueCount="489">
  <si>
    <t>勘定科目</t>
  </si>
  <si>
    <t>7月</t>
  </si>
  <si>
    <t>8月</t>
  </si>
  <si>
    <t>売上高</t>
  </si>
  <si>
    <t>レストラン売上</t>
  </si>
  <si>
    <t>デリバリー売上</t>
  </si>
  <si>
    <t>その他売上</t>
  </si>
  <si>
    <t>売上高合計</t>
  </si>
  <si>
    <t>売上原価</t>
  </si>
  <si>
    <t>期首商品棚卸高</t>
  </si>
  <si>
    <t>飲料仕入</t>
  </si>
  <si>
    <t>食材仕入</t>
  </si>
  <si>
    <t>期末商品棚卸高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</si>
  <si>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</si>
  <si>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</si>
  <si>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</si>
  <si>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</si>
  <si>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</si>
  <si>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</si>
  <si>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</si>
  <si>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</si>
  <si>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</si>
  <si>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</si>
  <si>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</si>
  <si>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</si>
  <si>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</si>
  <si>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</si>
  <si>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</si>
  <si>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</si>
  <si>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</si>
  <si>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</si>
  <si>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</si>
  <si>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</si>
  <si>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</si>
  <si>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</si>
  <si>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</si>
  <si>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</si>
  <si>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</si>
  <si>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</si>
  <si>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</si>
  <si>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</si>
  <si>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</si>
  <si>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</si>
  <si>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</si>
  <si>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</si>
  <si>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</si>
  <si>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</si>
  <si>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</si>
  <si>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</si>
  <si>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</si>
  <si>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</si>
  <si>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</si>
  <si>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</si>
  <si>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</si>
  <si>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</si>
  <si>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</si>
  <si>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</si>
  <si>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</si>
  <si>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</si>
  <si>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</si>
  <si>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</si>
  <si>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小口現金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</si>
  <si>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</si>
  <si>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</si>
  <si>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</si>
  <si>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</si>
  <si>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</si>
  <si>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</si>
  <si>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</si>
  <si>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</si>
  <si>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</si>
  <si>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</si>
  <si>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</si>
  <si>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</si>
  <si>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</si>
  <si>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</si>
  <si>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</si>
  <si>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</si>
  <si>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</si>
  <si>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附属設備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</si>
  <si>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</si>
  <si>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</si>
  <si>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</si>
  <si>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</si>
  <si>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</si>
  <si>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</si>
  <si>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</si>
  <si>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</si>
  <si>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保険積立金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</si>
  <si>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</si>
  <si>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</si>
  <si>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</si>
  <si>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</si>
  <si>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</si>
  <si>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</si>
  <si>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</si>
  <si>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</si>
  <si>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</si>
  <si>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</si>
  <si>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</si>
  <si>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</si>
  <si>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</si>
  <si>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</si>
  <si>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</si>
  <si>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前受金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</si>
  <si>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</si>
  <si>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</si>
  <si>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</si>
  <si>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</si>
  <si>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</si>
  <si>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</si>
  <si>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</si>
  <si>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</si>
  <si>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</si>
  <si>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</si>
  <si>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</si>
  <si>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</si>
  <si>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</si>
  <si>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</si>
  <si>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</si>
  <si>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</si>
  <si>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</si>
  <si>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</si>
  <si>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</si>
  <si>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</si>
  <si>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</si>
  <si>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</si>
  <si>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</si>
  <si>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</si>
  <si>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</si>
  <si>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</si>
  <si>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</si>
  <si>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</si>
  <si>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</si>
  <si>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</si>
  <si>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</si>
  <si>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</si>
  <si>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</si>
  <si>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</si>
  <si>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</si>
  <si>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村</t>
    <rPh sb="0" eb="1">
      <t>ムラ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</si>
  <si>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</si>
  <si>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</si>
  <si>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</si>
  <si>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</si>
  <si>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</si>
  <si>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</si>
  <si>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</si>
  <si>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</si>
  <si>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</si>
  <si>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</si>
  <si>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</si>
  <si>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</si>
  <si>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</si>
  <si>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㈱ｅｓエンターテイメント</t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</si>
  <si>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</si>
  <si>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</si>
  <si>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</si>
  <si>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</si>
  <si>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</si>
  <si>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</si>
  <si>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</si>
  <si>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</si>
  <si>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</si>
  <si>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</si>
  <si>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</si>
  <si>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</si>
  <si>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</si>
  <si>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</si>
  <si>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</si>
  <si>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</si>
  <si>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</si>
  <si>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</si>
  <si>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</si>
  <si>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</si>
  <si>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</si>
  <si>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</si>
  <si>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</si>
  <si>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</si>
  <si>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</si>
  <si>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</si>
  <si>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</si>
  <si>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</si>
  <si>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</si>
  <si>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</si>
  <si>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9月</t>
  </si>
  <si>
    <t>開発費</t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</si>
  <si>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</si>
  <si>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</si>
  <si>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</si>
  <si>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</si>
  <si>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仕入値引</t>
    <rPh sb="0" eb="4">
      <t>シイレネビ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</si>
  <si>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</si>
  <si>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</si>
  <si>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</si>
  <si>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</si>
  <si>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</si>
  <si>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</si>
  <si>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</si>
  <si>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FL</t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</si>
  <si>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</si>
  <si>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</si>
  <si>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</si>
  <si>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</si>
  <si>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</si>
  <si>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</si>
  <si>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</si>
  <si>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10月</t>
  </si>
  <si>
    <t>長期前払費用</t>
  </si>
  <si>
    <t>仮払金</t>
    <rPh sb="0" eb="2">
      <t>カリバライ</t>
    </rPh>
    <rPh sb="2" eb="3">
      <t>キン</t>
    </rPh>
    <phoneticPr fontId="1"/>
  </si>
  <si>
    <t>[B/S CK]</t>
    <phoneticPr fontId="1"/>
  </si>
  <si>
    <t>12月</t>
  </si>
  <si>
    <t>11月</t>
  </si>
  <si>
    <t>1月</t>
  </si>
  <si>
    <t>給料賃金</t>
  </si>
  <si>
    <t>予算検討</t>
    <rPh sb="0" eb="2">
      <t>ヨサン</t>
    </rPh>
    <rPh sb="2" eb="4">
      <t>ケントウ</t>
    </rPh>
    <phoneticPr fontId="1"/>
  </si>
  <si>
    <t>2月</t>
  </si>
  <si>
    <t>経常利益</t>
    <rPh sb="0" eb="4">
      <t>ケイジョウリエキ</t>
    </rPh>
    <phoneticPr fontId="1"/>
  </si>
  <si>
    <t>5月</t>
  </si>
  <si>
    <t>6月</t>
  </si>
  <si>
    <t>未収入金</t>
    <rPh sb="0" eb="4">
      <t>ミシュウニュウキン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</si>
  <si>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</si>
  <si>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</si>
  <si>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</si>
  <si>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</si>
  <si>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村売上</t>
    <rPh sb="0" eb="3">
      <t>ムラウリアゲ</t>
    </rPh>
    <phoneticPr fontId="1"/>
  </si>
  <si>
    <t>恵愛</t>
  </si>
  <si>
    <t>恵愛</t>
    <rPh sb="0" eb="2">
      <t>ケイアイ</t>
    </rPh>
    <phoneticPr fontId="1"/>
  </si>
  <si>
    <t>弁当</t>
    <rPh sb="0" eb="2">
      <t>ベントウ</t>
    </rPh>
    <phoneticPr fontId="1"/>
  </si>
  <si>
    <t>サウナ</t>
    <phoneticPr fontId="1"/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</si>
  <si>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</si>
  <si>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</si>
  <si>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</si>
  <si>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</si>
  <si>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</si>
  <si>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</si>
  <si>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</si>
  <si>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</si>
  <si>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</si>
  <si>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</si>
  <si>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</si>
  <si>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</si>
  <si>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</si>
  <si>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</si>
  <si>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</si>
  <si>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</si>
  <si>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</si>
  <si>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</si>
  <si>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</si>
  <si>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</si>
  <si>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</si>
  <si>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</si>
  <si>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8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</si>
  <si>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8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</si>
  <si>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8"/>
  </si>
  <si>
    <t>村</t>
    <rPh sb="0" eb="1">
      <t>ムラ</t>
    </rPh>
    <phoneticPr fontId="55"/>
  </si>
  <si>
    <t>弁当事業</t>
    <rPh sb="0" eb="2">
      <t>ベントウ</t>
    </rPh>
    <rPh sb="2" eb="4">
      <t>ジギョウ</t>
    </rPh>
    <phoneticPr fontId="55"/>
  </si>
  <si>
    <t>シェア</t>
    <phoneticPr fontId="55"/>
  </si>
  <si>
    <t>サウナ</t>
    <phoneticPr fontId="55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</si>
  <si>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8"/>
  </si>
  <si>
    <t>現金割合</t>
    <rPh sb="0" eb="2">
      <t>ゲンキン</t>
    </rPh>
    <rPh sb="2" eb="4">
      <t>ワリアイ</t>
    </rPh>
    <phoneticPr fontId="48"/>
  </si>
  <si>
    <t>本部</t>
    <rPh sb="0" eb="2">
      <t>ホンブ</t>
    </rPh>
    <phoneticPr fontId="55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</si>
  <si>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8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</si>
  <si>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8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</si>
  <si>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8"/>
  </si>
  <si>
    <t>掛割合</t>
    <rPh sb="0" eb="1">
      <t>カカリ</t>
    </rPh>
    <rPh sb="1" eb="3">
      <t>ワリアイ</t>
    </rPh>
    <phoneticPr fontId="48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</si>
  <si>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8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</si>
  <si>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8"/>
  </si>
  <si>
    <t>予測値</t>
    <rPh sb="0" eb="3">
      <t>ヨソクチ</t>
    </rPh>
    <phoneticPr fontId="48"/>
  </si>
  <si>
    <t>人件費</t>
    <rPh sb="0" eb="3">
      <t>ジンケンヒ</t>
    </rPh>
    <phoneticPr fontId="48"/>
  </si>
  <si>
    <t>役員報酬</t>
    <rPh sb="0" eb="2">
      <t>ヤクイン</t>
    </rPh>
    <rPh sb="2" eb="4">
      <t>ホウシュウ</t>
    </rPh>
    <phoneticPr fontId="55"/>
  </si>
  <si>
    <t>給与手当</t>
    <rPh sb="0" eb="2">
      <t>キュウヨ</t>
    </rPh>
    <rPh sb="2" eb="4">
      <t>テアテ</t>
    </rPh>
    <phoneticPr fontId="55"/>
  </si>
  <si>
    <t>＊＊＊＊</t>
    <phoneticPr fontId="48"/>
  </si>
  <si>
    <t>雑給</t>
    <rPh sb="0" eb="2">
      <t>ザッキュウ</t>
    </rPh>
    <phoneticPr fontId="55"/>
  </si>
  <si>
    <t>法定福利費</t>
    <rPh sb="0" eb="2">
      <t>ホウテイ</t>
    </rPh>
    <rPh sb="2" eb="4">
      <t>フクリ</t>
    </rPh>
    <rPh sb="4" eb="5">
      <t>ヒ</t>
    </rPh>
    <phoneticPr fontId="55"/>
  </si>
  <si>
    <t>福利厚生費</t>
    <rPh sb="0" eb="2">
      <t>フクリ</t>
    </rPh>
    <rPh sb="2" eb="5">
      <t>コウセイヒ</t>
    </rPh>
    <phoneticPr fontId="55"/>
  </si>
  <si>
    <t>業務委託費（グループ）</t>
    <rPh sb="0" eb="2">
      <t>ギョウム</t>
    </rPh>
    <rPh sb="2" eb="4">
      <t>イタク</t>
    </rPh>
    <rPh sb="4" eb="5">
      <t>ヒ</t>
    </rPh>
    <phoneticPr fontId="55"/>
  </si>
  <si>
    <t>労務委託費（個人）</t>
    <rPh sb="0" eb="2">
      <t>ロウム</t>
    </rPh>
    <rPh sb="2" eb="4">
      <t>イタク</t>
    </rPh>
    <rPh sb="4" eb="5">
      <t>ヒ</t>
    </rPh>
    <rPh sb="6" eb="8">
      <t>コジン</t>
    </rPh>
    <phoneticPr fontId="55"/>
  </si>
  <si>
    <t>合計</t>
    <rPh sb="0" eb="2">
      <t>ゴウケイ</t>
    </rPh>
    <phoneticPr fontId="48"/>
  </si>
  <si>
    <t>販売費管理費</t>
    <rPh sb="0" eb="3">
      <t>ハンバイヒ</t>
    </rPh>
    <rPh sb="3" eb="6">
      <t>カンリヒ</t>
    </rPh>
    <phoneticPr fontId="48"/>
  </si>
  <si>
    <t>旅費交通費</t>
    <rPh sb="0" eb="2">
      <t>リョヒ</t>
    </rPh>
    <rPh sb="2" eb="5">
      <t>コウツウヒ</t>
    </rPh>
    <phoneticPr fontId="55"/>
  </si>
  <si>
    <t>通信費</t>
    <rPh sb="0" eb="3">
      <t>ツウシンヒ</t>
    </rPh>
    <phoneticPr fontId="55"/>
  </si>
  <si>
    <t>開発費</t>
    <rPh sb="0" eb="3">
      <t>カイハツヒ</t>
    </rPh>
    <phoneticPr fontId="55"/>
  </si>
  <si>
    <t>交際費</t>
    <rPh sb="0" eb="2">
      <t>コウサイ</t>
    </rPh>
    <rPh sb="2" eb="3">
      <t>ヒ</t>
    </rPh>
    <phoneticPr fontId="55"/>
  </si>
  <si>
    <t>会議費</t>
    <rPh sb="0" eb="3">
      <t>カイギヒ</t>
    </rPh>
    <phoneticPr fontId="55"/>
  </si>
  <si>
    <t>減価償却費</t>
    <rPh sb="0" eb="2">
      <t>ゲンカ</t>
    </rPh>
    <rPh sb="2" eb="4">
      <t>ショウキャク</t>
    </rPh>
    <rPh sb="4" eb="5">
      <t>ヒ</t>
    </rPh>
    <phoneticPr fontId="55"/>
  </si>
  <si>
    <t>賃借料</t>
    <rPh sb="0" eb="3">
      <t>チンシャクリョウ</t>
    </rPh>
    <phoneticPr fontId="55"/>
  </si>
  <si>
    <t>地代家賃</t>
    <rPh sb="0" eb="2">
      <t>チダイ</t>
    </rPh>
    <rPh sb="2" eb="4">
      <t>ヤチン</t>
    </rPh>
    <phoneticPr fontId="55"/>
  </si>
  <si>
    <t>リース料</t>
    <rPh sb="3" eb="4">
      <t>リョウ</t>
    </rPh>
    <phoneticPr fontId="55"/>
  </si>
  <si>
    <t>修繕費</t>
    <rPh sb="0" eb="3">
      <t>シュウゼンヒ</t>
    </rPh>
    <phoneticPr fontId="55"/>
  </si>
  <si>
    <t>保険料</t>
    <rPh sb="0" eb="3">
      <t>ホケンリョウ</t>
    </rPh>
    <phoneticPr fontId="55"/>
  </si>
  <si>
    <t>水道光熱費</t>
    <rPh sb="0" eb="2">
      <t>スイドウ</t>
    </rPh>
    <rPh sb="2" eb="5">
      <t>コウネツヒ</t>
    </rPh>
    <phoneticPr fontId="55"/>
  </si>
  <si>
    <t>消耗品費</t>
    <rPh sb="0" eb="2">
      <t>ショウモウ</t>
    </rPh>
    <rPh sb="2" eb="3">
      <t>ヒン</t>
    </rPh>
    <rPh sb="3" eb="4">
      <t>ヒ</t>
    </rPh>
    <phoneticPr fontId="55"/>
  </si>
  <si>
    <t>租税公課</t>
    <rPh sb="0" eb="2">
      <t>ソゼイ</t>
    </rPh>
    <rPh sb="2" eb="4">
      <t>コウカ</t>
    </rPh>
    <phoneticPr fontId="55"/>
  </si>
  <si>
    <t>広告宣伝費</t>
    <rPh sb="0" eb="2">
      <t>コウコク</t>
    </rPh>
    <rPh sb="2" eb="5">
      <t>センデンヒ</t>
    </rPh>
    <phoneticPr fontId="55"/>
  </si>
  <si>
    <t>支払手数料</t>
    <rPh sb="0" eb="2">
      <t>シハライ</t>
    </rPh>
    <rPh sb="2" eb="5">
      <t>テスウリョウ</t>
    </rPh>
    <phoneticPr fontId="55"/>
  </si>
  <si>
    <t>新聞図書費</t>
    <rPh sb="0" eb="2">
      <t>シンブン</t>
    </rPh>
    <rPh sb="2" eb="4">
      <t>トショ</t>
    </rPh>
    <rPh sb="4" eb="5">
      <t>ヒ</t>
    </rPh>
    <phoneticPr fontId="55"/>
  </si>
  <si>
    <t>管理諸費</t>
    <rPh sb="0" eb="2">
      <t>カンリ</t>
    </rPh>
    <rPh sb="2" eb="4">
      <t>ショヒ</t>
    </rPh>
    <phoneticPr fontId="55"/>
  </si>
  <si>
    <t>雑費</t>
    <rPh sb="0" eb="2">
      <t>ザッピ</t>
    </rPh>
    <phoneticPr fontId="55"/>
  </si>
  <si>
    <t>経費合計</t>
    <rPh sb="0" eb="2">
      <t>ケイヒ</t>
    </rPh>
    <rPh sb="2" eb="4">
      <t>ゴウケイ</t>
    </rPh>
    <phoneticPr fontId="48"/>
  </si>
  <si>
    <t>営業利益</t>
    <rPh sb="0" eb="2">
      <t>エイギョウ</t>
    </rPh>
    <rPh sb="2" eb="4">
      <t>リエキ</t>
    </rPh>
    <phoneticPr fontId="48"/>
  </si>
  <si>
    <t>営業外収益</t>
    <rPh sb="0" eb="3">
      <t>エイギョウガイ</t>
    </rPh>
    <rPh sb="3" eb="5">
      <t>シュウエキ</t>
    </rPh>
    <phoneticPr fontId="48"/>
  </si>
  <si>
    <t>営業外費用</t>
    <rPh sb="0" eb="3">
      <t>エイギョウガイ</t>
    </rPh>
    <rPh sb="3" eb="5">
      <t>ヒヨウ</t>
    </rPh>
    <phoneticPr fontId="48"/>
  </si>
  <si>
    <t>経常利益</t>
    <rPh sb="0" eb="2">
      <t>ケイジョウ</t>
    </rPh>
    <rPh sb="2" eb="4">
      <t>リエキ</t>
    </rPh>
    <phoneticPr fontId="48"/>
  </si>
  <si>
    <t>特別利益</t>
    <rPh sb="0" eb="2">
      <t>トクベツ</t>
    </rPh>
    <rPh sb="2" eb="4">
      <t>リエキ</t>
    </rPh>
    <phoneticPr fontId="48"/>
  </si>
  <si>
    <t>特別損失</t>
    <rPh sb="0" eb="2">
      <t>トクベツ</t>
    </rPh>
    <rPh sb="2" eb="4">
      <t>ソンシツ</t>
    </rPh>
    <phoneticPr fontId="48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</si>
  <si>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8"/>
  </si>
  <si>
    <t>期間累計</t>
    <rPh sb="0" eb="2">
      <t>キカン</t>
    </rPh>
    <rPh sb="2" eb="4">
      <t>ルイケイ</t>
    </rPh>
    <phoneticPr fontId="48"/>
  </si>
  <si>
    <t>ＦＬ</t>
    <phoneticPr fontId="48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</si>
  <si>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8"/>
  </si>
  <si>
    <t>項目</t>
    <rPh sb="0" eb="2">
      <t>コウモク</t>
    </rPh>
    <phoneticPr fontId="48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</si>
  <si>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8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</si>
  <si>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8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</si>
  <si>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8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</si>
  <si>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8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</si>
  <si>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8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</si>
  <si>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8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</si>
  <si>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8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</si>
  <si>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8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</si>
  <si>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8"/>
  </si>
  <si>
    <t>未払金支払</t>
    <rPh sb="0" eb="2">
      <t>ミハラ</t>
    </rPh>
    <rPh sb="2" eb="3">
      <t>キン</t>
    </rPh>
    <rPh sb="3" eb="5">
      <t>シハライ</t>
    </rPh>
    <phoneticPr fontId="58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</si>
  <si>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8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</si>
  <si>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8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</si>
  <si>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8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</si>
  <si>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8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</si>
  <si>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8"/>
  </si>
  <si>
    <t>短期借入</t>
    <rPh sb="0" eb="2">
      <t>タンキ</t>
    </rPh>
    <rPh sb="2" eb="4">
      <t>カリイレ</t>
    </rPh>
    <phoneticPr fontId="58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</si>
  <si>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8"/>
  </si>
  <si>
    <t>保険積立金</t>
    <rPh sb="0" eb="2">
      <t>ホケン</t>
    </rPh>
    <rPh sb="2" eb="4">
      <t>ツミタテ</t>
    </rPh>
    <rPh sb="4" eb="5">
      <t>キン</t>
    </rPh>
    <phoneticPr fontId="55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</si>
  <si>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8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</si>
  <si>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8"/>
  </si>
  <si>
    <t>立替金</t>
    <rPh sb="0" eb="3">
      <t>タテカエキン</t>
    </rPh>
    <phoneticPr fontId="55"/>
  </si>
  <si>
    <t>仮払仮受消費税</t>
    <rPh sb="0" eb="2">
      <t>カリバラ</t>
    </rPh>
    <rPh sb="2" eb="4">
      <t>カリウケ</t>
    </rPh>
    <rPh sb="4" eb="7">
      <t>ショウヒゼイ</t>
    </rPh>
    <phoneticPr fontId="55"/>
  </si>
  <si>
    <r>
      <rPr>
        <sz val="10"/>
        <rFont val="ＭＳ Ｐゴシック"/>
        <family val="3"/>
        <charset val="128"/>
      </rPr>
      <t>長期借入金返済</t>
    </r>
    <rPh sb="0" eb="2">
      <t>チョウキ</t>
    </rPh>
    <rPh sb="2" eb="4">
      <t>カリイレ</t>
    </rPh>
    <rPh sb="4" eb="5">
      <t>キン</t>
    </rPh>
    <rPh sb="5" eb="7">
      <t>ヘンサイ</t>
    </rPh>
    <phoneticPr fontId="58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</si>
  <si>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8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</si>
  <si>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8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</si>
  <si>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8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</si>
  <si>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8"/>
  </si>
  <si>
    <t>実際</t>
    <rPh sb="0" eb="2">
      <t>ジッサイ</t>
    </rPh>
    <phoneticPr fontId="55"/>
  </si>
  <si>
    <t>差額</t>
    <rPh sb="0" eb="2">
      <t>サガク</t>
    </rPh>
    <phoneticPr fontId="55"/>
  </si>
  <si>
    <t>長期借入金</t>
    <rPh sb="0" eb="2">
      <t>チョウキ</t>
    </rPh>
    <rPh sb="2" eb="4">
      <t>カリイレ</t>
    </rPh>
    <rPh sb="4" eb="5">
      <t>キン</t>
    </rPh>
    <phoneticPr fontId="48"/>
  </si>
  <si>
    <t>残高</t>
    <rPh sb="0" eb="2">
      <t>ザンダカ</t>
    </rPh>
    <phoneticPr fontId="55"/>
  </si>
  <si>
    <t>月額</t>
    <rPh sb="0" eb="2">
      <t>ゲツガク</t>
    </rPh>
    <phoneticPr fontId="48"/>
  </si>
  <si>
    <t>㈱ｅｓエンター</t>
    <phoneticPr fontId="55"/>
  </si>
  <si>
    <t>毎月金額</t>
    <rPh sb="0" eb="2">
      <t>マイツキ</t>
    </rPh>
    <rPh sb="2" eb="4">
      <t>キンガク</t>
    </rPh>
    <phoneticPr fontId="55"/>
  </si>
  <si>
    <t>期首残高</t>
    <rPh sb="0" eb="2">
      <t>キシュ</t>
    </rPh>
    <rPh sb="2" eb="4">
      <t>ザンダカ</t>
    </rPh>
    <phoneticPr fontId="55"/>
  </si>
  <si>
    <t>終了年月</t>
    <rPh sb="0" eb="2">
      <t>シュウリョウ</t>
    </rPh>
    <rPh sb="2" eb="4">
      <t>ネンゲツ</t>
    </rPh>
    <phoneticPr fontId="55"/>
  </si>
  <si>
    <t>備考</t>
    <rPh sb="0" eb="2">
      <t>ビコウ</t>
    </rPh>
    <phoneticPr fontId="55"/>
  </si>
  <si>
    <t>日本政策金融公庫③2021/03</t>
    <rPh sb="0" eb="2">
      <t>ニホン</t>
    </rPh>
    <rPh sb="2" eb="4">
      <t>セイサク</t>
    </rPh>
    <rPh sb="4" eb="6">
      <t>キンユウ</t>
    </rPh>
    <rPh sb="6" eb="8">
      <t>コウコ</t>
    </rPh>
    <phoneticPr fontId="55"/>
  </si>
  <si>
    <t>商工中金</t>
    <rPh sb="0" eb="4">
      <t>ショウコウチュウキン</t>
    </rPh>
    <phoneticPr fontId="55"/>
  </si>
  <si>
    <t>R6.3/31開始</t>
    <rPh sb="7" eb="9">
      <t>カイシ</t>
    </rPh>
    <phoneticPr fontId="55"/>
  </si>
  <si>
    <t>合計</t>
    <rPh sb="0" eb="2">
      <t>ゴウケイ</t>
    </rPh>
    <phoneticPr fontId="55"/>
  </si>
  <si>
    <t>グループ合計</t>
    <rPh sb="4" eb="6">
      <t>ゴウケイ</t>
    </rPh>
    <phoneticPr fontId="55"/>
  </si>
  <si>
    <t>毎月返済額</t>
    <rPh sb="0" eb="2">
      <t>マイツキ</t>
    </rPh>
    <rPh sb="2" eb="4">
      <t>ヘンサイ</t>
    </rPh>
    <rPh sb="4" eb="5">
      <t>ガク</t>
    </rPh>
    <phoneticPr fontId="55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</si>
  <si>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5"/>
  </si>
  <si>
    <t>(株)ｅｓ　北洋銀行　コロナ</t>
    <rPh sb="0" eb="3">
      <t>カブ</t>
    </rPh>
    <rPh sb="6" eb="8">
      <t>ホクヨウ</t>
    </rPh>
    <rPh sb="8" eb="10">
      <t>ギンコウ</t>
    </rPh>
    <phoneticPr fontId="55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</si>
  <si>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5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</si>
  <si>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5"/>
  </si>
  <si>
    <t>ライフワーク　北洋銀行</t>
    <rPh sb="7" eb="9">
      <t>ホクヨウ</t>
    </rPh>
    <rPh sb="9" eb="11">
      <t>ギンコウ</t>
    </rPh>
    <phoneticPr fontId="55"/>
  </si>
  <si>
    <t>エスプロ　北洋銀行</t>
    <rPh sb="5" eb="7">
      <t>ホクヨウ</t>
    </rPh>
    <rPh sb="7" eb="9">
      <t>ギンコウ</t>
    </rPh>
    <phoneticPr fontId="55"/>
  </si>
  <si>
    <t>バークリ　北洋銀行</t>
    <rPh sb="5" eb="7">
      <t>ホクヨウ</t>
    </rPh>
    <rPh sb="7" eb="9">
      <t>ギンコウ</t>
    </rPh>
    <phoneticPr fontId="55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</si>
  <si>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</si>
  <si>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</si>
  <si>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</si>
  <si>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</si>
  <si>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</si>
  <si>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シェア</t>
    <phoneticPr fontId="45"/>
  </si>
  <si>
    <t>シェア</t>
    <phoneticPr fontId="1"/>
  </si>
  <si>
    <t>累計</t>
    <rPh sb="0" eb="2">
      <t>ルイケイ</t>
    </rPh>
    <phoneticPr fontId="45"/>
  </si>
  <si>
    <t>計画</t>
  </si>
  <si>
    <t>計画</t>
    <rPh sb="0" eb="2">
      <t>ケイカク</t>
    </rPh>
    <phoneticPr fontId="45"/>
  </si>
  <si>
    <t>実績</t>
  </si>
  <si>
    <t>実績</t>
    <rPh sb="0" eb="2">
      <t>ジッセキ</t>
    </rPh>
    <phoneticPr fontId="45"/>
  </si>
  <si>
    <t>差異</t>
    <rPh sb="0" eb="2">
      <t>サイ</t>
    </rPh>
    <phoneticPr fontId="45"/>
  </si>
  <si>
    <t>計画比</t>
  </si>
  <si>
    <t>計画比</t>
    <rPh sb="0" eb="3">
      <t>ケイカクヒ</t>
    </rPh>
    <phoneticPr fontId="45"/>
  </si>
  <si>
    <t>単位：千円</t>
  </si>
  <si>
    <t>ﾊﾟｯﾁﾝﾊﾞﾝﾄﾞ</t>
    <phoneticPr fontId="45"/>
  </si>
  <si>
    <t>ｱｹﾙﾝﾌﾟﾛﾚﾝﾀﾙ</t>
    <phoneticPr fontId="45"/>
  </si>
  <si>
    <t>ﾁｹｯﾄ制作ﾀｶﾊｼﾓﾄﾋﾛ</t>
    <rPh sb="4" eb="6">
      <t>セイサク</t>
    </rPh>
    <phoneticPr fontId="45"/>
  </si>
  <si>
    <t>売上高</t>
    <rPh sb="0" eb="3">
      <t>ウリアゲダカ</t>
    </rPh>
    <phoneticPr fontId="45"/>
  </si>
  <si>
    <t>弁当受注減</t>
    <rPh sb="0" eb="2">
      <t>ベントウ</t>
    </rPh>
    <rPh sb="2" eb="5">
      <t>ジュチュウゲン</t>
    </rPh>
    <phoneticPr fontId="45"/>
  </si>
  <si>
    <t>レストラン売上</t>
    <rPh sb="5" eb="7">
      <t>ウリアゲ</t>
    </rPh>
    <phoneticPr fontId="45"/>
  </si>
  <si>
    <t>原価率</t>
    <rPh sb="0" eb="3">
      <t>ゲンカリツ</t>
    </rPh>
    <phoneticPr fontId="45"/>
  </si>
  <si>
    <t>-1.5p</t>
    <phoneticPr fontId="45"/>
  </si>
  <si>
    <t>対相乗積</t>
    <rPh sb="0" eb="4">
      <t>タイソウジョウセキ</t>
    </rPh>
    <phoneticPr fontId="45"/>
  </si>
  <si>
    <t>ﾚｽﾄﾗﾝ</t>
    <phoneticPr fontId="45"/>
  </si>
  <si>
    <t>村</t>
    <rPh sb="0" eb="1">
      <t>ムラ</t>
    </rPh>
    <phoneticPr fontId="45"/>
  </si>
  <si>
    <t>+4.7p</t>
    <phoneticPr fontId="45"/>
  </si>
  <si>
    <t>租税公課</t>
    <rPh sb="0" eb="4">
      <t>ソゼイコウカ</t>
    </rPh>
    <phoneticPr fontId="45"/>
  </si>
  <si>
    <t>償却資産税</t>
    <rPh sb="0" eb="5">
      <t>ショウキャクシサンゼイ</t>
    </rPh>
    <phoneticPr fontId="45"/>
  </si>
  <si>
    <t>広告宣伝費</t>
    <rPh sb="0" eb="5">
      <t>コウコクセンデンヒ</t>
    </rPh>
    <phoneticPr fontId="45"/>
  </si>
  <si>
    <t>ﾗｲﾌﾜｰｸ</t>
    <phoneticPr fontId="45"/>
  </si>
  <si>
    <t>SNS運用費</t>
    <rPh sb="3" eb="5">
      <t>ウンヨウ</t>
    </rPh>
    <rPh sb="5" eb="6">
      <t>ヒ</t>
    </rPh>
    <phoneticPr fontId="45"/>
  </si>
  <si>
    <t>-1.0p</t>
    <phoneticPr fontId="45"/>
  </si>
  <si>
    <t>年間平均予算の為</t>
    <rPh sb="0" eb="4">
      <t>ネンカンヘイキン</t>
    </rPh>
    <rPh sb="4" eb="6">
      <t>ヨサン</t>
    </rPh>
    <rPh sb="7" eb="8">
      <t>タメ</t>
    </rPh>
    <phoneticPr fontId="45"/>
  </si>
  <si>
    <t>+2.1p</t>
    <phoneticPr fontId="45"/>
  </si>
  <si>
    <t>-19.6p</t>
    <phoneticPr fontId="45"/>
  </si>
  <si>
    <t>ﾗｲﾌﾜｰｸ</t>
  </si>
  <si>
    <t>水道光熱費</t>
    <rPh sb="0" eb="5">
      <t>スイドウコウネツヒ</t>
    </rPh>
    <phoneticPr fontId="45"/>
  </si>
  <si>
    <t>冬季特殊要因？</t>
    <rPh sb="0" eb="2">
      <t>トウキ</t>
    </rPh>
    <rPh sb="2" eb="6">
      <t>トクシュヨウイン</t>
    </rPh>
    <phoneticPr fontId="45"/>
  </si>
  <si>
    <t>SNS運用費</t>
  </si>
  <si>
    <t>営業利益</t>
    <rPh sb="0" eb="4">
      <t>エイギョウリエキ</t>
    </rPh>
    <phoneticPr fontId="45"/>
  </si>
  <si>
    <t>3-6月計画値</t>
    <rPh sb="3" eb="4">
      <t>ガツ</t>
    </rPh>
    <rPh sb="4" eb="6">
      <t>ケイカク</t>
    </rPh>
    <rPh sb="6" eb="7">
      <t>チ</t>
    </rPh>
    <phoneticPr fontId="45"/>
  </si>
  <si>
    <t>R7/6着地見込</t>
    <rPh sb="4" eb="8">
      <t>チャクチミコ</t>
    </rPh>
    <phoneticPr fontId="45"/>
  </si>
  <si>
    <t>人件費</t>
    <rPh sb="0" eb="3">
      <t>ジンケンヒ</t>
    </rPh>
    <phoneticPr fontId="45"/>
  </si>
  <si>
    <t>要因検討</t>
    <rPh sb="0" eb="4">
      <t>ヨウインケントウ</t>
    </rPh>
    <phoneticPr fontId="45"/>
  </si>
  <si>
    <t>弁当予算差異</t>
    <rPh sb="0" eb="2">
      <t>ベントウ</t>
    </rPh>
    <rPh sb="2" eb="4">
      <t>ヨサン</t>
    </rPh>
    <rPh sb="4" eb="6">
      <t>サイ</t>
    </rPh>
    <phoneticPr fontId="45"/>
  </si>
  <si>
    <t>-2.2p</t>
    <phoneticPr fontId="45"/>
  </si>
  <si>
    <t>+0.6p</t>
    <phoneticPr fontId="45"/>
  </si>
  <si>
    <t>4-6月計画値</t>
    <rPh sb="3" eb="4">
      <t>ガツ</t>
    </rPh>
    <rPh sb="4" eb="6">
      <t>ケイカク</t>
    </rPh>
    <rPh sb="6" eb="7">
      <t>チ</t>
    </rPh>
    <phoneticPr fontId="45"/>
  </si>
  <si>
    <t>予算見直し</t>
    <rPh sb="0" eb="4">
      <t>ヨサンミナオ</t>
    </rPh>
    <phoneticPr fontId="45"/>
  </si>
  <si>
    <t>+120</t>
  </si>
  <si>
    <t>水道光熱費</t>
    <rPh sb="0" eb="5">
      <t>スイドウコウネツヒ</t>
    </rPh>
    <phoneticPr fontId="45"/>
  </si>
  <si>
    <t>締日の影響？</t>
    <rPh sb="0" eb="2">
      <t>シメビ</t>
    </rPh>
    <rPh sb="3" eb="5">
      <t>エイキョウ</t>
    </rPh>
    <phoneticPr fontId="45"/>
  </si>
  <si>
    <t>FL(除くサウナ)</t>
    <rPh sb="3" eb="4">
      <t>ノゾ</t>
    </rPh>
    <phoneticPr fontId="1"/>
  </si>
  <si>
    <t>売上(除くサウナ・家賃)</t>
    <rPh sb="0" eb="2">
      <t>ウリアゲ</t>
    </rPh>
    <rPh sb="3" eb="4">
      <t>ノゾ</t>
    </rPh>
    <rPh sb="9" eb="11">
      <t>ヤチン</t>
    </rPh>
    <phoneticPr fontId="1"/>
  </si>
  <si>
    <t>FL改善</t>
    <rPh sb="2" eb="4">
      <t>カイゼン</t>
    </rPh>
    <phoneticPr fontId="45"/>
  </si>
  <si>
    <t>対12月比</t>
    <rPh sb="0" eb="1">
      <t>タイ</t>
    </rPh>
    <rPh sb="3" eb="5">
      <t>ガツヒ</t>
    </rPh>
    <phoneticPr fontId="45"/>
  </si>
  <si>
    <t>-1.2p</t>
    <phoneticPr fontId="45"/>
  </si>
  <si>
    <t>サウナ</t>
    <phoneticPr fontId="45"/>
  </si>
  <si>
    <t>-0.2p</t>
    <phoneticPr fontId="45"/>
  </si>
  <si>
    <t>+9.3p</t>
    <phoneticPr fontId="45"/>
  </si>
  <si>
    <t>LP制作ｵﾉﾐﾕ</t>
    <rPh sb="2" eb="4">
      <t>セイサク</t>
    </rPh>
    <phoneticPr fontId="45"/>
  </si>
  <si>
    <t>３月から計画比+傾向</t>
    <rPh sb="1" eb="2">
      <t>ガツ</t>
    </rPh>
    <rPh sb="4" eb="7">
      <t>ケイカクヒ</t>
    </rPh>
    <rPh sb="8" eb="10">
      <t>ケイコウ</t>
    </rPh>
    <phoneticPr fontId="45"/>
  </si>
  <si>
    <t>5-6月計画値</t>
    <rPh sb="3" eb="4">
      <t>ガツ</t>
    </rPh>
    <rPh sb="4" eb="6">
      <t>ケイカク</t>
    </rPh>
    <rPh sb="6" eb="7">
      <t>チ</t>
    </rPh>
    <phoneticPr fontId="45"/>
  </si>
  <si>
    <t>-0.3p</t>
    <phoneticPr fontId="45"/>
  </si>
  <si>
    <t>+14.4p</t>
    <phoneticPr fontId="45"/>
  </si>
  <si>
    <t>6月計画値</t>
    <rPh sb="1" eb="2">
      <t>ガツ</t>
    </rPh>
    <rPh sb="2" eb="4">
      <t>ケイカク</t>
    </rPh>
    <rPh sb="4" eb="5">
      <t>チ</t>
    </rPh>
    <phoneticPr fontId="45"/>
  </si>
  <si>
    <t>次年度計画時再検証</t>
    <rPh sb="0" eb="3">
      <t>ジネンド</t>
    </rPh>
    <rPh sb="3" eb="6">
      <t>ケイカクジ</t>
    </rPh>
    <rPh sb="6" eb="9">
      <t>サイケンショウ</t>
    </rPh>
    <phoneticPr fontId="45"/>
  </si>
  <si>
    <t>決算対策</t>
    <rPh sb="0" eb="4">
      <t>ケッサンタイサク</t>
    </rPh>
    <phoneticPr fontId="45"/>
  </si>
  <si>
    <t>消耗品資産計上</t>
    <rPh sb="0" eb="7">
      <t>ショウモウヒンシサンケイジョウ</t>
    </rPh>
    <phoneticPr fontId="45"/>
  </si>
  <si>
    <t>償却費調整</t>
    <rPh sb="0" eb="3">
      <t>ショウキャクヒ</t>
    </rPh>
    <rPh sb="3" eb="5">
      <t>チョウセイ</t>
    </rPh>
    <phoneticPr fontId="45"/>
  </si>
  <si>
    <t>6月</t>
    <rPh sb="1" eb="2">
      <t>ガツ</t>
    </rPh>
    <phoneticPr fontId="45"/>
  </si>
  <si>
    <t>4月と同水準？？</t>
    <rPh sb="1" eb="2">
      <t>ガツ</t>
    </rPh>
    <rPh sb="3" eb="6">
      <t>ドウスイジュン</t>
    </rPh>
    <phoneticPr fontId="45"/>
  </si>
  <si>
    <t>助成金</t>
    <rPh sb="0" eb="3">
      <t>ジョセイキン</t>
    </rPh>
    <phoneticPr fontId="45"/>
  </si>
  <si>
    <t>キャリアアップ</t>
    <phoneticPr fontId="45"/>
  </si>
  <si>
    <t>協賛金</t>
    <rPh sb="0" eb="3">
      <t>キョウサンキン</t>
    </rPh>
    <phoneticPr fontId="45"/>
  </si>
  <si>
    <t>サッポロビール</t>
    <phoneticPr fontId="45"/>
  </si>
  <si>
    <t>相乗積28.0%</t>
    <rPh sb="0" eb="3">
      <t>ソウジョウセキ</t>
    </rPh>
    <phoneticPr fontId="45"/>
  </si>
  <si>
    <t>-1.4p</t>
    <phoneticPr fontId="45"/>
  </si>
  <si>
    <t>相乗積0.3%</t>
    <rPh sb="0" eb="3">
      <t>ソウジョウセキ</t>
    </rPh>
    <phoneticPr fontId="45"/>
  </si>
  <si>
    <t>+18.0p</t>
    <phoneticPr fontId="45"/>
  </si>
  <si>
    <t>R7/6決算見込</t>
    <rPh sb="4" eb="8">
      <t>ケッサンミコ</t>
    </rPh>
    <phoneticPr fontId="45"/>
  </si>
  <si>
    <t>利子補給振替</t>
    <rPh sb="0" eb="4">
      <t>リシホキュウ</t>
    </rPh>
    <rPh sb="4" eb="6">
      <t>フリカエ</t>
    </rPh>
    <phoneticPr fontId="45"/>
  </si>
  <si>
    <t>決算整理</t>
    <rPh sb="0" eb="2">
      <t>ケッサン</t>
    </rPh>
    <rPh sb="2" eb="4">
      <t>セイリ</t>
    </rPh>
    <phoneticPr fontId="45"/>
  </si>
  <si>
    <t>手入力</t>
    <rPh sb="0" eb="1">
      <t>テ</t>
    </rPh>
    <rPh sb="1" eb="3">
      <t>ニュウリョク</t>
    </rPh>
    <phoneticPr fontId="55"/>
  </si>
  <si>
    <t>R8.07</t>
  </si>
  <si>
    <t>R8.08</t>
  </si>
  <si>
    <t>R8.09</t>
  </si>
  <si>
    <t>R8.10</t>
  </si>
  <si>
    <t>R8.11</t>
  </si>
  <si>
    <t>R8.12</t>
  </si>
  <si>
    <t>R9.01</t>
    <phoneticPr fontId="55"/>
  </si>
  <si>
    <t>R9.02</t>
  </si>
  <si>
    <t>助成金</t>
    <rPh sb="0" eb="3">
      <t>ジョセイキン</t>
    </rPh>
    <phoneticPr fontId="55"/>
  </si>
  <si>
    <t>立替金回収</t>
    <rPh sb="0" eb="3">
      <t>タテカエキン</t>
    </rPh>
    <rPh sb="3" eb="5">
      <t>カイシュウ</t>
    </rPh>
    <phoneticPr fontId="55"/>
  </si>
  <si>
    <t>投資・株式</t>
    <rPh sb="0" eb="2">
      <t>トウシ</t>
    </rPh>
    <rPh sb="3" eb="5">
      <t>カブシキ</t>
    </rPh>
    <phoneticPr fontId="58"/>
  </si>
  <si>
    <t>法人税予測</t>
    <rPh sb="0" eb="3">
      <t>ホウジンゼイ</t>
    </rPh>
    <rPh sb="3" eb="5">
      <t>ヨソク</t>
    </rPh>
    <phoneticPr fontId="48"/>
  </si>
  <si>
    <t>消費税予測</t>
    <rPh sb="0" eb="3">
      <t>ショウヒゼイ</t>
    </rPh>
    <rPh sb="3" eb="5">
      <t>ヨソク</t>
    </rPh>
    <phoneticPr fontId="48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</si>
  <si>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8"/>
  </si>
  <si>
    <t>2026.02.28開始初回のみ215,000円</t>
    <rPh sb="10" eb="12">
      <t>カイシ</t>
    </rPh>
    <rPh sb="12" eb="14">
      <t>ショカイ</t>
    </rPh>
    <rPh sb="23" eb="24">
      <t>エン</t>
    </rPh>
    <phoneticPr fontId="55"/>
  </si>
  <si>
    <t>北洋銀行①</t>
    <rPh sb="0" eb="2">
      <t>ホクヨウ</t>
    </rPh>
    <rPh sb="2" eb="4">
      <t>ギンコウ</t>
    </rPh>
    <phoneticPr fontId="55"/>
  </si>
  <si>
    <t>2026.11.02開始</t>
    <rPh sb="10" eb="12">
      <t>カイシ</t>
    </rPh>
    <phoneticPr fontId="55"/>
  </si>
  <si>
    <t>北洋銀行②</t>
    <rPh sb="0" eb="2">
      <t>ホクヨウ</t>
    </rPh>
    <rPh sb="2" eb="4">
      <t>ギンコウ</t>
    </rPh>
    <phoneticPr fontId="55"/>
  </si>
  <si>
    <t>2027.04.15開始</t>
    <rPh sb="10" eb="12">
      <t>カイシ</t>
    </rPh>
    <phoneticPr fontId="55"/>
  </si>
  <si>
    <t>北洋銀行③</t>
    <rPh sb="0" eb="2">
      <t>ホクヨウ</t>
    </rPh>
    <rPh sb="2" eb="4">
      <t>ギンコウ</t>
    </rPh>
    <phoneticPr fontId="55"/>
  </si>
  <si>
    <t>2027.04.22開始</t>
    <rPh sb="10" eb="12">
      <t>カイシ</t>
    </rPh>
    <phoneticPr fontId="55"/>
  </si>
  <si>
    <t>弁当受注増</t>
    <rPh sb="0" eb="2">
      <t>ベントウ</t>
    </rPh>
    <rPh sb="2" eb="4">
      <t>ジュチュウ</t>
    </rPh>
    <rPh sb="4" eb="5">
      <t>ゾウ</t>
    </rPh>
    <phoneticPr fontId="45"/>
  </si>
  <si>
    <t>R9.01</t>
  </si>
  <si>
    <t>R9.03</t>
  </si>
  <si>
    <t>R9.04</t>
  </si>
  <si>
    <t>R9.05</t>
  </si>
  <si>
    <t>R9.06</t>
  </si>
  <si>
    <t>+1.1p</t>
    <phoneticPr fontId="45"/>
  </si>
  <si>
    <t>計画比</t>
    <rPh sb="0" eb="3">
      <t>ケイカクヒ</t>
    </rPh>
    <phoneticPr fontId="45"/>
  </si>
  <si>
    <t>村</t>
  </si>
  <si>
    <t>+4.7p</t>
  </si>
  <si>
    <t>+2.1p</t>
  </si>
  <si>
    <t>-19.6p</t>
  </si>
  <si>
    <t>+0.6p</t>
  </si>
  <si>
    <t>+9.3p</t>
  </si>
  <si>
    <t>+14.4p</t>
  </si>
  <si>
    <t>+18.0p</t>
  </si>
  <si>
    <t>相乗積0.3%</t>
  </si>
  <si>
    <t>レストラン売上未達が主要因</t>
    <rPh sb="7" eb="9">
      <t>ミタツ</t>
    </rPh>
    <rPh sb="10" eb="13">
      <t>シュヨウイン</t>
    </rPh>
    <phoneticPr fontId="45"/>
  </si>
  <si>
    <t>FL</t>
    <phoneticPr fontId="45"/>
  </si>
  <si>
    <t>-1.2p</t>
    <phoneticPr fontId="45"/>
  </si>
  <si>
    <t>原価率改善効果？</t>
    <rPh sb="0" eb="5">
      <t>ゲンカリツカイゼン</t>
    </rPh>
    <rPh sb="5" eb="7">
      <t>コウカ</t>
    </rPh>
    <phoneticPr fontId="4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</si>
</sst>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</numFmts>
  <fonts count="67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b/>
      <u/>
      <sz val="10"/>
      <name val="Arial"/>
      <family val="2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2" applyNumberFormat="0" applyFont="0" applyAlignment="0" applyProtection="0">
      <alignment vertical="center"/>
    </xf>
    <xf numFmtId="0" fontId="7" fillId="0" borderId="5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5" applyNumberFormat="0" applyFill="0" applyAlignment="0" applyProtection="0">
      <alignment vertical="center"/>
    </xf>
    <xf numFmtId="0" fontId="12" fillId="0" borderId="56" applyNumberFormat="0" applyFill="0" applyAlignment="0" applyProtection="0">
      <alignment vertical="center"/>
    </xf>
    <xf numFmtId="0" fontId="13" fillId="0" borderId="5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8" applyNumberFormat="0" applyFill="0" applyAlignment="0" applyProtection="0">
      <alignment vertical="center"/>
    </xf>
    <xf numFmtId="0" fontId="15" fillId="30" borderId="5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9" fillId="0" borderId="0">
      <alignment vertical="center"/>
    </xf>
    <xf numFmtId="38" fontId="39" fillId="0" borderId="0" applyFont="0" applyFill="0" applyBorder="0" applyAlignment="0" applyProtection="0">
      <alignment vertical="center"/>
    </xf>
  </cellStyleXfs>
  <cellXfs count="613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7" xfId="33" applyNumberFormat="1" applyFont="1" applyBorder="1" applyAlignment="1">
      <alignment horizontal="right" vertical="center"/>
    </xf>
    <xf numFmtId="177" fontId="19" fillId="0" borderId="28" xfId="33" applyNumberFormat="1" applyFont="1" applyBorder="1" applyAlignment="1">
      <alignment horizontal="right"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50" xfId="0" applyFont="1" applyBorder="1" applyAlignment="1">
      <alignment horizontal="right" vertical="center"/>
    </xf>
    <xf numFmtId="177" fontId="27" fillId="0" borderId="50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2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0" borderId="0" xfId="33" applyFont="1">
      <alignment vertical="center"/>
    </xf>
    <xf numFmtId="38" fontId="34" fillId="38" borderId="1" xfId="33" applyFont="1" applyFill="1" applyBorder="1" applyAlignment="1">
      <alignment horizontal="center" vertical="center"/>
    </xf>
    <xf numFmtId="38" fontId="34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5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5" fillId="0" borderId="1" xfId="33" applyFont="1" applyBorder="1">
      <alignment vertical="center"/>
    </xf>
    <xf numFmtId="38" fontId="35" fillId="0" borderId="30" xfId="33" applyFont="1" applyBorder="1">
      <alignment vertical="center"/>
    </xf>
    <xf numFmtId="38" fontId="35" fillId="0" borderId="60" xfId="33" applyFont="1" applyBorder="1">
      <alignment vertical="center"/>
    </xf>
    <xf numFmtId="38" fontId="35" fillId="0" borderId="42" xfId="33" applyFont="1" applyBorder="1">
      <alignment vertical="center"/>
    </xf>
    <xf numFmtId="38" fontId="35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4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60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60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176" fontId="20" fillId="0" borderId="65" xfId="33" applyNumberFormat="1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3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50" xfId="0" applyFont="1" applyBorder="1">
      <alignment vertical="center"/>
    </xf>
    <xf numFmtId="38" fontId="19" fillId="0" borderId="61" xfId="33" applyFont="1" applyFill="1" applyBorder="1">
      <alignment vertical="center"/>
    </xf>
    <xf numFmtId="38" fontId="19" fillId="0" borderId="50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6" xfId="33" applyFont="1" applyBorder="1">
      <alignment vertical="center"/>
    </xf>
    <xf numFmtId="38" fontId="19" fillId="0" borderId="68" xfId="33" applyFont="1" applyBorder="1">
      <alignment vertical="center"/>
    </xf>
    <xf numFmtId="38" fontId="19" fillId="41" borderId="66" xfId="33" applyFont="1" applyFill="1" applyBorder="1">
      <alignment vertical="center"/>
    </xf>
    <xf numFmtId="38" fontId="28" fillId="41" borderId="66" xfId="33" applyFont="1" applyFill="1" applyBorder="1">
      <alignment vertical="center"/>
    </xf>
    <xf numFmtId="38" fontId="35" fillId="41" borderId="67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5" fillId="41" borderId="30" xfId="33" applyFont="1" applyFill="1" applyBorder="1">
      <alignment vertical="center"/>
    </xf>
    <xf numFmtId="38" fontId="19" fillId="41" borderId="68" xfId="33" applyFont="1" applyFill="1" applyBorder="1">
      <alignment vertical="center"/>
    </xf>
    <xf numFmtId="38" fontId="28" fillId="41" borderId="68" xfId="33" applyFont="1" applyFill="1" applyBorder="1">
      <alignment vertical="center"/>
    </xf>
    <xf numFmtId="38" fontId="35" fillId="41" borderId="69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63" xfId="0" applyFont="1" applyBorder="1">
      <alignment vertical="center"/>
    </xf>
    <xf numFmtId="38" fontId="20" fillId="0" borderId="64" xfId="33" applyFont="1" applyFill="1" applyBorder="1">
      <alignment vertical="center"/>
    </xf>
    <xf numFmtId="38" fontId="20" fillId="0" borderId="63" xfId="33" applyFont="1" applyFill="1" applyBorder="1">
      <alignment vertical="center"/>
    </xf>
    <xf numFmtId="0" fontId="20" fillId="0" borderId="2" xfId="0" applyFont="1" applyBorder="1">
      <alignment vertical="center"/>
    </xf>
    <xf numFmtId="38" fontId="20" fillId="0" borderId="11" xfId="33" applyFont="1" applyFill="1" applyBorder="1">
      <alignment vertical="center"/>
    </xf>
    <xf numFmtId="176" fontId="20" fillId="0" borderId="12" xfId="33" applyNumberFormat="1" applyFont="1" applyFill="1" applyBorder="1">
      <alignment vertical="center"/>
    </xf>
    <xf numFmtId="38" fontId="20" fillId="0" borderId="2" xfId="33" applyFont="1" applyFill="1" applyBorder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6" fillId="0" borderId="0" xfId="0" applyFont="1">
      <alignment vertical="center"/>
    </xf>
    <xf numFmtId="38" fontId="36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4" fillId="42" borderId="0" xfId="43" applyFont="1" applyFill="1">
      <alignment vertical="center"/>
    </xf>
    <xf numFmtId="0" fontId="46" fillId="42" borderId="20" xfId="43" applyFont="1" applyFill="1" applyBorder="1" applyAlignment="1">
      <alignment horizontal="center" vertical="center"/>
    </xf>
    <xf numFmtId="0" fontId="47" fillId="0" borderId="0" xfId="43" applyFont="1">
      <alignment vertical="center"/>
    </xf>
    <xf numFmtId="0" fontId="49" fillId="0" borderId="0" xfId="43" applyFont="1">
      <alignment vertical="center"/>
    </xf>
    <xf numFmtId="0" fontId="47" fillId="43" borderId="0" xfId="43" applyFont="1" applyFill="1">
      <alignment vertical="center"/>
    </xf>
    <xf numFmtId="0" fontId="49" fillId="43" borderId="0" xfId="43" applyFont="1" applyFill="1">
      <alignment vertical="center"/>
    </xf>
    <xf numFmtId="0" fontId="50" fillId="0" borderId="0" xfId="43" applyFont="1">
      <alignment vertical="center"/>
    </xf>
    <xf numFmtId="0" fontId="51" fillId="0" borderId="0" xfId="43" applyFont="1">
      <alignment vertical="center"/>
    </xf>
    <xf numFmtId="0" fontId="52" fillId="0" borderId="0" xfId="43" applyFont="1">
      <alignment vertical="center"/>
    </xf>
    <xf numFmtId="0" fontId="44" fillId="0" borderId="0" xfId="43" applyFont="1">
      <alignment vertical="center"/>
    </xf>
    <xf numFmtId="179" fontId="54" fillId="44" borderId="72" xfId="43" applyNumberFormat="1" applyFont="1" applyFill="1" applyBorder="1" applyAlignment="1">
      <alignment horizontal="center" vertical="center"/>
    </xf>
    <xf numFmtId="180" fontId="53" fillId="44" borderId="75" xfId="43" applyNumberFormat="1" applyFont="1" applyFill="1" applyBorder="1">
      <alignment vertical="center"/>
    </xf>
    <xf numFmtId="38" fontId="44" fillId="0" borderId="78" xfId="44" applyFont="1" applyFill="1" applyBorder="1">
      <alignment vertical="center"/>
    </xf>
    <xf numFmtId="38" fontId="44" fillId="0" borderId="69" xfId="44" applyFont="1" applyFill="1" applyBorder="1">
      <alignment vertical="center"/>
    </xf>
    <xf numFmtId="38" fontId="44" fillId="0" borderId="34" xfId="44" applyFont="1" applyFill="1" applyBorder="1">
      <alignment vertical="center"/>
    </xf>
    <xf numFmtId="38" fontId="44" fillId="0" borderId="67" xfId="44" applyFont="1" applyFill="1" applyBorder="1">
      <alignment vertical="center"/>
    </xf>
    <xf numFmtId="0" fontId="41" fillId="42" borderId="0" xfId="43" applyFont="1" applyFill="1" applyAlignment="1">
      <alignment horizontal="center" vertical="center"/>
    </xf>
    <xf numFmtId="0" fontId="41" fillId="42" borderId="0" xfId="43" applyFont="1" applyFill="1">
      <alignment vertical="center"/>
    </xf>
    <xf numFmtId="38" fontId="44" fillId="0" borderId="36" xfId="44" applyFont="1" applyFill="1" applyBorder="1">
      <alignment vertical="center"/>
    </xf>
    <xf numFmtId="0" fontId="44" fillId="45" borderId="60" xfId="43" applyFont="1" applyFill="1" applyBorder="1" applyAlignment="1">
      <alignment horizontal="center" vertical="center"/>
    </xf>
    <xf numFmtId="176" fontId="44" fillId="0" borderId="0" xfId="43" applyNumberFormat="1" applyFont="1">
      <alignment vertical="center"/>
    </xf>
    <xf numFmtId="176" fontId="44" fillId="0" borderId="30" xfId="43" applyNumberFormat="1" applyFont="1" applyBorder="1">
      <alignment vertical="center"/>
    </xf>
    <xf numFmtId="176" fontId="44" fillId="0" borderId="40" xfId="43" applyNumberFormat="1" applyFont="1" applyBorder="1">
      <alignment vertical="center"/>
    </xf>
    <xf numFmtId="38" fontId="44" fillId="36" borderId="30" xfId="43" applyNumberFormat="1" applyFont="1" applyFill="1" applyBorder="1">
      <alignment vertical="center"/>
    </xf>
    <xf numFmtId="38" fontId="56" fillId="33" borderId="78" xfId="43" applyNumberFormat="1" applyFont="1" applyFill="1" applyBorder="1">
      <alignment vertical="center"/>
    </xf>
    <xf numFmtId="0" fontId="41" fillId="45" borderId="19" xfId="43" applyFont="1" applyFill="1" applyBorder="1" applyAlignment="1">
      <alignment horizontal="center" vertical="center"/>
    </xf>
    <xf numFmtId="0" fontId="44" fillId="42" borderId="0" xfId="43" applyFont="1" applyFill="1" applyAlignment="1">
      <alignment horizontal="center" vertical="center"/>
    </xf>
    <xf numFmtId="176" fontId="56" fillId="33" borderId="75" xfId="43" applyNumberFormat="1" applyFont="1" applyFill="1" applyBorder="1">
      <alignment vertical="center"/>
    </xf>
    <xf numFmtId="38" fontId="44" fillId="0" borderId="3" xfId="44" applyFont="1" applyFill="1" applyBorder="1">
      <alignment vertical="center"/>
    </xf>
    <xf numFmtId="38" fontId="41" fillId="0" borderId="3" xfId="44" applyFont="1" applyFill="1" applyBorder="1" applyAlignment="1">
      <alignment horizontal="center" vertical="center"/>
    </xf>
    <xf numFmtId="38" fontId="44" fillId="0" borderId="26" xfId="44" applyFont="1" applyFill="1" applyBorder="1">
      <alignment vertical="center"/>
    </xf>
    <xf numFmtId="38" fontId="44" fillId="36" borderId="40" xfId="44" applyFont="1" applyFill="1" applyBorder="1">
      <alignment vertical="center"/>
    </xf>
    <xf numFmtId="38" fontId="44" fillId="0" borderId="32" xfId="44" applyFont="1" applyFill="1" applyBorder="1">
      <alignment vertical="center"/>
    </xf>
    <xf numFmtId="38" fontId="41" fillId="0" borderId="3" xfId="44" applyFont="1" applyFill="1" applyBorder="1" applyAlignment="1">
      <alignment horizontal="right" vertical="center"/>
    </xf>
    <xf numFmtId="38" fontId="41" fillId="42" borderId="3" xfId="44" applyFont="1" applyFill="1" applyBorder="1" applyAlignment="1">
      <alignment horizontal="right" vertical="center"/>
    </xf>
    <xf numFmtId="38" fontId="44" fillId="36" borderId="30" xfId="44" applyFont="1" applyFill="1" applyBorder="1">
      <alignment vertical="center"/>
    </xf>
    <xf numFmtId="38" fontId="44" fillId="36" borderId="38" xfId="44" applyFont="1" applyFill="1" applyBorder="1">
      <alignment vertical="center"/>
    </xf>
    <xf numFmtId="38" fontId="56" fillId="36" borderId="93" xfId="44" applyFont="1" applyFill="1" applyBorder="1">
      <alignment vertical="center"/>
    </xf>
    <xf numFmtId="38" fontId="41" fillId="0" borderId="26" xfId="44" applyFont="1" applyFill="1" applyBorder="1" applyAlignment="1">
      <alignment horizontal="right" vertical="center"/>
    </xf>
    <xf numFmtId="38" fontId="44" fillId="0" borderId="38" xfId="44" applyFont="1" applyFill="1" applyBorder="1">
      <alignment vertical="center"/>
    </xf>
    <xf numFmtId="38" fontId="44" fillId="0" borderId="40" xfId="44" applyFont="1" applyFill="1" applyBorder="1">
      <alignment vertical="center"/>
    </xf>
    <xf numFmtId="38" fontId="44" fillId="0" borderId="42" xfId="44" applyFont="1" applyFill="1" applyBorder="1">
      <alignment vertical="center"/>
    </xf>
    <xf numFmtId="38" fontId="56" fillId="36" borderId="100" xfId="44" applyFont="1" applyFill="1" applyBorder="1">
      <alignment vertical="center"/>
    </xf>
    <xf numFmtId="0" fontId="41" fillId="0" borderId="101" xfId="43" applyFont="1" applyBorder="1" applyAlignment="1">
      <alignment horizontal="center" vertical="center"/>
    </xf>
    <xf numFmtId="38" fontId="44" fillId="0" borderId="101" xfId="44" applyFont="1" applyFill="1" applyBorder="1">
      <alignment vertical="center"/>
    </xf>
    <xf numFmtId="38" fontId="44" fillId="36" borderId="102" xfId="44" applyFont="1" applyFill="1" applyBorder="1">
      <alignment vertical="center"/>
    </xf>
    <xf numFmtId="176" fontId="44" fillId="36" borderId="28" xfId="43" applyNumberFormat="1" applyFont="1" applyFill="1" applyBorder="1">
      <alignment vertical="center"/>
    </xf>
    <xf numFmtId="38" fontId="57" fillId="0" borderId="0" xfId="44" applyFont="1" applyFill="1" applyBorder="1">
      <alignment vertical="center"/>
    </xf>
    <xf numFmtId="181" fontId="53" fillId="46" borderId="72" xfId="43" applyNumberFormat="1" applyFont="1" applyFill="1" applyBorder="1">
      <alignment vertical="center"/>
    </xf>
    <xf numFmtId="180" fontId="53" fillId="46" borderId="75" xfId="43" applyNumberFormat="1" applyFont="1" applyFill="1" applyBorder="1">
      <alignment vertical="center"/>
    </xf>
    <xf numFmtId="38" fontId="42" fillId="0" borderId="107" xfId="44" applyFont="1" applyBorder="1">
      <alignment vertical="center"/>
    </xf>
    <xf numFmtId="38" fontId="42" fillId="0" borderId="77" xfId="44" applyFont="1" applyBorder="1">
      <alignment vertical="center"/>
    </xf>
    <xf numFmtId="38" fontId="42" fillId="0" borderId="78" xfId="44" applyFont="1" applyBorder="1">
      <alignment vertical="center"/>
    </xf>
    <xf numFmtId="38" fontId="42" fillId="0" borderId="80" xfId="44" applyFont="1" applyBorder="1">
      <alignment vertical="center"/>
    </xf>
    <xf numFmtId="38" fontId="42" fillId="0" borderId="34" xfId="44" applyFont="1" applyBorder="1">
      <alignment vertical="center"/>
    </xf>
    <xf numFmtId="38" fontId="42" fillId="0" borderId="82" xfId="44" applyFont="1" applyBorder="1">
      <alignment vertical="center"/>
    </xf>
    <xf numFmtId="38" fontId="42" fillId="0" borderId="36" xfId="44" applyFont="1" applyBorder="1">
      <alignment vertical="center"/>
    </xf>
    <xf numFmtId="38" fontId="42" fillId="0" borderId="84" xfId="44" applyFont="1" applyBorder="1" applyAlignment="1">
      <alignment horizontal="right" vertical="center"/>
    </xf>
    <xf numFmtId="38" fontId="42" fillId="0" borderId="40" xfId="44" applyFont="1" applyBorder="1">
      <alignment vertical="center"/>
    </xf>
    <xf numFmtId="38" fontId="42" fillId="0" borderId="112" xfId="44" applyFont="1" applyBorder="1">
      <alignment vertical="center"/>
    </xf>
    <xf numFmtId="38" fontId="42" fillId="0" borderId="69" xfId="44" applyFont="1" applyBorder="1">
      <alignment vertical="center"/>
    </xf>
    <xf numFmtId="38" fontId="41" fillId="0" borderId="80" xfId="44" applyFont="1" applyBorder="1">
      <alignment vertical="center"/>
    </xf>
    <xf numFmtId="0" fontId="44" fillId="42" borderId="0" xfId="43" applyFont="1" applyFill="1" applyAlignment="1">
      <alignment horizontal="right" vertical="center"/>
    </xf>
    <xf numFmtId="38" fontId="42" fillId="47" borderId="80" xfId="44" applyFont="1" applyFill="1" applyBorder="1">
      <alignment vertical="center"/>
    </xf>
    <xf numFmtId="38" fontId="42" fillId="47" borderId="34" xfId="44" applyFont="1" applyFill="1" applyBorder="1">
      <alignment vertical="center"/>
    </xf>
    <xf numFmtId="38" fontId="44" fillId="42" borderId="0" xfId="33" applyFont="1" applyFill="1">
      <alignment vertical="center"/>
    </xf>
    <xf numFmtId="38" fontId="42" fillId="0" borderId="88" xfId="44" applyFont="1" applyBorder="1" applyAlignment="1">
      <alignment horizontal="right" vertical="center"/>
    </xf>
    <xf numFmtId="38" fontId="42" fillId="0" borderId="30" xfId="44" applyFont="1" applyBorder="1">
      <alignment vertical="center"/>
    </xf>
    <xf numFmtId="38" fontId="42" fillId="39" borderId="93" xfId="44" applyFont="1" applyFill="1" applyBorder="1">
      <alignment vertical="center"/>
    </xf>
    <xf numFmtId="38" fontId="41" fillId="0" borderId="112" xfId="44" applyFont="1" applyBorder="1">
      <alignment vertical="center"/>
    </xf>
    <xf numFmtId="38" fontId="41" fillId="0" borderId="81" xfId="44" applyFont="1" applyBorder="1">
      <alignment vertical="center"/>
    </xf>
    <xf numFmtId="38" fontId="42" fillId="0" borderId="67" xfId="44" applyFont="1" applyBorder="1">
      <alignment vertical="center"/>
    </xf>
    <xf numFmtId="38" fontId="41" fillId="0" borderId="82" xfId="44" applyFont="1" applyBorder="1">
      <alignment vertical="center"/>
    </xf>
    <xf numFmtId="38" fontId="41" fillId="0" borderId="86" xfId="44" applyFont="1" applyBorder="1" applyAlignment="1">
      <alignment vertical="center" shrinkToFit="1"/>
    </xf>
    <xf numFmtId="38" fontId="42" fillId="0" borderId="32" xfId="44" applyFont="1" applyBorder="1">
      <alignment vertical="center"/>
    </xf>
    <xf numFmtId="38" fontId="41" fillId="0" borderId="80" xfId="44" applyFont="1" applyBorder="1" applyAlignment="1">
      <alignment vertical="center" shrinkToFit="1"/>
    </xf>
    <xf numFmtId="38" fontId="62" fillId="0" borderId="80" xfId="44" applyFont="1" applyBorder="1" applyAlignment="1">
      <alignment vertical="center" shrinkToFit="1"/>
    </xf>
    <xf numFmtId="38" fontId="60" fillId="0" borderId="80" xfId="44" applyFont="1" applyBorder="1" applyAlignment="1">
      <alignment vertical="center" shrinkToFit="1"/>
    </xf>
    <xf numFmtId="38" fontId="61" fillId="0" borderId="34" xfId="44" applyFont="1" applyBorder="1">
      <alignment vertical="center"/>
    </xf>
    <xf numFmtId="38" fontId="42" fillId="0" borderId="80" xfId="44" applyFont="1" applyBorder="1" applyAlignment="1">
      <alignment vertical="center" shrinkToFit="1"/>
    </xf>
    <xf numFmtId="38" fontId="41" fillId="0" borderId="82" xfId="44" applyFont="1" applyBorder="1" applyAlignment="1">
      <alignment vertical="center" shrinkToFit="1"/>
    </xf>
    <xf numFmtId="38" fontId="42" fillId="39" borderId="28" xfId="44" applyFont="1" applyFill="1" applyBorder="1">
      <alignment vertical="center"/>
    </xf>
    <xf numFmtId="38" fontId="43" fillId="42" borderId="0" xfId="33" applyFont="1" applyFill="1" applyAlignment="1">
      <alignment horizontal="right" vertical="center"/>
    </xf>
    <xf numFmtId="0" fontId="63" fillId="42" borderId="0" xfId="43" applyFont="1" applyFill="1" applyAlignment="1">
      <alignment horizontal="right" vertical="center"/>
    </xf>
    <xf numFmtId="38" fontId="44" fillId="42" borderId="0" xfId="43" applyNumberFormat="1" applyFont="1" applyFill="1">
      <alignment vertical="center"/>
    </xf>
    <xf numFmtId="180" fontId="44" fillId="42" borderId="0" xfId="43" applyNumberFormat="1" applyFont="1" applyFill="1">
      <alignment vertical="center"/>
    </xf>
    <xf numFmtId="0" fontId="41" fillId="42" borderId="5" xfId="43" applyFont="1" applyFill="1" applyBorder="1">
      <alignment vertical="center"/>
    </xf>
    <xf numFmtId="0" fontId="41" fillId="42" borderId="5" xfId="43" applyFont="1" applyFill="1" applyBorder="1" applyAlignment="1">
      <alignment horizontal="center" vertical="center"/>
    </xf>
    <xf numFmtId="0" fontId="0" fillId="0" borderId="60" xfId="0" applyBorder="1">
      <alignment vertical="center"/>
    </xf>
    <xf numFmtId="38" fontId="0" fillId="0" borderId="60" xfId="33" applyFont="1" applyBorder="1">
      <alignment vertical="center"/>
    </xf>
    <xf numFmtId="38" fontId="0" fillId="0" borderId="60" xfId="33" applyFont="1" applyFill="1" applyBorder="1">
      <alignment vertical="center"/>
    </xf>
    <xf numFmtId="57" fontId="0" fillId="0" borderId="60" xfId="0" applyNumberFormat="1" applyBorder="1">
      <alignment vertical="center"/>
    </xf>
    <xf numFmtId="38" fontId="44" fillId="0" borderId="0" xfId="33" applyFont="1" applyFill="1">
      <alignment vertical="center"/>
    </xf>
    <xf numFmtId="57" fontId="0" fillId="0" borderId="60" xfId="0" applyNumberFormat="1" applyBorder="1" applyAlignment="1">
      <alignment horizontal="right" vertical="center"/>
    </xf>
    <xf numFmtId="0" fontId="43" fillId="39" borderId="0" xfId="43" applyFont="1" applyFill="1" applyAlignment="1">
      <alignment horizontal="right" vertical="center"/>
    </xf>
    <xf numFmtId="0" fontId="44" fillId="39" borderId="0" xfId="43" applyFont="1" applyFill="1">
      <alignment vertical="center"/>
    </xf>
    <xf numFmtId="0" fontId="43" fillId="39" borderId="0" xfId="43" applyFont="1" applyFill="1">
      <alignment vertical="center"/>
    </xf>
    <xf numFmtId="38" fontId="44" fillId="39" borderId="0" xfId="43" applyNumberFormat="1" applyFont="1" applyFill="1">
      <alignment vertical="center"/>
    </xf>
    <xf numFmtId="0" fontId="43" fillId="0" borderId="0" xfId="43" applyFont="1">
      <alignment vertical="center"/>
    </xf>
    <xf numFmtId="57" fontId="44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8" xfId="33" applyFont="1" applyFill="1" applyBorder="1">
      <alignment vertical="center"/>
    </xf>
    <xf numFmtId="176" fontId="20" fillId="0" borderId="89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0" fillId="0" borderId="68" xfId="0" applyFont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20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43" xfId="33" applyFont="1" applyBorder="1">
      <alignment vertical="center"/>
    </xf>
    <xf numFmtId="38" fontId="19" fillId="0" borderId="121" xfId="33" applyFont="1" applyBorder="1">
      <alignment vertical="center"/>
    </xf>
    <xf numFmtId="176" fontId="19" fillId="0" borderId="129" xfId="33" applyNumberFormat="1" applyFont="1" applyBorder="1">
      <alignment vertical="center"/>
    </xf>
    <xf numFmtId="38" fontId="19" fillId="0" borderId="138" xfId="33" applyFont="1" applyBorder="1">
      <alignment vertical="center"/>
    </xf>
    <xf numFmtId="176" fontId="19" fillId="0" borderId="153" xfId="33" applyNumberFormat="1" applyFont="1" applyBorder="1">
      <alignment vertical="center"/>
    </xf>
    <xf numFmtId="38" fontId="19" fillId="0" borderId="144" xfId="33" applyFont="1" applyBorder="1">
      <alignment vertical="center"/>
    </xf>
    <xf numFmtId="38" fontId="19" fillId="0" borderId="122" xfId="33" applyFont="1" applyBorder="1">
      <alignment vertical="center"/>
    </xf>
    <xf numFmtId="176" fontId="19" fillId="0" borderId="130" xfId="33" applyNumberFormat="1" applyFont="1" applyBorder="1">
      <alignment vertical="center"/>
    </xf>
    <xf numFmtId="38" fontId="19" fillId="0" borderId="139" xfId="33" applyFont="1" applyBorder="1">
      <alignment vertical="center"/>
    </xf>
    <xf numFmtId="176" fontId="19" fillId="0" borderId="154" xfId="33" applyNumberFormat="1" applyFont="1" applyBorder="1">
      <alignment vertical="center"/>
    </xf>
    <xf numFmtId="38" fontId="19" fillId="0" borderId="145" xfId="33" applyFont="1" applyBorder="1">
      <alignment vertical="center"/>
    </xf>
    <xf numFmtId="38" fontId="19" fillId="0" borderId="123" xfId="33" applyFont="1" applyBorder="1">
      <alignment vertical="center"/>
    </xf>
    <xf numFmtId="176" fontId="19" fillId="0" borderId="131" xfId="33" applyNumberFormat="1" applyFont="1" applyBorder="1">
      <alignment vertical="center"/>
    </xf>
    <xf numFmtId="38" fontId="19" fillId="0" borderId="140" xfId="33" applyFont="1" applyBorder="1">
      <alignment vertical="center"/>
    </xf>
    <xf numFmtId="176" fontId="19" fillId="0" borderId="155" xfId="33" applyNumberFormat="1" applyFont="1" applyBorder="1">
      <alignment vertical="center"/>
    </xf>
    <xf numFmtId="38" fontId="19" fillId="0" borderId="146" xfId="33" applyFont="1" applyBorder="1">
      <alignment vertical="center"/>
    </xf>
    <xf numFmtId="38" fontId="19" fillId="0" borderId="124" xfId="33" applyFont="1" applyBorder="1">
      <alignment vertical="center"/>
    </xf>
    <xf numFmtId="176" fontId="19" fillId="0" borderId="132" xfId="33" applyNumberFormat="1" applyFont="1" applyBorder="1">
      <alignment vertical="center"/>
    </xf>
    <xf numFmtId="38" fontId="19" fillId="0" borderId="127" xfId="33" applyFont="1" applyBorder="1">
      <alignment vertical="center"/>
    </xf>
    <xf numFmtId="176" fontId="19" fillId="0" borderId="156" xfId="33" applyNumberFormat="1" applyFont="1" applyBorder="1">
      <alignment vertical="center"/>
    </xf>
    <xf numFmtId="38" fontId="19" fillId="0" borderId="147" xfId="33" applyFont="1" applyBorder="1">
      <alignment vertical="center"/>
    </xf>
    <xf numFmtId="38" fontId="19" fillId="0" borderId="119" xfId="33" applyFont="1" applyBorder="1">
      <alignment vertical="center"/>
    </xf>
    <xf numFmtId="176" fontId="19" fillId="0" borderId="133" xfId="33" applyNumberFormat="1" applyFont="1" applyBorder="1">
      <alignment vertical="center"/>
    </xf>
    <xf numFmtId="38" fontId="19" fillId="0" borderId="141" xfId="33" applyFont="1" applyBorder="1">
      <alignment vertical="center"/>
    </xf>
    <xf numFmtId="176" fontId="19" fillId="0" borderId="157" xfId="33" applyNumberFormat="1" applyFont="1" applyBorder="1">
      <alignment vertical="center"/>
    </xf>
    <xf numFmtId="38" fontId="19" fillId="0" borderId="148" xfId="33" applyFont="1" applyBorder="1">
      <alignment vertical="center"/>
    </xf>
    <xf numFmtId="176" fontId="19" fillId="0" borderId="128" xfId="0" applyNumberFormat="1" applyFont="1" applyBorder="1">
      <alignment vertical="center"/>
    </xf>
    <xf numFmtId="176" fontId="19" fillId="0" borderId="152" xfId="0" applyNumberFormat="1" applyFont="1" applyBorder="1">
      <alignment vertical="center"/>
    </xf>
    <xf numFmtId="38" fontId="19" fillId="0" borderId="126" xfId="33" applyFont="1" applyBorder="1">
      <alignment vertical="center"/>
    </xf>
    <xf numFmtId="176" fontId="19" fillId="0" borderId="135" xfId="0" applyNumberFormat="1" applyFont="1" applyBorder="1">
      <alignment vertical="center"/>
    </xf>
    <xf numFmtId="38" fontId="19" fillId="0" borderId="142" xfId="33" applyFont="1" applyBorder="1">
      <alignment vertical="center"/>
    </xf>
    <xf numFmtId="176" fontId="19" fillId="0" borderId="158" xfId="0" applyNumberFormat="1" applyFont="1" applyBorder="1">
      <alignment vertical="center"/>
    </xf>
    <xf numFmtId="38" fontId="19" fillId="0" borderId="150" xfId="33" applyFont="1" applyBorder="1">
      <alignment vertical="center"/>
    </xf>
    <xf numFmtId="38" fontId="25" fillId="0" borderId="120" xfId="33" applyFont="1" applyBorder="1">
      <alignment vertical="center"/>
    </xf>
    <xf numFmtId="176" fontId="25" fillId="0" borderId="128" xfId="33" applyNumberFormat="1" applyFont="1" applyBorder="1">
      <alignment vertical="center"/>
    </xf>
    <xf numFmtId="38" fontId="25" fillId="0" borderId="137" xfId="33" applyFont="1" applyBorder="1">
      <alignment vertical="center"/>
    </xf>
    <xf numFmtId="176" fontId="25" fillId="0" borderId="152" xfId="33" applyNumberFormat="1" applyFont="1" applyBorder="1">
      <alignment vertical="center"/>
    </xf>
    <xf numFmtId="38" fontId="25" fillId="0" borderId="143" xfId="33" applyFont="1" applyBorder="1">
      <alignment vertical="center"/>
    </xf>
    <xf numFmtId="38" fontId="25" fillId="0" borderId="125" xfId="33" applyFont="1" applyBorder="1">
      <alignment vertical="center"/>
    </xf>
    <xf numFmtId="176" fontId="25" fillId="0" borderId="134" xfId="0" applyNumberFormat="1" applyFont="1" applyBorder="1">
      <alignment vertical="center"/>
    </xf>
    <xf numFmtId="38" fontId="25" fillId="0" borderId="136" xfId="33" applyFont="1" applyBorder="1">
      <alignment vertical="center"/>
    </xf>
    <xf numFmtId="176" fontId="25" fillId="0" borderId="151" xfId="0" applyNumberFormat="1" applyFont="1" applyBorder="1">
      <alignment vertical="center"/>
    </xf>
    <xf numFmtId="38" fontId="25" fillId="0" borderId="149" xfId="33" applyFont="1" applyBorder="1">
      <alignment vertical="center"/>
    </xf>
    <xf numFmtId="38" fontId="19" fillId="0" borderId="136" xfId="33" applyFont="1" applyBorder="1" applyAlignment="1">
      <alignment horizontal="center" vertical="center"/>
    </xf>
    <xf numFmtId="38" fontId="19" fillId="0" borderId="151" xfId="33" applyFont="1" applyBorder="1" applyAlignment="1">
      <alignment horizontal="center" vertical="center"/>
    </xf>
    <xf numFmtId="38" fontId="19" fillId="0" borderId="125" xfId="33" applyFont="1" applyBorder="1" applyAlignment="1">
      <alignment horizontal="center" vertical="center"/>
    </xf>
    <xf numFmtId="38" fontId="19" fillId="0" borderId="134" xfId="33" applyFont="1" applyBorder="1" applyAlignment="1">
      <alignment horizontal="center" vertical="center"/>
    </xf>
    <xf numFmtId="38" fontId="19" fillId="0" borderId="149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8" xfId="33" applyNumberFormat="1" applyFont="1" applyBorder="1" applyAlignment="1">
      <alignment horizontal="right" vertical="center"/>
    </xf>
    <xf numFmtId="176" fontId="19" fillId="0" borderId="129" xfId="33" applyNumberFormat="1" applyFont="1" applyBorder="1" applyAlignment="1">
      <alignment horizontal="right" vertical="center"/>
    </xf>
    <xf numFmtId="176" fontId="19" fillId="0" borderId="130" xfId="33" applyNumberFormat="1" applyFont="1" applyBorder="1" applyAlignment="1">
      <alignment horizontal="right" vertical="center"/>
    </xf>
    <xf numFmtId="176" fontId="19" fillId="0" borderId="131" xfId="33" applyNumberFormat="1" applyFont="1" applyBorder="1" applyAlignment="1">
      <alignment horizontal="right" vertical="center"/>
    </xf>
    <xf numFmtId="176" fontId="19" fillId="0" borderId="132" xfId="33" applyNumberFormat="1" applyFont="1" applyBorder="1" applyAlignment="1">
      <alignment horizontal="right" vertical="center"/>
    </xf>
    <xf numFmtId="176" fontId="19" fillId="0" borderId="133" xfId="33" applyNumberFormat="1" applyFont="1" applyBorder="1" applyAlignment="1">
      <alignment horizontal="right" vertical="center"/>
    </xf>
    <xf numFmtId="176" fontId="25" fillId="0" borderId="134" xfId="0" applyNumberFormat="1" applyFont="1" applyBorder="1" applyAlignment="1">
      <alignment horizontal="right" vertical="center"/>
    </xf>
    <xf numFmtId="176" fontId="19" fillId="0" borderId="128" xfId="0" applyNumberFormat="1" applyFont="1" applyBorder="1" applyAlignment="1">
      <alignment horizontal="right" vertical="center"/>
    </xf>
    <xf numFmtId="176" fontId="19" fillId="0" borderId="135" xfId="0" applyNumberFormat="1" applyFont="1" applyBorder="1" applyAlignment="1">
      <alignment horizontal="right" vertical="center"/>
    </xf>
    <xf numFmtId="38" fontId="19" fillId="0" borderId="98" xfId="33" applyFont="1" applyBorder="1" applyAlignment="1">
      <alignment horizontal="center" vertical="center"/>
    </xf>
    <xf numFmtId="176" fontId="25" fillId="0" borderId="95" xfId="33" applyNumberFormat="1" applyFont="1" applyBorder="1">
      <alignment vertical="center"/>
    </xf>
    <xf numFmtId="176" fontId="19" fillId="0" borderId="160" xfId="33" applyNumberFormat="1" applyFont="1" applyBorder="1">
      <alignment vertical="center"/>
    </xf>
    <xf numFmtId="176" fontId="19" fillId="0" borderId="161" xfId="33" applyNumberFormat="1" applyFont="1" applyBorder="1">
      <alignment vertical="center"/>
    </xf>
    <xf numFmtId="176" fontId="19" fillId="0" borderId="162" xfId="33" applyNumberFormat="1" applyFont="1" applyBorder="1">
      <alignment vertical="center"/>
    </xf>
    <xf numFmtId="176" fontId="19" fillId="0" borderId="91" xfId="33" applyNumberFormat="1" applyFont="1" applyBorder="1">
      <alignment vertical="center"/>
    </xf>
    <xf numFmtId="176" fontId="19" fillId="0" borderId="163" xfId="33" applyNumberFormat="1" applyFont="1" applyBorder="1">
      <alignment vertical="center"/>
    </xf>
    <xf numFmtId="176" fontId="25" fillId="0" borderId="98" xfId="0" applyNumberFormat="1" applyFont="1" applyBorder="1">
      <alignment vertical="center"/>
    </xf>
    <xf numFmtId="176" fontId="19" fillId="0" borderId="95" xfId="0" applyNumberFormat="1" applyFont="1" applyBorder="1">
      <alignment vertical="center"/>
    </xf>
    <xf numFmtId="176" fontId="19" fillId="0" borderId="159" xfId="0" applyNumberFormat="1" applyFont="1" applyBorder="1">
      <alignment vertical="center"/>
    </xf>
    <xf numFmtId="38" fontId="19" fillId="0" borderId="165" xfId="33" applyFont="1" applyBorder="1" applyAlignment="1">
      <alignment horizontal="center" vertical="center"/>
    </xf>
    <xf numFmtId="38" fontId="25" fillId="0" borderId="166" xfId="33" applyFont="1" applyBorder="1">
      <alignment vertical="center"/>
    </xf>
    <xf numFmtId="38" fontId="19" fillId="0" borderId="167" xfId="33" applyFont="1" applyBorder="1">
      <alignment vertical="center"/>
    </xf>
    <xf numFmtId="38" fontId="19" fillId="0" borderId="168" xfId="33" applyFont="1" applyBorder="1">
      <alignment vertical="center"/>
    </xf>
    <xf numFmtId="38" fontId="19" fillId="0" borderId="169" xfId="33" applyFont="1" applyBorder="1">
      <alignment vertical="center"/>
    </xf>
    <xf numFmtId="38" fontId="19" fillId="0" borderId="164" xfId="33" applyFont="1" applyBorder="1">
      <alignment vertical="center"/>
    </xf>
    <xf numFmtId="38" fontId="19" fillId="0" borderId="170" xfId="33" applyFont="1" applyBorder="1">
      <alignment vertical="center"/>
    </xf>
    <xf numFmtId="38" fontId="25" fillId="0" borderId="165" xfId="33" applyFont="1" applyBorder="1">
      <alignment vertical="center"/>
    </xf>
    <xf numFmtId="38" fontId="19" fillId="0" borderId="166" xfId="33" applyFont="1" applyBorder="1">
      <alignment vertical="center"/>
    </xf>
    <xf numFmtId="38" fontId="19" fillId="0" borderId="171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6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52" xfId="33" applyNumberFormat="1" applyFont="1" applyBorder="1" applyAlignment="1">
      <alignment horizontal="right" vertical="center"/>
    </xf>
    <xf numFmtId="176" fontId="19" fillId="0" borderId="153" xfId="33" applyNumberFormat="1" applyFont="1" applyBorder="1" applyAlignment="1">
      <alignment horizontal="right" vertical="center"/>
    </xf>
    <xf numFmtId="176" fontId="19" fillId="0" borderId="154" xfId="33" applyNumberFormat="1" applyFont="1" applyBorder="1" applyAlignment="1">
      <alignment horizontal="right" vertical="center"/>
    </xf>
    <xf numFmtId="176" fontId="19" fillId="0" borderId="155" xfId="33" applyNumberFormat="1" applyFont="1" applyBorder="1" applyAlignment="1">
      <alignment horizontal="right" vertical="center"/>
    </xf>
    <xf numFmtId="176" fontId="19" fillId="0" borderId="156" xfId="33" applyNumberFormat="1" applyFont="1" applyBorder="1" applyAlignment="1">
      <alignment horizontal="right" vertical="center"/>
    </xf>
    <xf numFmtId="176" fontId="19" fillId="0" borderId="157" xfId="33" applyNumberFormat="1" applyFont="1" applyBorder="1" applyAlignment="1">
      <alignment horizontal="right" vertical="center"/>
    </xf>
    <xf numFmtId="176" fontId="25" fillId="0" borderId="151" xfId="0" applyNumberFormat="1" applyFont="1" applyBorder="1" applyAlignment="1">
      <alignment horizontal="right" vertical="center"/>
    </xf>
    <xf numFmtId="176" fontId="19" fillId="0" borderId="152" xfId="0" applyNumberFormat="1" applyFont="1" applyBorder="1" applyAlignment="1">
      <alignment horizontal="right" vertical="center"/>
    </xf>
    <xf numFmtId="176" fontId="19" fillId="0" borderId="158" xfId="0" applyNumberFormat="1" applyFont="1" applyBorder="1" applyAlignment="1">
      <alignment horizontal="right" vertical="center"/>
    </xf>
    <xf numFmtId="38" fontId="19" fillId="42" borderId="168" xfId="33" applyFont="1" applyFill="1" applyBorder="1">
      <alignment vertical="center"/>
    </xf>
    <xf numFmtId="38" fontId="19" fillId="42" borderId="12" xfId="33" applyFont="1" applyFill="1" applyBorder="1" applyAlignment="1">
      <alignment horizontal="right" vertical="center"/>
    </xf>
    <xf numFmtId="38" fontId="19" fillId="42" borderId="10" xfId="33" applyFont="1" applyFill="1" applyBorder="1" applyAlignment="1">
      <alignment horizontal="right" vertical="center"/>
    </xf>
    <xf numFmtId="38" fontId="19" fillId="42" borderId="89" xfId="33" applyFont="1" applyFill="1" applyBorder="1" applyAlignment="1">
      <alignment horizontal="right" vertical="center"/>
    </xf>
    <xf numFmtId="38" fontId="19" fillId="0" borderId="168" xfId="33" applyFont="1" applyFill="1" applyBorder="1">
      <alignment vertical="center"/>
    </xf>
    <xf numFmtId="38" fontId="21" fillId="42" borderId="2" xfId="33" applyFont="1" applyFill="1" applyBorder="1">
      <alignment vertical="center"/>
    </xf>
    <xf numFmtId="38" fontId="21" fillId="42" borderId="25" xfId="33" applyFont="1" applyFill="1" applyBorder="1">
      <alignment vertical="center"/>
    </xf>
    <xf numFmtId="38" fontId="21" fillId="42" borderId="3" xfId="33" applyFont="1" applyFill="1" applyBorder="1">
      <alignment vertical="center"/>
    </xf>
    <xf numFmtId="38" fontId="21" fillId="42" borderId="0" xfId="33" applyFont="1" applyFill="1" applyBorder="1">
      <alignment vertical="center"/>
    </xf>
    <xf numFmtId="38" fontId="21" fillId="42" borderId="26" xfId="33" applyFont="1" applyFill="1" applyBorder="1">
      <alignment vertical="center"/>
    </xf>
    <xf numFmtId="38" fontId="21" fillId="42" borderId="5" xfId="33" applyFont="1" applyFill="1" applyBorder="1">
      <alignment vertical="center"/>
    </xf>
    <xf numFmtId="176" fontId="19" fillId="42" borderId="10" xfId="0" quotePrefix="1" applyNumberFormat="1" applyFont="1" applyFill="1" applyBorder="1" applyAlignment="1">
      <alignment horizontal="right" vertical="center"/>
    </xf>
    <xf numFmtId="176" fontId="19" fillId="42" borderId="10" xfId="0" applyNumberFormat="1" applyFont="1" applyFill="1" applyBorder="1" applyAlignment="1">
      <alignment horizontal="right" vertical="center"/>
    </xf>
    <xf numFmtId="38" fontId="21" fillId="0" borderId="2" xfId="33" applyFont="1" applyFill="1" applyBorder="1">
      <alignment vertical="center"/>
    </xf>
    <xf numFmtId="38" fontId="21" fillId="0" borderId="25" xfId="33" applyFont="1" applyFill="1" applyBorder="1">
      <alignment vertical="center"/>
    </xf>
    <xf numFmtId="38" fontId="19" fillId="0" borderId="25" xfId="33" applyFont="1" applyFill="1" applyBorder="1" applyAlignment="1">
      <alignment horizontal="right" vertical="center"/>
    </xf>
    <xf numFmtId="38" fontId="19" fillId="0" borderId="0" xfId="33" applyFont="1" applyFill="1" applyBorder="1" applyAlignment="1">
      <alignment horizontal="right" vertical="center"/>
    </xf>
    <xf numFmtId="38" fontId="21" fillId="0" borderId="26" xfId="33" applyFont="1" applyFill="1" applyBorder="1">
      <alignment vertical="center"/>
    </xf>
    <xf numFmtId="38" fontId="21" fillId="0" borderId="5" xfId="33" applyFont="1" applyFill="1" applyBorder="1">
      <alignment vertical="center"/>
    </xf>
    <xf numFmtId="38" fontId="19" fillId="0" borderId="5" xfId="33" applyFont="1" applyFill="1" applyBorder="1" applyAlignment="1">
      <alignment horizontal="right" vertical="center"/>
    </xf>
    <xf numFmtId="38" fontId="19" fillId="42" borderId="167" xfId="33" applyFont="1" applyFill="1" applyBorder="1">
      <alignment vertical="center"/>
    </xf>
    <xf numFmtId="38" fontId="19" fillId="0" borderId="167" xfId="33" applyFont="1" applyFill="1" applyBorder="1">
      <alignment vertical="center"/>
    </xf>
    <xf numFmtId="38" fontId="19" fillId="36" borderId="168" xfId="33" applyFont="1" applyFill="1" applyBorder="1">
      <alignment vertical="center"/>
    </xf>
    <xf numFmtId="3" fontId="19" fillId="42" borderId="10" xfId="0" applyNumberFormat="1" applyFont="1" applyFill="1" applyBorder="1" applyAlignment="1">
      <alignment horizontal="right" vertical="center"/>
    </xf>
    <xf numFmtId="38" fontId="21" fillId="36" borderId="2" xfId="33" applyFont="1" applyFill="1" applyBorder="1">
      <alignment vertical="center"/>
    </xf>
    <xf numFmtId="38" fontId="21" fillId="36" borderId="25" xfId="33" applyFont="1" applyFill="1" applyBorder="1">
      <alignment vertical="center"/>
    </xf>
    <xf numFmtId="38" fontId="19" fillId="36" borderId="12" xfId="33" applyFont="1" applyFill="1" applyBorder="1" applyAlignment="1">
      <alignment horizontal="right" vertical="center"/>
    </xf>
    <xf numFmtId="38" fontId="21" fillId="36" borderId="26" xfId="33" applyFont="1" applyFill="1" applyBorder="1">
      <alignment vertical="center"/>
    </xf>
    <xf numFmtId="38" fontId="21" fillId="36" borderId="5" xfId="33" applyFont="1" applyFill="1" applyBorder="1">
      <alignment vertical="center"/>
    </xf>
    <xf numFmtId="38" fontId="19" fillId="36" borderId="89" xfId="33" applyFont="1" applyFill="1" applyBorder="1" applyAlignment="1">
      <alignment horizontal="right" vertical="center"/>
    </xf>
    <xf numFmtId="38" fontId="21" fillId="42" borderId="12" xfId="33" applyFont="1" applyFill="1" applyBorder="1" applyAlignment="1">
      <alignment horizontal="right" vertical="center"/>
    </xf>
    <xf numFmtId="38" fontId="21" fillId="42" borderId="10" xfId="33" applyFont="1" applyFill="1" applyBorder="1" applyAlignment="1">
      <alignment horizontal="right" vertical="center"/>
    </xf>
    <xf numFmtId="176" fontId="21" fillId="42" borderId="10" xfId="0" quotePrefix="1" applyNumberFormat="1" applyFont="1" applyFill="1" applyBorder="1" applyAlignment="1">
      <alignment horizontal="right" vertical="center"/>
    </xf>
    <xf numFmtId="176" fontId="21" fillId="42" borderId="10" xfId="0" applyNumberFormat="1" applyFont="1" applyFill="1" applyBorder="1" applyAlignment="1">
      <alignment horizontal="right" vertical="center"/>
    </xf>
    <xf numFmtId="38" fontId="21" fillId="42" borderId="0" xfId="33" applyFont="1" applyFill="1">
      <alignment vertical="center"/>
    </xf>
    <xf numFmtId="38" fontId="21" fillId="42" borderId="89" xfId="33" applyFont="1" applyFill="1" applyBorder="1" applyAlignment="1">
      <alignment horizontal="right" vertical="center"/>
    </xf>
    <xf numFmtId="0" fontId="25" fillId="0" borderId="8" xfId="0" applyFont="1" applyBorder="1">
      <alignment vertical="center"/>
    </xf>
    <xf numFmtId="38" fontId="21" fillId="42" borderId="5" xfId="33" quotePrefix="1" applyFont="1" applyFill="1" applyBorder="1">
      <alignment vertical="center"/>
    </xf>
    <xf numFmtId="0" fontId="19" fillId="0" borderId="0" xfId="0" applyFont="1" applyAlignment="1">
      <alignment vertical="center" shrinkToFit="1"/>
    </xf>
    <xf numFmtId="176" fontId="19" fillId="0" borderId="0" xfId="33" applyNumberFormat="1" applyFont="1" applyBorder="1">
      <alignment vertical="center"/>
    </xf>
    <xf numFmtId="38" fontId="21" fillId="42" borderId="0" xfId="33" applyFont="1" applyFill="1" applyAlignment="1">
      <alignment vertical="center" shrinkToFit="1"/>
    </xf>
    <xf numFmtId="176" fontId="19" fillId="35" borderId="0" xfId="33" applyNumberFormat="1" applyFont="1" applyFill="1" applyBorder="1">
      <alignment vertical="center"/>
    </xf>
    <xf numFmtId="38" fontId="21" fillId="42" borderId="10" xfId="33" quotePrefix="1" applyFont="1" applyFill="1" applyBorder="1" applyAlignment="1">
      <alignment horizontal="right" vertical="center"/>
    </xf>
    <xf numFmtId="38" fontId="23" fillId="0" borderId="0" xfId="33" applyFont="1">
      <alignment vertical="center"/>
    </xf>
    <xf numFmtId="38" fontId="21" fillId="42" borderId="0" xfId="33" applyFont="1" applyFill="1" applyAlignment="1">
      <alignment vertical="center"/>
    </xf>
    <xf numFmtId="38" fontId="34" fillId="37" borderId="1" xfId="33" applyFont="1" applyFill="1" applyBorder="1" applyAlignment="1">
      <alignment horizontal="center" vertical="center"/>
    </xf>
    <xf numFmtId="38" fontId="34" fillId="37" borderId="42" xfId="33" applyFont="1" applyFill="1" applyBorder="1" applyAlignment="1">
      <alignment horizontal="center" vertical="center"/>
    </xf>
    <xf numFmtId="178" fontId="34" fillId="37" borderId="1" xfId="33" applyNumberFormat="1" applyFont="1" applyFill="1" applyBorder="1" applyAlignment="1">
      <alignment horizontal="center" vertical="center"/>
    </xf>
    <xf numFmtId="38" fontId="19" fillId="0" borderId="60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72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176" fontId="19" fillId="36" borderId="18" xfId="33" applyNumberFormat="1" applyFont="1" applyFill="1" applyBorder="1">
      <alignment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21" fillId="36" borderId="3" xfId="33" applyFont="1" applyFill="1" applyBorder="1">
      <alignment vertical="center"/>
    </xf>
    <xf numFmtId="38" fontId="21" fillId="36" borderId="0" xfId="33" applyFont="1" applyFill="1" applyBorder="1">
      <alignment vertical="center"/>
    </xf>
    <xf numFmtId="38" fontId="19" fillId="36" borderId="10" xfId="33" applyFont="1" applyFill="1" applyBorder="1" applyAlignment="1">
      <alignment horizontal="right" vertical="center"/>
    </xf>
    <xf numFmtId="38" fontId="21" fillId="48" borderId="173" xfId="33" applyFont="1" applyFill="1" applyBorder="1">
      <alignment vertical="center"/>
    </xf>
    <xf numFmtId="38" fontId="21" fillId="48" borderId="101" xfId="33" applyFont="1" applyFill="1" applyBorder="1">
      <alignment vertical="center"/>
    </xf>
    <xf numFmtId="38" fontId="19" fillId="48" borderId="174" xfId="33" applyFont="1" applyFill="1" applyBorder="1" applyAlignment="1">
      <alignment horizontal="right" vertical="center"/>
    </xf>
    <xf numFmtId="38" fontId="21" fillId="48" borderId="109" xfId="33" applyFont="1" applyFill="1" applyBorder="1">
      <alignment vertical="center"/>
    </xf>
    <xf numFmtId="38" fontId="21" fillId="48" borderId="0" xfId="33" applyFont="1" applyFill="1" applyBorder="1">
      <alignment vertical="center"/>
    </xf>
    <xf numFmtId="38" fontId="19" fillId="48" borderId="175" xfId="33" applyFont="1" applyFill="1" applyBorder="1" applyAlignment="1">
      <alignment horizontal="right" vertical="center"/>
    </xf>
    <xf numFmtId="38" fontId="19" fillId="48" borderId="176" xfId="33" applyFont="1" applyFill="1" applyBorder="1">
      <alignment vertical="center"/>
    </xf>
    <xf numFmtId="38" fontId="19" fillId="48" borderId="177" xfId="33" applyFont="1" applyFill="1" applyBorder="1">
      <alignment vertical="center"/>
    </xf>
    <xf numFmtId="38" fontId="19" fillId="48" borderId="178" xfId="33" applyFont="1" applyFill="1" applyBorder="1" applyAlignment="1">
      <alignment horizontal="right" vertical="center"/>
    </xf>
    <xf numFmtId="38" fontId="19" fillId="0" borderId="0" xfId="33" applyFont="1" applyAlignment="1">
      <alignment horizontal="right" vertical="center"/>
    </xf>
    <xf numFmtId="38" fontId="60" fillId="0" borderId="81" xfId="44" applyFont="1" applyBorder="1">
      <alignment vertical="center"/>
    </xf>
    <xf numFmtId="38" fontId="61" fillId="0" borderId="67" xfId="44" applyFont="1" applyBorder="1">
      <alignment vertical="center"/>
    </xf>
    <xf numFmtId="38" fontId="42" fillId="49" borderId="30" xfId="44" applyFont="1" applyFill="1" applyBorder="1">
      <alignment vertical="center"/>
    </xf>
    <xf numFmtId="38" fontId="42" fillId="39" borderId="60" xfId="44" applyFont="1" applyFill="1" applyBorder="1">
      <alignment vertical="center"/>
    </xf>
    <xf numFmtId="38" fontId="19" fillId="39" borderId="1" xfId="33" applyFont="1" applyFill="1" applyBorder="1" applyAlignment="1">
      <alignment horizontal="center" vertical="center"/>
    </xf>
    <xf numFmtId="38" fontId="25" fillId="39" borderId="0" xfId="33" applyFont="1" applyFill="1" applyBorder="1">
      <alignment vertical="center"/>
    </xf>
    <xf numFmtId="38" fontId="19" fillId="39" borderId="22" xfId="33" applyFont="1" applyFill="1" applyBorder="1">
      <alignment vertical="center"/>
    </xf>
    <xf numFmtId="38" fontId="19" fillId="39" borderId="23" xfId="33" applyFont="1" applyFill="1" applyBorder="1">
      <alignment vertical="center"/>
    </xf>
    <xf numFmtId="38" fontId="19" fillId="39" borderId="24" xfId="33" applyFont="1" applyFill="1" applyBorder="1">
      <alignment vertical="center"/>
    </xf>
    <xf numFmtId="38" fontId="19" fillId="39" borderId="25" xfId="33" applyFont="1" applyFill="1" applyBorder="1">
      <alignment vertical="center"/>
    </xf>
    <xf numFmtId="38" fontId="19" fillId="39" borderId="66" xfId="33" applyFont="1" applyFill="1" applyBorder="1">
      <alignment vertical="center"/>
    </xf>
    <xf numFmtId="38" fontId="25" fillId="39" borderId="1" xfId="33" applyFont="1" applyFill="1" applyBorder="1">
      <alignment vertical="center"/>
    </xf>
    <xf numFmtId="38" fontId="19" fillId="39" borderId="0" xfId="33" applyFont="1" applyFill="1" applyBorder="1">
      <alignment vertical="center"/>
    </xf>
    <xf numFmtId="38" fontId="19" fillId="39" borderId="8" xfId="33" applyFont="1" applyFill="1" applyBorder="1">
      <alignment vertical="center"/>
    </xf>
    <xf numFmtId="0" fontId="40" fillId="36" borderId="92" xfId="43" applyFont="1" applyFill="1" applyBorder="1" applyAlignment="1">
      <alignment horizontal="center" vertical="center"/>
    </xf>
    <xf numFmtId="0" fontId="41" fillId="0" borderId="96" xfId="43" applyFont="1" applyBorder="1" applyAlignment="1">
      <alignment horizontal="center" vertical="center"/>
    </xf>
    <xf numFmtId="0" fontId="41" fillId="36" borderId="85" xfId="43" applyFont="1" applyFill="1" applyBorder="1" applyAlignment="1">
      <alignment horizontal="center" vertical="center" textRotation="255"/>
    </xf>
    <xf numFmtId="0" fontId="44" fillId="36" borderId="79" xfId="43" applyFont="1" applyFill="1" applyBorder="1" applyAlignment="1">
      <alignment horizontal="center" vertical="center" textRotation="255"/>
    </xf>
    <xf numFmtId="0" fontId="44" fillId="36" borderId="87" xfId="43" applyFont="1" applyFill="1" applyBorder="1" applyAlignment="1">
      <alignment horizontal="center" vertical="center" textRotation="255"/>
    </xf>
    <xf numFmtId="0" fontId="41" fillId="36" borderId="90" xfId="43" applyFont="1" applyFill="1" applyBorder="1" applyAlignment="1">
      <alignment horizontal="center" vertical="center"/>
    </xf>
    <xf numFmtId="0" fontId="41" fillId="0" borderId="94" xfId="43" applyFont="1" applyBorder="1" applyAlignment="1">
      <alignment horizontal="center" vertical="center"/>
    </xf>
    <xf numFmtId="0" fontId="41" fillId="0" borderId="90" xfId="43" applyFont="1" applyBorder="1" applyAlignment="1">
      <alignment horizontal="center" vertical="center"/>
    </xf>
    <xf numFmtId="0" fontId="53" fillId="44" borderId="70" xfId="43" applyFont="1" applyFill="1" applyBorder="1" applyAlignment="1">
      <alignment horizontal="center" vertical="center"/>
    </xf>
    <xf numFmtId="0" fontId="53" fillId="44" borderId="73" xfId="43" applyFont="1" applyFill="1" applyBorder="1" applyAlignment="1">
      <alignment horizontal="center" vertical="center"/>
    </xf>
    <xf numFmtId="0" fontId="56" fillId="33" borderId="76" xfId="43" applyFont="1" applyFill="1" applyBorder="1" applyAlignment="1">
      <alignment horizontal="center" vertical="center" textRotation="255"/>
    </xf>
    <xf numFmtId="0" fontId="56" fillId="33" borderId="79" xfId="43" applyFont="1" applyFill="1" applyBorder="1" applyAlignment="1">
      <alignment horizontal="center" vertical="center" textRotation="255"/>
    </xf>
    <xf numFmtId="0" fontId="56" fillId="33" borderId="83" xfId="43" applyFont="1" applyFill="1" applyBorder="1" applyAlignment="1">
      <alignment horizontal="center" vertical="center" textRotation="255"/>
    </xf>
    <xf numFmtId="0" fontId="44" fillId="36" borderId="85" xfId="43" applyFont="1" applyFill="1" applyBorder="1" applyAlignment="1">
      <alignment horizontal="center" vertical="center" textRotation="255"/>
    </xf>
    <xf numFmtId="0" fontId="56" fillId="33" borderId="179" xfId="43" applyFont="1" applyFill="1" applyBorder="1" applyAlignment="1">
      <alignment horizontal="center" vertical="center"/>
    </xf>
    <xf numFmtId="0" fontId="56" fillId="33" borderId="73" xfId="43" applyFont="1" applyFill="1" applyBorder="1" applyAlignment="1">
      <alignment horizontal="center" vertical="center"/>
    </xf>
    <xf numFmtId="0" fontId="41" fillId="36" borderId="76" xfId="43" applyFont="1" applyFill="1" applyBorder="1" applyAlignment="1">
      <alignment horizontal="center" vertical="center" textRotation="255"/>
    </xf>
    <xf numFmtId="0" fontId="44" fillId="36" borderId="83" xfId="43" applyFont="1" applyFill="1" applyBorder="1" applyAlignment="1">
      <alignment horizontal="center" vertical="center" textRotation="255"/>
    </xf>
    <xf numFmtId="0" fontId="59" fillId="46" borderId="70" xfId="43" applyFont="1" applyFill="1" applyBorder="1" applyAlignment="1">
      <alignment horizontal="center" vertical="center"/>
    </xf>
    <xf numFmtId="0" fontId="53" fillId="46" borderId="71" xfId="43" applyFont="1" applyFill="1" applyBorder="1" applyAlignment="1">
      <alignment horizontal="center" vertical="center"/>
    </xf>
    <xf numFmtId="0" fontId="53" fillId="46" borderId="73" xfId="43" applyFont="1" applyFill="1" applyBorder="1" applyAlignment="1">
      <alignment horizontal="center" vertical="center"/>
    </xf>
    <xf numFmtId="0" fontId="53" fillId="46" borderId="74" xfId="43" applyFont="1" applyFill="1" applyBorder="1" applyAlignment="1">
      <alignment horizontal="center" vertical="center"/>
    </xf>
    <xf numFmtId="0" fontId="41" fillId="0" borderId="97" xfId="43" applyFont="1" applyBorder="1" applyAlignment="1">
      <alignment horizontal="center" vertical="center"/>
    </xf>
    <xf numFmtId="0" fontId="40" fillId="36" borderId="99" xfId="43" applyFont="1" applyFill="1" applyBorder="1" applyAlignment="1">
      <alignment horizontal="center" vertical="center"/>
    </xf>
    <xf numFmtId="0" fontId="41" fillId="36" borderId="47" xfId="43" applyFont="1" applyFill="1" applyBorder="1" applyAlignment="1">
      <alignment horizontal="center" vertical="center"/>
    </xf>
    <xf numFmtId="0" fontId="41" fillId="36" borderId="103" xfId="43" applyFont="1" applyFill="1" applyBorder="1" applyAlignment="1">
      <alignment horizontal="center" vertical="center"/>
    </xf>
    <xf numFmtId="38" fontId="42" fillId="0" borderId="105" xfId="44" applyFont="1" applyBorder="1" applyAlignment="1">
      <alignment horizontal="center" vertical="center"/>
    </xf>
    <xf numFmtId="38" fontId="42" fillId="0" borderId="106" xfId="44" applyFont="1" applyBorder="1" applyAlignment="1">
      <alignment horizontal="center" vertical="center"/>
    </xf>
    <xf numFmtId="38" fontId="42" fillId="0" borderId="108" xfId="44" applyFont="1" applyBorder="1" applyAlignment="1">
      <alignment horizontal="center" vertical="center" textRotation="255"/>
    </xf>
    <xf numFmtId="38" fontId="42" fillId="0" borderId="109" xfId="44" applyFont="1" applyBorder="1" applyAlignment="1">
      <alignment horizontal="center" vertical="center" textRotation="255"/>
    </xf>
    <xf numFmtId="38" fontId="42" fillId="0" borderId="110" xfId="44" applyFont="1" applyBorder="1" applyAlignment="1">
      <alignment horizontal="center" vertical="center" textRotation="255"/>
    </xf>
    <xf numFmtId="38" fontId="42" fillId="0" borderId="111" xfId="44" applyFont="1" applyBorder="1" applyAlignment="1">
      <alignment horizontal="center" vertical="center" textRotation="255"/>
    </xf>
    <xf numFmtId="38" fontId="42" fillId="0" borderId="113" xfId="44" applyFont="1" applyBorder="1" applyAlignment="1">
      <alignment horizontal="center" vertical="center" textRotation="255"/>
    </xf>
    <xf numFmtId="38" fontId="42" fillId="39" borderId="114" xfId="44" applyFont="1" applyFill="1" applyBorder="1" applyAlignment="1">
      <alignment horizontal="center" vertical="center"/>
    </xf>
    <xf numFmtId="38" fontId="42" fillId="39" borderId="115" xfId="44" applyFont="1" applyFill="1" applyBorder="1" applyAlignment="1">
      <alignment horizontal="center" vertical="center"/>
    </xf>
    <xf numFmtId="38" fontId="42" fillId="49" borderId="116" xfId="44" applyFont="1" applyFill="1" applyBorder="1" applyAlignment="1">
      <alignment horizontal="center" vertical="center"/>
    </xf>
    <xf numFmtId="38" fontId="42" fillId="49" borderId="117" xfId="44" applyFont="1" applyFill="1" applyBorder="1" applyAlignment="1">
      <alignment horizontal="center" vertical="center"/>
    </xf>
    <xf numFmtId="38" fontId="66" fillId="39" borderId="116" xfId="44" applyFont="1" applyFill="1" applyBorder="1" applyAlignment="1">
      <alignment horizontal="center" vertical="center"/>
    </xf>
    <xf numFmtId="38" fontId="42" fillId="39" borderId="180" xfId="44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38" fontId="25" fillId="0" borderId="126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35" xfId="33" applyFont="1" applyBorder="1" applyAlignment="1">
      <alignment horizontal="center" vertical="center"/>
    </xf>
    <xf numFmtId="38" fontId="25" fillId="0" borderId="142" xfId="33" applyFont="1" applyBorder="1" applyAlignment="1">
      <alignment horizontal="center" vertical="center"/>
    </xf>
    <xf numFmtId="38" fontId="25" fillId="0" borderId="158" xfId="33" applyFont="1" applyBorder="1" applyAlignment="1">
      <alignment horizontal="center" vertical="center"/>
    </xf>
    <xf numFmtId="38" fontId="25" fillId="0" borderId="150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8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4" xfId="0" applyNumberFormat="1" applyFont="1" applyBorder="1" applyAlignment="1">
      <alignment horizontal="center" vertical="center"/>
    </xf>
    <xf numFmtId="38" fontId="25" fillId="0" borderId="159" xfId="33" applyFont="1" applyBorder="1" applyAlignment="1">
      <alignment horizontal="center" vertical="center"/>
    </xf>
    <xf numFmtId="178" fontId="25" fillId="0" borderId="142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8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180" fontId="53" fillId="44" borderId="75" xfId="43" applyNumberFormat="1" applyFont="1" applyFill="1" applyBorder="1" applyAlignment="1">
      <alignment horizontal="center" vertical="center"/>
    </xf>
    <xf numFmtId="38" fontId="56" fillId="33" borderId="30" xfId="44" applyFont="1" applyFill="1" applyBorder="1">
      <alignment vertical="center"/>
    </xf>
    <xf numFmtId="38" fontId="44" fillId="0" borderId="102" xfId="44" applyFont="1" applyFill="1" applyBorder="1">
      <alignment vertical="center"/>
    </xf>
    <xf numFmtId="0" fontId="53" fillId="44" borderId="181" xfId="43" applyFont="1" applyFill="1" applyBorder="1" applyAlignment="1">
      <alignment horizontal="center" vertical="center"/>
    </xf>
    <xf numFmtId="0" fontId="53" fillId="44" borderId="182" xfId="43" applyFont="1" applyFill="1" applyBorder="1" applyAlignment="1">
      <alignment horizontal="center" vertical="center"/>
    </xf>
    <xf numFmtId="0" fontId="44" fillId="0" borderId="183" xfId="43" applyFont="1" applyBorder="1">
      <alignment vertical="center"/>
    </xf>
    <xf numFmtId="0" fontId="39" fillId="0" borderId="184" xfId="43" applyBorder="1">
      <alignment vertical="center"/>
    </xf>
    <xf numFmtId="0" fontId="39" fillId="0" borderId="4" xfId="43" applyBorder="1">
      <alignment vertical="center"/>
    </xf>
    <xf numFmtId="0" fontId="43" fillId="0" borderId="4" xfId="43" applyFont="1" applyBorder="1">
      <alignment vertical="center"/>
    </xf>
    <xf numFmtId="0" fontId="43" fillId="0" borderId="63" xfId="43" applyFont="1" applyBorder="1">
      <alignment vertical="center"/>
    </xf>
    <xf numFmtId="0" fontId="43" fillId="0" borderId="6" xfId="43" applyFont="1" applyBorder="1">
      <alignment vertical="center"/>
    </xf>
    <xf numFmtId="0" fontId="56" fillId="33" borderId="0" xfId="43" applyFont="1" applyFill="1" applyBorder="1">
      <alignment vertical="center"/>
    </xf>
    <xf numFmtId="0" fontId="44" fillId="0" borderId="7" xfId="43" applyFont="1" applyBorder="1">
      <alignment vertical="center"/>
    </xf>
    <xf numFmtId="0" fontId="43" fillId="0" borderId="184" xfId="43" applyFont="1" applyBorder="1">
      <alignment vertical="center"/>
    </xf>
    <xf numFmtId="0" fontId="44" fillId="36" borderId="25" xfId="43" applyFont="1" applyFill="1" applyBorder="1">
      <alignment vertical="center"/>
    </xf>
    <xf numFmtId="0" fontId="56" fillId="33" borderId="185" xfId="43" applyFont="1" applyFill="1" applyBorder="1" applyAlignment="1">
      <alignment horizontal="center" vertical="center"/>
    </xf>
    <xf numFmtId="0" fontId="56" fillId="33" borderId="182" xfId="43" applyFont="1" applyFill="1" applyBorder="1" applyAlignment="1">
      <alignment horizontal="center" vertical="center"/>
    </xf>
    <xf numFmtId="38" fontId="0" fillId="0" borderId="2" xfId="33" applyFont="1" applyBorder="1">
      <alignment vertical="center"/>
    </xf>
    <xf numFmtId="38" fontId="0" fillId="0" borderId="63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26" xfId="33" applyFont="1" applyBorder="1">
      <alignment vertical="center"/>
    </xf>
    <xf numFmtId="0" fontId="41" fillId="36" borderId="5" xfId="43" applyFont="1" applyFill="1" applyBorder="1">
      <alignment vertical="center"/>
    </xf>
    <xf numFmtId="38" fontId="0" fillId="0" borderId="6" xfId="33" applyFont="1" applyBorder="1">
      <alignment vertical="center"/>
    </xf>
    <xf numFmtId="0" fontId="41" fillId="36" borderId="0" xfId="43" applyFont="1" applyFill="1" applyBorder="1">
      <alignment vertical="center"/>
    </xf>
    <xf numFmtId="0" fontId="44" fillId="36" borderId="132" xfId="43" applyFont="1" applyFill="1" applyBorder="1" applyAlignment="1">
      <alignment horizontal="center" vertical="center"/>
    </xf>
    <xf numFmtId="0" fontId="40" fillId="36" borderId="186" xfId="43" applyFont="1" applyFill="1" applyBorder="1" applyAlignment="1">
      <alignment horizontal="center" vertical="center"/>
    </xf>
    <xf numFmtId="0" fontId="41" fillId="0" borderId="128" xfId="43" applyFont="1" applyBorder="1" applyAlignment="1">
      <alignment horizontal="center" vertical="center"/>
    </xf>
    <xf numFmtId="0" fontId="41" fillId="0" borderId="132" xfId="43" applyFont="1" applyBorder="1" applyAlignment="1">
      <alignment horizontal="center" vertical="center"/>
    </xf>
    <xf numFmtId="0" fontId="41" fillId="0" borderId="187" xfId="43" applyFont="1" applyBorder="1" applyAlignment="1">
      <alignment horizontal="center" vertical="center"/>
    </xf>
    <xf numFmtId="0" fontId="41" fillId="0" borderId="134" xfId="43" applyFont="1" applyBorder="1" applyAlignment="1">
      <alignment horizontal="center" vertical="center"/>
    </xf>
    <xf numFmtId="0" fontId="40" fillId="36" borderId="188" xfId="43" applyFont="1" applyFill="1" applyBorder="1" applyAlignment="1">
      <alignment horizontal="center" vertical="center"/>
    </xf>
    <xf numFmtId="0" fontId="41" fillId="36" borderId="46" xfId="43" applyFont="1" applyFill="1" applyBorder="1" applyAlignment="1">
      <alignment horizontal="center" vertical="center"/>
    </xf>
    <xf numFmtId="0" fontId="41" fillId="36" borderId="21" xfId="43" applyFont="1" applyFill="1" applyBorder="1" applyAlignment="1">
      <alignment horizontal="center" vertical="center"/>
    </xf>
    <xf numFmtId="179" fontId="54" fillId="44" borderId="189" xfId="43" applyNumberFormat="1" applyFont="1" applyFill="1" applyBorder="1" applyAlignment="1">
      <alignment horizontal="center" vertical="center"/>
    </xf>
    <xf numFmtId="180" fontId="53" fillId="44" borderId="190" xfId="43" applyNumberFormat="1" applyFont="1" applyFill="1" applyBorder="1" applyAlignment="1">
      <alignment horizontal="center" vertical="center"/>
    </xf>
    <xf numFmtId="38" fontId="44" fillId="0" borderId="191" xfId="44" applyFont="1" applyFill="1" applyBorder="1">
      <alignment vertical="center"/>
    </xf>
    <xf numFmtId="38" fontId="44" fillId="0" borderId="192" xfId="44" applyFont="1" applyFill="1" applyBorder="1">
      <alignment vertical="center"/>
    </xf>
    <xf numFmtId="38" fontId="44" fillId="0" borderId="33" xfId="44" applyFont="1" applyFill="1" applyBorder="1">
      <alignment vertical="center"/>
    </xf>
    <xf numFmtId="38" fontId="44" fillId="0" borderId="35" xfId="44" applyFont="1" applyFill="1" applyBorder="1">
      <alignment vertical="center"/>
    </xf>
    <xf numFmtId="38" fontId="56" fillId="33" borderId="29" xfId="44" applyFont="1" applyFill="1" applyBorder="1">
      <alignment vertical="center"/>
    </xf>
    <xf numFmtId="38" fontId="44" fillId="0" borderId="31" xfId="44" applyFont="1" applyFill="1" applyBorder="1">
      <alignment vertical="center"/>
    </xf>
    <xf numFmtId="38" fontId="44" fillId="0" borderId="193" xfId="44" applyFont="1" applyFill="1" applyBorder="1">
      <alignment vertical="center"/>
    </xf>
    <xf numFmtId="38" fontId="44" fillId="36" borderId="29" xfId="43" applyNumberFormat="1" applyFont="1" applyFill="1" applyBorder="1">
      <alignment vertical="center"/>
    </xf>
    <xf numFmtId="38" fontId="56" fillId="33" borderId="191" xfId="43" applyNumberFormat="1" applyFont="1" applyFill="1" applyBorder="1">
      <alignment vertical="center"/>
    </xf>
    <xf numFmtId="176" fontId="56" fillId="33" borderId="190" xfId="43" applyNumberFormat="1" applyFont="1" applyFill="1" applyBorder="1">
      <alignment vertical="center"/>
    </xf>
    <xf numFmtId="38" fontId="44" fillId="0" borderId="194" xfId="44" applyFont="1" applyFill="1" applyBorder="1">
      <alignment vertical="center"/>
    </xf>
    <xf numFmtId="38" fontId="44" fillId="36" borderId="39" xfId="44" applyFont="1" applyFill="1" applyBorder="1">
      <alignment vertical="center"/>
    </xf>
    <xf numFmtId="38" fontId="44" fillId="36" borderId="29" xfId="44" applyFont="1" applyFill="1" applyBorder="1">
      <alignment vertical="center"/>
    </xf>
    <xf numFmtId="38" fontId="44" fillId="36" borderId="37" xfId="44" applyFont="1" applyFill="1" applyBorder="1">
      <alignment vertical="center"/>
    </xf>
    <xf numFmtId="38" fontId="56" fillId="36" borderId="195" xfId="44" applyFont="1" applyFill="1" applyBorder="1">
      <alignment vertical="center"/>
    </xf>
    <xf numFmtId="38" fontId="44" fillId="0" borderId="37" xfId="44" applyFont="1" applyFill="1" applyBorder="1">
      <alignment vertical="center"/>
    </xf>
    <xf numFmtId="38" fontId="44" fillId="0" borderId="39" xfId="44" applyFont="1" applyFill="1" applyBorder="1">
      <alignment vertical="center"/>
    </xf>
    <xf numFmtId="38" fontId="44" fillId="0" borderId="41" xfId="44" applyFont="1" applyFill="1" applyBorder="1">
      <alignment vertical="center"/>
    </xf>
    <xf numFmtId="38" fontId="56" fillId="36" borderId="196" xfId="44" applyFont="1" applyFill="1" applyBorder="1">
      <alignment vertical="center"/>
    </xf>
    <xf numFmtId="38" fontId="44" fillId="0" borderId="197" xfId="44" applyFont="1" applyFill="1" applyBorder="1">
      <alignment vertical="center"/>
    </xf>
    <xf numFmtId="38" fontId="44" fillId="36" borderId="194" xfId="44" applyFont="1" applyFill="1" applyBorder="1">
      <alignment vertical="center"/>
    </xf>
    <xf numFmtId="176" fontId="44" fillId="36" borderId="27" xfId="43" applyNumberFormat="1" applyFont="1" applyFill="1" applyBorder="1">
      <alignment vertical="center"/>
    </xf>
    <xf numFmtId="180" fontId="53" fillId="46" borderId="75" xfId="43" applyNumberFormat="1" applyFont="1" applyFill="1" applyBorder="1" applyAlignment="1">
      <alignment horizontal="center" vertical="center"/>
    </xf>
    <xf numFmtId="38" fontId="19" fillId="42" borderId="10" xfId="33" quotePrefix="1" applyFont="1" applyFill="1" applyBorder="1" applyAlignment="1">
      <alignment horizontal="right" vertical="center"/>
    </xf>
    <xf numFmtId="176" fontId="19" fillId="0" borderId="0" xfId="33" applyNumberFormat="1" applyFont="1">
      <alignment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6376;&#27425;&#38306;&#20418;/es-&#26376;&#27425;&#22577;&#21578;&#36039;&#26009;/&#26376;&#27425;&#22577;&#21578;-2025/es&#12456;&#12531;&#12479;&#12540;&#20104;&#31639;&#26696;202507.xlsx" TargetMode="External"/><Relationship Id="rId2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20920BU\es&#65396;&#65437;&#65408;&#65392;&#65411;&#65394;&#65426;&#65437;&#65412;-20200410-&#12304;&#26376;&#27425;&#12305;\es-&#26376;&#27425;&#38306;&#20418;\es-&#26376;&#27425;&#22577;&#21578;&#36039;&#26009;\es-&#26376;&#27425;&#22577;&#21578;-2026\&#12456;&#12531;&#12479;&#12540;&#22577;&#21578;&#26360;\es&#12456;&#12531;&#12479;&#12540;&#20104;&#31639;202607&#65374;.xlsx" TargetMode="External"/><Relationship Id="rId1" Type="http://schemas.openxmlformats.org/officeDocument/2006/relationships/externalLinkPath" Target="es&#12456;&#12531;&#12479;&#12540;&#20104;&#31639;202607&#653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 refreshError="1"/>
      <sheetData sheetId="1" refreshError="1"/>
      <sheetData sheetId="2" refreshError="1">
        <row r="3">
          <cell r="C3">
            <v>7000000</v>
          </cell>
        </row>
        <row r="4">
          <cell r="C4">
            <v>1785000</v>
          </cell>
        </row>
        <row r="8">
          <cell r="C8">
            <v>570000</v>
          </cell>
        </row>
        <row r="9">
          <cell r="C9">
            <v>1050000</v>
          </cell>
        </row>
        <row r="10">
          <cell r="C10">
            <v>85500</v>
          </cell>
        </row>
        <row r="14">
          <cell r="C14">
            <v>40000</v>
          </cell>
        </row>
        <row r="15">
          <cell r="C15">
            <v>19050</v>
          </cell>
        </row>
        <row r="18">
          <cell r="C18">
            <v>10000</v>
          </cell>
        </row>
        <row r="19">
          <cell r="C19">
            <v>565394</v>
          </cell>
        </row>
        <row r="20">
          <cell r="C20">
            <v>30000</v>
          </cell>
        </row>
        <row r="22">
          <cell r="C22">
            <v>32800</v>
          </cell>
        </row>
        <row r="23">
          <cell r="C23">
            <v>10000</v>
          </cell>
        </row>
        <row r="26">
          <cell r="C26">
            <v>140000</v>
          </cell>
        </row>
        <row r="27">
          <cell r="C27">
            <v>1000</v>
          </cell>
        </row>
        <row r="28">
          <cell r="C28">
            <v>165000</v>
          </cell>
        </row>
        <row r="29">
          <cell r="C29">
            <v>160000</v>
          </cell>
        </row>
        <row r="32">
          <cell r="C32">
            <v>30000</v>
          </cell>
        </row>
      </sheetData>
      <sheetData sheetId="3" refreshError="1">
        <row r="3">
          <cell r="C3">
            <v>750000</v>
          </cell>
        </row>
        <row r="4">
          <cell r="C4">
            <v>112500</v>
          </cell>
        </row>
        <row r="9">
          <cell r="C9">
            <v>80000</v>
          </cell>
        </row>
        <row r="29">
          <cell r="C29">
            <v>52500.000000000007</v>
          </cell>
        </row>
      </sheetData>
      <sheetData sheetId="4" refreshError="1">
        <row r="3">
          <cell r="C3">
            <v>350000</v>
          </cell>
        </row>
        <row r="4">
          <cell r="C4">
            <v>157500</v>
          </cell>
        </row>
        <row r="12">
          <cell r="C12">
            <v>175000</v>
          </cell>
        </row>
        <row r="26">
          <cell r="C26">
            <v>10000</v>
          </cell>
        </row>
      </sheetData>
      <sheetData sheetId="5" refreshError="1">
        <row r="3">
          <cell r="C3">
            <v>150000</v>
          </cell>
        </row>
        <row r="4">
          <cell r="C4">
            <v>45000</v>
          </cell>
        </row>
        <row r="12">
          <cell r="C12">
            <v>60000</v>
          </cell>
        </row>
      </sheetData>
      <sheetData sheetId="6" refreshError="1">
        <row r="3">
          <cell r="C3">
            <v>1000000</v>
          </cell>
        </row>
        <row r="4">
          <cell r="C4">
            <v>100000</v>
          </cell>
        </row>
        <row r="12">
          <cell r="C12">
            <v>25000</v>
          </cell>
        </row>
        <row r="15">
          <cell r="C15">
            <v>24000</v>
          </cell>
        </row>
        <row r="19">
          <cell r="C19">
            <v>184560</v>
          </cell>
        </row>
        <row r="22">
          <cell r="C22">
            <v>7400</v>
          </cell>
        </row>
        <row r="26">
          <cell r="C26">
            <v>50000</v>
          </cell>
        </row>
        <row r="29">
          <cell r="C29">
            <v>40000</v>
          </cell>
        </row>
        <row r="32">
          <cell r="C32">
            <v>20000</v>
          </cell>
        </row>
      </sheetData>
      <sheetData sheetId="7" refreshError="1">
        <row r="3">
          <cell r="C3">
            <v>350000</v>
          </cell>
        </row>
        <row r="7">
          <cell r="C7">
            <v>500000</v>
          </cell>
        </row>
        <row r="10">
          <cell r="C10">
            <v>75000</v>
          </cell>
        </row>
        <row r="13">
          <cell r="C13">
            <v>101819</v>
          </cell>
        </row>
        <row r="14">
          <cell r="C14">
            <v>10000</v>
          </cell>
        </row>
        <row r="15">
          <cell r="C15">
            <v>20000</v>
          </cell>
        </row>
        <row r="22">
          <cell r="C22">
            <v>9500</v>
          </cell>
        </row>
        <row r="24">
          <cell r="C24">
            <v>22215</v>
          </cell>
        </row>
        <row r="27">
          <cell r="C27">
            <v>130000</v>
          </cell>
        </row>
        <row r="29">
          <cell r="C29">
            <v>29000</v>
          </cell>
        </row>
        <row r="31">
          <cell r="C31">
            <v>70000</v>
          </cell>
        </row>
        <row r="36">
          <cell r="C36">
            <v>120000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収支予測"/>
      <sheetName val="予実対比用"/>
      <sheetName val="合算"/>
      <sheetName val="2026.07～恵愛予測"/>
      <sheetName val="2026.7~シェアバー予測"/>
      <sheetName val="2026.7~村予測"/>
      <sheetName val="2026.7~弁当予測"/>
      <sheetName val="2026.7~サウナ予測"/>
      <sheetName val="2026.07~本部予測"/>
      <sheetName val="恵愛実績202607～"/>
      <sheetName val="恵愛予算202607～"/>
    </sheetNames>
    <sheetDataSet>
      <sheetData sheetId="0">
        <row r="11">
          <cell r="H11">
            <v>7000000</v>
          </cell>
          <cell r="I11">
            <v>7000000</v>
          </cell>
          <cell r="J11">
            <v>7000000</v>
          </cell>
          <cell r="K11">
            <v>7000000</v>
          </cell>
          <cell r="L11">
            <v>9500000</v>
          </cell>
          <cell r="M11">
            <v>7000000</v>
          </cell>
          <cell r="N11">
            <v>7000000</v>
          </cell>
          <cell r="O11">
            <v>8500000</v>
          </cell>
          <cell r="P11">
            <v>7000000</v>
          </cell>
          <cell r="Q11">
            <v>7000000</v>
          </cell>
          <cell r="R11">
            <v>7000000</v>
          </cell>
        </row>
        <row r="12">
          <cell r="H12">
            <v>750000</v>
          </cell>
          <cell r="I12">
            <v>750000</v>
          </cell>
          <cell r="J12">
            <v>750000</v>
          </cell>
          <cell r="K12">
            <v>750000</v>
          </cell>
          <cell r="L12">
            <v>750000</v>
          </cell>
          <cell r="M12">
            <v>750000</v>
          </cell>
          <cell r="N12">
            <v>750000</v>
          </cell>
          <cell r="O12">
            <v>750000</v>
          </cell>
          <cell r="P12">
            <v>750000</v>
          </cell>
          <cell r="Q12">
            <v>750000</v>
          </cell>
          <cell r="R12">
            <v>750000</v>
          </cell>
        </row>
        <row r="13">
          <cell r="H13">
            <v>350000</v>
          </cell>
          <cell r="I13">
            <v>350000</v>
          </cell>
          <cell r="J13">
            <v>350000</v>
          </cell>
          <cell r="K13">
            <v>350000</v>
          </cell>
          <cell r="L13">
            <v>350000</v>
          </cell>
          <cell r="M13">
            <v>350000</v>
          </cell>
          <cell r="N13">
            <v>350000</v>
          </cell>
          <cell r="O13">
            <v>350000</v>
          </cell>
          <cell r="P13">
            <v>350000</v>
          </cell>
          <cell r="Q13">
            <v>350000</v>
          </cell>
          <cell r="R13">
            <v>350000</v>
          </cell>
        </row>
        <row r="14">
          <cell r="H14">
            <v>150000</v>
          </cell>
          <cell r="I14">
            <v>150000</v>
          </cell>
          <cell r="J14">
            <v>150000</v>
          </cell>
          <cell r="K14">
            <v>150000</v>
          </cell>
          <cell r="L14">
            <v>150000</v>
          </cell>
          <cell r="M14">
            <v>150000</v>
          </cell>
          <cell r="N14">
            <v>150000</v>
          </cell>
          <cell r="O14">
            <v>150000</v>
          </cell>
          <cell r="P14">
            <v>150000</v>
          </cell>
          <cell r="Q14">
            <v>150000</v>
          </cell>
          <cell r="R14">
            <v>150000</v>
          </cell>
        </row>
        <row r="15">
          <cell r="H15">
            <v>2620000</v>
          </cell>
          <cell r="I15">
            <v>1000000</v>
          </cell>
          <cell r="J15">
            <v>1000000</v>
          </cell>
          <cell r="K15">
            <v>1000000</v>
          </cell>
          <cell r="L15">
            <v>1000000</v>
          </cell>
          <cell r="M15">
            <v>1000000</v>
          </cell>
          <cell r="N15">
            <v>1000000</v>
          </cell>
          <cell r="O15">
            <v>1000000</v>
          </cell>
          <cell r="P15">
            <v>1000000</v>
          </cell>
          <cell r="Q15">
            <v>1000000</v>
          </cell>
          <cell r="R15">
            <v>1000000</v>
          </cell>
        </row>
        <row r="18">
          <cell r="H18">
            <v>1785000</v>
          </cell>
          <cell r="I18">
            <v>1785000</v>
          </cell>
          <cell r="J18">
            <v>1785000</v>
          </cell>
          <cell r="K18">
            <v>1785000</v>
          </cell>
          <cell r="L18">
            <v>2422500</v>
          </cell>
          <cell r="M18">
            <v>1785000</v>
          </cell>
          <cell r="N18">
            <v>1785000</v>
          </cell>
          <cell r="O18">
            <v>2167500</v>
          </cell>
          <cell r="P18">
            <v>1785000</v>
          </cell>
          <cell r="Q18">
            <v>1785000</v>
          </cell>
          <cell r="R18">
            <v>1785000</v>
          </cell>
        </row>
        <row r="19">
          <cell r="H19">
            <v>112500</v>
          </cell>
          <cell r="I19">
            <v>112500</v>
          </cell>
          <cell r="J19">
            <v>112500</v>
          </cell>
          <cell r="K19">
            <v>112500</v>
          </cell>
          <cell r="L19">
            <v>112500</v>
          </cell>
          <cell r="M19">
            <v>112500</v>
          </cell>
          <cell r="N19">
            <v>112500</v>
          </cell>
          <cell r="O19">
            <v>112500</v>
          </cell>
          <cell r="P19">
            <v>112500</v>
          </cell>
          <cell r="Q19">
            <v>112500</v>
          </cell>
          <cell r="R19">
            <v>112500</v>
          </cell>
        </row>
        <row r="20">
          <cell r="H20">
            <v>140000</v>
          </cell>
          <cell r="I20">
            <v>140000</v>
          </cell>
          <cell r="J20">
            <v>140000</v>
          </cell>
          <cell r="K20">
            <v>140000</v>
          </cell>
          <cell r="L20">
            <v>140000</v>
          </cell>
          <cell r="M20">
            <v>140000</v>
          </cell>
          <cell r="N20">
            <v>140000</v>
          </cell>
          <cell r="O20">
            <v>140000</v>
          </cell>
          <cell r="P20">
            <v>140000</v>
          </cell>
          <cell r="Q20">
            <v>140000</v>
          </cell>
          <cell r="R20">
            <v>140000</v>
          </cell>
        </row>
        <row r="21">
          <cell r="H21">
            <v>45000</v>
          </cell>
          <cell r="I21">
            <v>45000</v>
          </cell>
          <cell r="J21">
            <v>84350</v>
          </cell>
          <cell r="K21">
            <v>45000</v>
          </cell>
          <cell r="L21">
            <v>43879</v>
          </cell>
          <cell r="M21">
            <v>45000</v>
          </cell>
          <cell r="N21">
            <v>45000</v>
          </cell>
          <cell r="O21">
            <v>37500</v>
          </cell>
          <cell r="P21">
            <v>45000</v>
          </cell>
          <cell r="Q21">
            <v>45000</v>
          </cell>
          <cell r="R21">
            <v>45000</v>
          </cell>
        </row>
        <row r="22">
          <cell r="H22">
            <v>50000</v>
          </cell>
          <cell r="I22">
            <v>50000</v>
          </cell>
          <cell r="J22">
            <v>50000</v>
          </cell>
          <cell r="K22">
            <v>50000</v>
          </cell>
          <cell r="L22">
            <v>50000</v>
          </cell>
          <cell r="M22">
            <v>50000</v>
          </cell>
          <cell r="N22">
            <v>50000</v>
          </cell>
          <cell r="O22">
            <v>50000</v>
          </cell>
          <cell r="P22">
            <v>50000</v>
          </cell>
          <cell r="Q22">
            <v>50000</v>
          </cell>
          <cell r="R22">
            <v>50000</v>
          </cell>
        </row>
        <row r="27">
          <cell r="H27">
            <v>500000</v>
          </cell>
          <cell r="I27">
            <v>500000</v>
          </cell>
          <cell r="J27">
            <v>500000</v>
          </cell>
          <cell r="K27">
            <v>500000</v>
          </cell>
          <cell r="L27">
            <v>500000</v>
          </cell>
          <cell r="M27">
            <v>500000</v>
          </cell>
          <cell r="N27">
            <v>500000</v>
          </cell>
          <cell r="O27">
            <v>500000</v>
          </cell>
          <cell r="P27">
            <v>500000</v>
          </cell>
          <cell r="Q27">
            <v>500000</v>
          </cell>
          <cell r="R27">
            <v>500000</v>
          </cell>
        </row>
        <row r="28">
          <cell r="H28">
            <v>570000</v>
          </cell>
          <cell r="I28">
            <v>570000</v>
          </cell>
          <cell r="J28">
            <v>570000</v>
          </cell>
          <cell r="K28">
            <v>570000</v>
          </cell>
          <cell r="L28">
            <v>570000</v>
          </cell>
          <cell r="M28">
            <v>570000</v>
          </cell>
          <cell r="N28">
            <v>570000</v>
          </cell>
          <cell r="O28">
            <v>570000</v>
          </cell>
          <cell r="P28">
            <v>570000</v>
          </cell>
          <cell r="Q28">
            <v>570000</v>
          </cell>
          <cell r="R28">
            <v>570000</v>
          </cell>
        </row>
        <row r="29">
          <cell r="H29">
            <v>1110000</v>
          </cell>
          <cell r="I29">
            <v>1110000</v>
          </cell>
          <cell r="J29">
            <v>1110000</v>
          </cell>
          <cell r="K29">
            <v>1110000</v>
          </cell>
          <cell r="L29">
            <v>1485000</v>
          </cell>
          <cell r="M29">
            <v>1110000</v>
          </cell>
          <cell r="N29">
            <v>1110000</v>
          </cell>
          <cell r="O29">
            <v>1335000</v>
          </cell>
          <cell r="P29">
            <v>1110000</v>
          </cell>
          <cell r="Q29">
            <v>1110000</v>
          </cell>
          <cell r="R29">
            <v>1110000</v>
          </cell>
        </row>
        <row r="30">
          <cell r="H30">
            <v>205500</v>
          </cell>
          <cell r="I30">
            <v>205500</v>
          </cell>
          <cell r="J30">
            <v>205500</v>
          </cell>
          <cell r="K30">
            <v>205500</v>
          </cell>
          <cell r="L30">
            <v>205500</v>
          </cell>
          <cell r="M30">
            <v>205500</v>
          </cell>
          <cell r="N30">
            <v>205500</v>
          </cell>
          <cell r="O30">
            <v>205500</v>
          </cell>
          <cell r="P30">
            <v>205500</v>
          </cell>
          <cell r="Q30">
            <v>205500</v>
          </cell>
          <cell r="R30">
            <v>205500</v>
          </cell>
        </row>
        <row r="31"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H32">
            <v>285682</v>
          </cell>
          <cell r="I32">
            <v>251021</v>
          </cell>
          <cell r="J32">
            <v>314059</v>
          </cell>
          <cell r="K32">
            <v>263426</v>
          </cell>
          <cell r="L32">
            <v>256657</v>
          </cell>
          <cell r="M32">
            <v>252206</v>
          </cell>
          <cell r="N32">
            <v>238391</v>
          </cell>
          <cell r="O32">
            <v>263426</v>
          </cell>
          <cell r="P32">
            <v>260000</v>
          </cell>
          <cell r="Q32">
            <v>260000</v>
          </cell>
          <cell r="R32">
            <v>260000</v>
          </cell>
        </row>
        <row r="33">
          <cell r="H33">
            <v>101819</v>
          </cell>
          <cell r="I33">
            <v>101819</v>
          </cell>
          <cell r="J33">
            <v>124819</v>
          </cell>
          <cell r="K33">
            <v>101819</v>
          </cell>
          <cell r="L33">
            <v>102109</v>
          </cell>
          <cell r="M33">
            <v>101819</v>
          </cell>
          <cell r="N33">
            <v>102329</v>
          </cell>
          <cell r="O33">
            <v>101819</v>
          </cell>
          <cell r="P33">
            <v>101819</v>
          </cell>
          <cell r="Q33">
            <v>101819</v>
          </cell>
          <cell r="R33">
            <v>101819</v>
          </cell>
        </row>
        <row r="35">
          <cell r="H35">
            <v>50000</v>
          </cell>
          <cell r="I35">
            <v>50000</v>
          </cell>
          <cell r="J35">
            <v>50000</v>
          </cell>
          <cell r="K35">
            <v>50000</v>
          </cell>
          <cell r="L35">
            <v>55000</v>
          </cell>
          <cell r="M35">
            <v>55000</v>
          </cell>
          <cell r="N35">
            <v>55000</v>
          </cell>
          <cell r="O35">
            <v>55000</v>
          </cell>
          <cell r="P35">
            <v>50000</v>
          </cell>
          <cell r="Q35">
            <v>50000</v>
          </cell>
          <cell r="R35">
            <v>50000</v>
          </cell>
        </row>
        <row r="36">
          <cell r="H36">
            <v>54050</v>
          </cell>
          <cell r="I36">
            <v>54050</v>
          </cell>
          <cell r="J36">
            <v>54050</v>
          </cell>
          <cell r="K36">
            <v>54050</v>
          </cell>
          <cell r="L36">
            <v>54050</v>
          </cell>
          <cell r="M36">
            <v>54050</v>
          </cell>
          <cell r="N36">
            <v>54050</v>
          </cell>
          <cell r="O36">
            <v>54050</v>
          </cell>
          <cell r="P36">
            <v>54050</v>
          </cell>
          <cell r="Q36">
            <v>54050</v>
          </cell>
          <cell r="R36">
            <v>54050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H39">
            <v>10000</v>
          </cell>
          <cell r="I39">
            <v>10000</v>
          </cell>
          <cell r="J39">
            <v>10000</v>
          </cell>
          <cell r="K39">
            <v>10000</v>
          </cell>
          <cell r="L39">
            <v>30000</v>
          </cell>
          <cell r="M39">
            <v>10000</v>
          </cell>
          <cell r="N39">
            <v>10000</v>
          </cell>
          <cell r="O39">
            <v>30000</v>
          </cell>
          <cell r="P39">
            <v>10000</v>
          </cell>
          <cell r="Q39">
            <v>10000</v>
          </cell>
          <cell r="R39">
            <v>10000</v>
          </cell>
        </row>
        <row r="40">
          <cell r="H40">
            <v>749954</v>
          </cell>
          <cell r="I40">
            <v>749954</v>
          </cell>
          <cell r="J40">
            <v>749954</v>
          </cell>
          <cell r="K40">
            <v>749954</v>
          </cell>
          <cell r="L40">
            <v>749954</v>
          </cell>
          <cell r="M40">
            <v>749954</v>
          </cell>
          <cell r="N40">
            <v>749954</v>
          </cell>
          <cell r="O40">
            <v>749954</v>
          </cell>
          <cell r="P40">
            <v>749954</v>
          </cell>
          <cell r="Q40">
            <v>749954</v>
          </cell>
          <cell r="R40">
            <v>749954</v>
          </cell>
        </row>
        <row r="41">
          <cell r="H41">
            <v>30000</v>
          </cell>
          <cell r="I41">
            <v>30000</v>
          </cell>
          <cell r="J41">
            <v>30000</v>
          </cell>
          <cell r="K41">
            <v>30000</v>
          </cell>
          <cell r="L41">
            <v>30000</v>
          </cell>
          <cell r="M41">
            <v>30000</v>
          </cell>
          <cell r="N41">
            <v>30000</v>
          </cell>
          <cell r="O41">
            <v>30000</v>
          </cell>
          <cell r="P41">
            <v>30000</v>
          </cell>
          <cell r="Q41">
            <v>30000</v>
          </cell>
          <cell r="R41">
            <v>30000</v>
          </cell>
        </row>
        <row r="42">
          <cell r="H42">
            <v>1645661</v>
          </cell>
          <cell r="I42">
            <v>1645661</v>
          </cell>
          <cell r="J42">
            <v>1645661</v>
          </cell>
          <cell r="K42">
            <v>1645661</v>
          </cell>
          <cell r="L42">
            <v>1645661</v>
          </cell>
          <cell r="M42">
            <v>1645661</v>
          </cell>
          <cell r="N42">
            <v>1645661</v>
          </cell>
          <cell r="O42">
            <v>1645661</v>
          </cell>
          <cell r="P42">
            <v>1645661</v>
          </cell>
          <cell r="Q42">
            <v>1645661</v>
          </cell>
          <cell r="R42">
            <v>1645661</v>
          </cell>
        </row>
        <row r="43">
          <cell r="H43">
            <v>49700</v>
          </cell>
          <cell r="I43">
            <v>49700</v>
          </cell>
          <cell r="J43">
            <v>49700</v>
          </cell>
          <cell r="K43">
            <v>49700</v>
          </cell>
          <cell r="L43">
            <v>49700</v>
          </cell>
          <cell r="M43">
            <v>49700</v>
          </cell>
          <cell r="N43">
            <v>49700</v>
          </cell>
          <cell r="O43">
            <v>49700</v>
          </cell>
          <cell r="P43">
            <v>49700</v>
          </cell>
          <cell r="Q43">
            <v>49700</v>
          </cell>
          <cell r="R43">
            <v>49700</v>
          </cell>
        </row>
        <row r="44">
          <cell r="H44">
            <v>10000</v>
          </cell>
          <cell r="I44">
            <v>10000</v>
          </cell>
          <cell r="J44">
            <v>10000</v>
          </cell>
          <cell r="K44">
            <v>10000</v>
          </cell>
          <cell r="L44">
            <v>10000</v>
          </cell>
          <cell r="M44">
            <v>10000</v>
          </cell>
          <cell r="N44">
            <v>10000</v>
          </cell>
          <cell r="O44">
            <v>10000</v>
          </cell>
          <cell r="P44">
            <v>10000</v>
          </cell>
          <cell r="Q44">
            <v>10000</v>
          </cell>
          <cell r="R44">
            <v>10000</v>
          </cell>
        </row>
        <row r="45">
          <cell r="H45">
            <v>25320</v>
          </cell>
          <cell r="I45">
            <v>25320</v>
          </cell>
          <cell r="J45">
            <v>25320</v>
          </cell>
          <cell r="K45">
            <v>25320</v>
          </cell>
          <cell r="L45">
            <v>25320</v>
          </cell>
          <cell r="M45">
            <v>25320</v>
          </cell>
          <cell r="N45">
            <v>25320</v>
          </cell>
          <cell r="O45">
            <v>25320</v>
          </cell>
          <cell r="P45">
            <v>25320</v>
          </cell>
          <cell r="Q45">
            <v>25320</v>
          </cell>
          <cell r="R45">
            <v>25320</v>
          </cell>
        </row>
        <row r="46">
          <cell r="H46">
            <v>860000</v>
          </cell>
          <cell r="I46">
            <v>860000</v>
          </cell>
          <cell r="J46">
            <v>860000</v>
          </cell>
          <cell r="K46">
            <v>860000</v>
          </cell>
          <cell r="L46">
            <v>1060000</v>
          </cell>
          <cell r="M46">
            <v>860000</v>
          </cell>
          <cell r="N46">
            <v>860000</v>
          </cell>
          <cell r="O46">
            <v>980000</v>
          </cell>
          <cell r="P46">
            <v>860000</v>
          </cell>
          <cell r="Q46">
            <v>860000</v>
          </cell>
          <cell r="R46">
            <v>860000</v>
          </cell>
        </row>
        <row r="47">
          <cell r="H47">
            <v>180000</v>
          </cell>
          <cell r="I47">
            <v>180000</v>
          </cell>
          <cell r="J47">
            <v>180000</v>
          </cell>
          <cell r="K47">
            <v>180000</v>
          </cell>
          <cell r="L47">
            <v>230000</v>
          </cell>
          <cell r="M47">
            <v>180000</v>
          </cell>
          <cell r="N47">
            <v>180000</v>
          </cell>
          <cell r="O47">
            <v>210000</v>
          </cell>
          <cell r="P47">
            <v>180000</v>
          </cell>
          <cell r="Q47">
            <v>180000</v>
          </cell>
          <cell r="R47">
            <v>180000</v>
          </cell>
        </row>
        <row r="48">
          <cell r="H48">
            <v>1000</v>
          </cell>
          <cell r="I48">
            <v>147000</v>
          </cell>
          <cell r="J48">
            <v>1000</v>
          </cell>
          <cell r="K48">
            <v>1000</v>
          </cell>
          <cell r="L48">
            <v>147000</v>
          </cell>
          <cell r="M48">
            <v>1000</v>
          </cell>
          <cell r="N48">
            <v>1000</v>
          </cell>
          <cell r="O48">
            <v>1000</v>
          </cell>
          <cell r="P48">
            <v>131000</v>
          </cell>
          <cell r="Q48">
            <v>1000</v>
          </cell>
          <cell r="R48">
            <v>1000</v>
          </cell>
        </row>
        <row r="49">
          <cell r="H49">
            <v>165000</v>
          </cell>
          <cell r="I49">
            <v>165000</v>
          </cell>
          <cell r="J49">
            <v>165000</v>
          </cell>
          <cell r="K49">
            <v>165000</v>
          </cell>
          <cell r="L49">
            <v>165000</v>
          </cell>
          <cell r="M49">
            <v>165000</v>
          </cell>
          <cell r="N49">
            <v>165000</v>
          </cell>
          <cell r="O49">
            <v>165000</v>
          </cell>
          <cell r="P49">
            <v>165000</v>
          </cell>
          <cell r="Q49">
            <v>165000</v>
          </cell>
          <cell r="R49">
            <v>165000</v>
          </cell>
        </row>
        <row r="50">
          <cell r="H50">
            <v>292500</v>
          </cell>
          <cell r="I50">
            <v>292500</v>
          </cell>
          <cell r="J50">
            <v>292500</v>
          </cell>
          <cell r="K50">
            <v>292500</v>
          </cell>
          <cell r="L50">
            <v>345000</v>
          </cell>
          <cell r="M50">
            <v>292500</v>
          </cell>
          <cell r="N50">
            <v>292500</v>
          </cell>
          <cell r="O50">
            <v>324000</v>
          </cell>
          <cell r="P50">
            <v>292500</v>
          </cell>
          <cell r="Q50">
            <v>292500</v>
          </cell>
          <cell r="R50">
            <v>292500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H52">
            <v>70000</v>
          </cell>
          <cell r="I52">
            <v>280000</v>
          </cell>
          <cell r="J52">
            <v>70000</v>
          </cell>
          <cell r="K52">
            <v>110000</v>
          </cell>
          <cell r="L52">
            <v>70000</v>
          </cell>
          <cell r="M52">
            <v>70000</v>
          </cell>
          <cell r="N52">
            <v>70000</v>
          </cell>
          <cell r="O52">
            <v>70000</v>
          </cell>
          <cell r="P52">
            <v>70000</v>
          </cell>
          <cell r="Q52">
            <v>70000</v>
          </cell>
          <cell r="R52">
            <v>70000</v>
          </cell>
        </row>
        <row r="53">
          <cell r="H53">
            <v>45000</v>
          </cell>
          <cell r="I53">
            <v>45000</v>
          </cell>
          <cell r="J53">
            <v>45000</v>
          </cell>
          <cell r="K53">
            <v>45000</v>
          </cell>
          <cell r="L53">
            <v>45000</v>
          </cell>
          <cell r="M53">
            <v>45000</v>
          </cell>
          <cell r="N53">
            <v>45000</v>
          </cell>
          <cell r="O53">
            <v>45000</v>
          </cell>
          <cell r="P53">
            <v>45000</v>
          </cell>
          <cell r="Q53">
            <v>45000</v>
          </cell>
          <cell r="R53">
            <v>45000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H59">
            <v>150000</v>
          </cell>
          <cell r="I59">
            <v>150000</v>
          </cell>
          <cell r="J59">
            <v>150000</v>
          </cell>
          <cell r="K59">
            <v>150760</v>
          </cell>
          <cell r="L59">
            <v>150000</v>
          </cell>
          <cell r="M59">
            <v>150000</v>
          </cell>
          <cell r="N59">
            <v>150000</v>
          </cell>
          <cell r="O59">
            <v>150000</v>
          </cell>
          <cell r="P59">
            <v>150000</v>
          </cell>
          <cell r="Q59">
            <v>150000</v>
          </cell>
          <cell r="R59">
            <v>150000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68" activePane="bottomRight" state="frozen"/>
      <selection pane="topRight" activeCell="C1" sqref="C1"/>
      <selection pane="bottomLeft" activeCell="A2" sqref="A2"/>
      <selection pane="bottomRight" activeCell="E81" sqref="E81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3" customWidth="1"/>
    <col min="4" max="11" width="11.625" style="2" customWidth="1"/>
    <col min="12" max="15" width="10.625" style="2" customWidth="1"/>
    <col min="16" max="16384" width="9" style="2"/>
  </cols>
  <sheetData>
    <row r="1" spans="1:19" s="455" customFormat="1" ht="16.899999999999999" thickBot="1">
      <c r="B1" s="455" t="s">
        <v>0</v>
      </c>
      <c r="C1" s="456" t="s">
        <v>159</v>
      </c>
      <c r="D1" s="457" t="s">
        <v>1</v>
      </c>
      <c r="E1" s="457" t="s">
        <v>2</v>
      </c>
      <c r="F1" s="457" t="s">
        <v>185</v>
      </c>
      <c r="G1" s="457" t="s">
        <v>207</v>
      </c>
      <c r="H1" s="457" t="s">
        <v>212</v>
      </c>
      <c r="I1" s="457" t="s">
        <v>211</v>
      </c>
      <c r="J1" s="457" t="s">
        <v>213</v>
      </c>
      <c r="K1" s="457" t="s">
        <v>216</v>
      </c>
      <c r="L1" s="457">
        <v>3</v>
      </c>
      <c r="M1" s="457">
        <v>4</v>
      </c>
      <c r="N1" s="457" t="s">
        <v>218</v>
      </c>
      <c r="O1" s="457" t="s">
        <v>219</v>
      </c>
      <c r="P1" s="457"/>
      <c r="Q1" s="457"/>
      <c r="R1" s="457"/>
      <c r="S1" s="457"/>
    </row>
    <row r="2" spans="1:19" ht="16.899999999999999" thickTop="1">
      <c r="A2" s="2" t="s">
        <v>56</v>
      </c>
    </row>
    <row r="3" spans="1:19">
      <c r="A3" s="2" t="s">
        <v>57</v>
      </c>
    </row>
    <row r="4" spans="1:19">
      <c r="A4" s="2" t="s">
        <v>58</v>
      </c>
    </row>
    <row r="5" spans="1:19">
      <c r="B5" s="2" t="s">
        <v>59</v>
      </c>
      <c r="C5" s="113">
        <v>2866900</v>
      </c>
      <c r="D5" s="2">
        <v>1880600</v>
      </c>
    </row>
    <row r="6" spans="1:19">
      <c r="B6" s="2" t="s">
        <v>60</v>
      </c>
      <c r="C6" s="113">
        <v>31678389</v>
      </c>
      <c r="D6" s="2">
        <v>33834099</v>
      </c>
    </row>
    <row r="7" spans="1:19">
      <c r="B7" s="2" t="s">
        <v>61</v>
      </c>
      <c r="C7" s="113">
        <v>356376</v>
      </c>
      <c r="D7" s="2">
        <v>340879</v>
      </c>
    </row>
    <row r="8" spans="1:19">
      <c r="A8" s="2" t="s">
        <v>62</v>
      </c>
      <c r="C8" s="113">
        <v>34901665</v>
      </c>
      <c r="D8" s="2">
        <v>36055578</v>
      </c>
    </row>
    <row r="9" spans="1:19">
      <c r="A9" s="2" t="s">
        <v>63</v>
      </c>
    </row>
    <row r="10" spans="1:19">
      <c r="B10" s="2" t="s">
        <v>64</v>
      </c>
      <c r="C10" s="113">
        <v>9122840</v>
      </c>
      <c r="D10" s="2">
        <v>8860846</v>
      </c>
    </row>
    <row r="11" spans="1:19">
      <c r="A11" s="2" t="s">
        <v>65</v>
      </c>
      <c r="C11" s="113">
        <f>+C10</f>
        <v>9122840</v>
      </c>
      <c r="D11" s="2">
        <v>8860846</v>
      </c>
    </row>
    <row r="12" spans="1:19">
      <c r="A12" s="2" t="s">
        <v>66</v>
      </c>
    </row>
    <row r="13" spans="1:19">
      <c r="A13" s="2" t="s">
        <v>67</v>
      </c>
      <c r="C13" s="113">
        <v>0</v>
      </c>
      <c r="D13" s="2">
        <v>0</v>
      </c>
    </row>
    <row r="14" spans="1:19">
      <c r="A14" s="2" t="s">
        <v>68</v>
      </c>
    </row>
    <row r="15" spans="1:19">
      <c r="B15" s="2" t="s">
        <v>69</v>
      </c>
      <c r="C15" s="113">
        <v>1354257</v>
      </c>
      <c r="D15" s="2">
        <v>1354396</v>
      </c>
    </row>
    <row r="16" spans="1:19">
      <c r="B16" s="2" t="s">
        <v>223</v>
      </c>
      <c r="C16" s="113">
        <v>99474</v>
      </c>
      <c r="D16" s="2">
        <v>99474</v>
      </c>
    </row>
    <row r="17" spans="1:4">
      <c r="A17" s="2" t="s">
        <v>70</v>
      </c>
      <c r="C17" s="113">
        <v>1453731</v>
      </c>
      <c r="D17" s="2">
        <v>1453870</v>
      </c>
    </row>
    <row r="18" spans="1:4">
      <c r="A18" s="2" t="s">
        <v>71</v>
      </c>
    </row>
    <row r="19" spans="1:4">
      <c r="B19" s="2" t="s">
        <v>222</v>
      </c>
      <c r="C19" s="113">
        <v>1742739</v>
      </c>
      <c r="D19" s="2">
        <v>1742739</v>
      </c>
    </row>
    <row r="20" spans="1:4">
      <c r="B20" s="2" t="s">
        <v>72</v>
      </c>
      <c r="C20" s="113">
        <v>877070</v>
      </c>
      <c r="D20" s="2">
        <v>874843</v>
      </c>
    </row>
    <row r="21" spans="1:4">
      <c r="B21" s="2" t="s">
        <v>220</v>
      </c>
      <c r="C21" s="113">
        <v>0</v>
      </c>
      <c r="D21" s="2">
        <v>0</v>
      </c>
    </row>
    <row r="22" spans="1:4">
      <c r="B22" s="2" t="s">
        <v>209</v>
      </c>
      <c r="C22" s="113">
        <v>0</v>
      </c>
      <c r="D22" s="2">
        <v>3946</v>
      </c>
    </row>
    <row r="23" spans="1:4">
      <c r="B23" s="2" t="s">
        <v>73</v>
      </c>
      <c r="C23" s="113">
        <v>0</v>
      </c>
      <c r="D23" s="2">
        <v>477821</v>
      </c>
    </row>
    <row r="24" spans="1:4">
      <c r="A24" s="2" t="s">
        <v>74</v>
      </c>
      <c r="C24" s="113">
        <v>2619809</v>
      </c>
      <c r="D24" s="2">
        <v>3099349</v>
      </c>
    </row>
    <row r="25" spans="1:4">
      <c r="A25" s="2" t="s">
        <v>75</v>
      </c>
      <c r="C25" s="113">
        <v>48098045</v>
      </c>
      <c r="D25" s="2">
        <v>49469643</v>
      </c>
    </row>
    <row r="26" spans="1:4">
      <c r="A26" s="2" t="s">
        <v>76</v>
      </c>
    </row>
    <row r="27" spans="1:4">
      <c r="A27" s="2" t="s">
        <v>77</v>
      </c>
    </row>
    <row r="28" spans="1:4">
      <c r="B28" s="2" t="s">
        <v>78</v>
      </c>
      <c r="C28" s="113">
        <v>14805643</v>
      </c>
      <c r="D28" s="2">
        <v>14805643</v>
      </c>
    </row>
    <row r="29" spans="1:4">
      <c r="B29" s="2" t="s">
        <v>79</v>
      </c>
      <c r="C29" s="113">
        <v>26376787</v>
      </c>
      <c r="D29" s="2">
        <v>26376787</v>
      </c>
    </row>
    <row r="30" spans="1:4">
      <c r="B30" s="2" t="s">
        <v>80</v>
      </c>
      <c r="C30" s="113">
        <v>4922553</v>
      </c>
      <c r="D30" s="2">
        <v>4922553</v>
      </c>
    </row>
    <row r="31" spans="1:4">
      <c r="B31" s="2" t="s">
        <v>81</v>
      </c>
      <c r="C31" s="113">
        <v>263159</v>
      </c>
      <c r="D31" s="2">
        <v>263159</v>
      </c>
    </row>
    <row r="32" spans="1:4">
      <c r="B32" s="2" t="s">
        <v>82</v>
      </c>
      <c r="C32" s="113">
        <v>0</v>
      </c>
      <c r="D32" s="2">
        <v>601448</v>
      </c>
    </row>
    <row r="33" spans="1:4">
      <c r="A33" s="2" t="s">
        <v>83</v>
      </c>
      <c r="C33" s="113">
        <v>46368142</v>
      </c>
      <c r="D33" s="2">
        <v>46969590</v>
      </c>
    </row>
    <row r="34" spans="1:4">
      <c r="A34" s="2" t="s">
        <v>84</v>
      </c>
    </row>
    <row r="35" spans="1:4">
      <c r="B35" s="1" t="s">
        <v>192</v>
      </c>
      <c r="C35" s="113">
        <v>2553731</v>
      </c>
      <c r="D35" s="2">
        <v>1205374</v>
      </c>
    </row>
    <row r="36" spans="1:4">
      <c r="A36" s="2" t="s">
        <v>85</v>
      </c>
      <c r="C36" s="113">
        <v>2553731</v>
      </c>
      <c r="D36" s="2">
        <v>1205374</v>
      </c>
    </row>
    <row r="37" spans="1:4">
      <c r="A37" s="2" t="s">
        <v>86</v>
      </c>
    </row>
    <row r="38" spans="1:4">
      <c r="B38" s="2" t="s">
        <v>190</v>
      </c>
      <c r="C38" s="113">
        <v>8825960</v>
      </c>
      <c r="D38" s="2">
        <v>8825960</v>
      </c>
    </row>
    <row r="39" spans="1:4">
      <c r="B39" s="2" t="s">
        <v>208</v>
      </c>
      <c r="C39" s="113">
        <v>897030</v>
      </c>
      <c r="D39" s="2">
        <v>897030</v>
      </c>
    </row>
    <row r="40" spans="1:4">
      <c r="B40" s="2" t="s">
        <v>87</v>
      </c>
      <c r="C40" s="113">
        <v>2126486</v>
      </c>
      <c r="D40" s="2">
        <v>2126486</v>
      </c>
    </row>
    <row r="41" spans="1:4">
      <c r="B41" s="2" t="s">
        <v>88</v>
      </c>
      <c r="C41" s="113">
        <v>13367174</v>
      </c>
      <c r="D41" s="2">
        <v>13370229</v>
      </c>
    </row>
    <row r="42" spans="1:4">
      <c r="A42" s="2" t="s">
        <v>89</v>
      </c>
      <c r="C42" s="113">
        <v>25216650</v>
      </c>
      <c r="D42" s="2">
        <v>25219705</v>
      </c>
    </row>
    <row r="43" spans="1:4">
      <c r="A43" s="2" t="s">
        <v>90</v>
      </c>
      <c r="C43" s="113">
        <v>74138523</v>
      </c>
      <c r="D43" s="2">
        <v>73394669</v>
      </c>
    </row>
    <row r="44" spans="1:4">
      <c r="A44" s="2" t="s">
        <v>91</v>
      </c>
    </row>
    <row r="45" spans="1:4">
      <c r="A45" s="2" t="s">
        <v>92</v>
      </c>
      <c r="C45" s="113">
        <v>0</v>
      </c>
      <c r="D45" s="2">
        <v>0</v>
      </c>
    </row>
    <row r="46" spans="1:4">
      <c r="A46" s="2" t="s">
        <v>93</v>
      </c>
    </row>
    <row r="47" spans="1:4">
      <c r="A47" s="2" t="s">
        <v>94</v>
      </c>
      <c r="D47" s="2">
        <v>0</v>
      </c>
    </row>
    <row r="48" spans="1:4" s="114" customFormat="1">
      <c r="A48" s="114" t="s">
        <v>95</v>
      </c>
      <c r="C48" s="458">
        <v>122236568</v>
      </c>
      <c r="D48" s="114">
        <v>122864312</v>
      </c>
    </row>
    <row r="49" spans="1:4">
      <c r="A49" s="2" t="s">
        <v>96</v>
      </c>
    </row>
    <row r="50" spans="1:4">
      <c r="A50" s="2" t="s">
        <v>97</v>
      </c>
    </row>
    <row r="51" spans="1:4">
      <c r="A51" s="2" t="s">
        <v>98</v>
      </c>
    </row>
    <row r="52" spans="1:4">
      <c r="B52" s="2" t="s">
        <v>99</v>
      </c>
      <c r="C52" s="113">
        <v>1861886</v>
      </c>
      <c r="D52" s="2">
        <v>2166409</v>
      </c>
    </row>
    <row r="53" spans="1:4">
      <c r="A53" s="2" t="s">
        <v>100</v>
      </c>
      <c r="C53" s="113">
        <v>1861886</v>
      </c>
      <c r="D53" s="2">
        <v>2166409</v>
      </c>
    </row>
    <row r="54" spans="1:4">
      <c r="A54" s="2" t="s">
        <v>101</v>
      </c>
    </row>
    <row r="55" spans="1:4">
      <c r="B55" s="2" t="s">
        <v>102</v>
      </c>
      <c r="C55" s="113">
        <v>1899214</v>
      </c>
      <c r="D55" s="2">
        <v>1845934</v>
      </c>
    </row>
    <row r="56" spans="1:4">
      <c r="B56" s="2" t="s">
        <v>103</v>
      </c>
      <c r="C56" s="113">
        <v>726789</v>
      </c>
      <c r="D56" s="2">
        <v>717131</v>
      </c>
    </row>
    <row r="57" spans="1:4">
      <c r="B57" s="2" t="s">
        <v>104</v>
      </c>
      <c r="C57" s="113">
        <v>22200</v>
      </c>
      <c r="D57" s="2">
        <v>22200</v>
      </c>
    </row>
    <row r="58" spans="1:4">
      <c r="B58" s="2" t="s">
        <v>105</v>
      </c>
      <c r="C58" s="113">
        <v>544601</v>
      </c>
      <c r="D58" s="2">
        <v>265023</v>
      </c>
    </row>
    <row r="59" spans="1:4">
      <c r="B59" s="2" t="s">
        <v>106</v>
      </c>
      <c r="C59" s="113">
        <v>7540</v>
      </c>
      <c r="D59" s="2">
        <v>31817</v>
      </c>
    </row>
    <row r="60" spans="1:4">
      <c r="B60" s="2" t="s">
        <v>224</v>
      </c>
      <c r="C60" s="113">
        <v>1393800</v>
      </c>
      <c r="D60" s="2">
        <v>1393800</v>
      </c>
    </row>
    <row r="61" spans="1:4">
      <c r="B61" s="2" t="s">
        <v>107</v>
      </c>
      <c r="C61" s="113">
        <v>70000</v>
      </c>
      <c r="D61" s="2">
        <v>70000</v>
      </c>
    </row>
    <row r="62" spans="1:4">
      <c r="B62" s="2" t="s">
        <v>108</v>
      </c>
      <c r="C62" s="113">
        <v>0</v>
      </c>
      <c r="D62" s="2">
        <v>853798</v>
      </c>
    </row>
    <row r="63" spans="1:4">
      <c r="B63" s="2" t="s">
        <v>109</v>
      </c>
      <c r="C63" s="113">
        <v>2820000</v>
      </c>
      <c r="D63" s="2">
        <v>2820000</v>
      </c>
    </row>
    <row r="64" spans="1:4">
      <c r="A64" s="2" t="s">
        <v>110</v>
      </c>
      <c r="C64" s="113">
        <v>7484144</v>
      </c>
      <c r="D64" s="2">
        <v>8019703</v>
      </c>
    </row>
    <row r="65" spans="1:4">
      <c r="A65" s="2" t="s">
        <v>111</v>
      </c>
      <c r="C65" s="113">
        <v>9346030</v>
      </c>
      <c r="D65" s="2">
        <v>10186112</v>
      </c>
    </row>
    <row r="66" spans="1:4">
      <c r="A66" s="2" t="s">
        <v>112</v>
      </c>
    </row>
    <row r="67" spans="1:4">
      <c r="B67" s="2" t="s">
        <v>113</v>
      </c>
      <c r="C67" s="113">
        <v>132405000</v>
      </c>
      <c r="D67" s="2">
        <v>131925000</v>
      </c>
    </row>
    <row r="68" spans="1:4">
      <c r="A68" s="2" t="s">
        <v>114</v>
      </c>
      <c r="C68" s="113">
        <v>132405000</v>
      </c>
      <c r="D68" s="2">
        <v>131925000</v>
      </c>
    </row>
    <row r="69" spans="1:4" s="114" customFormat="1">
      <c r="A69" s="114" t="s">
        <v>115</v>
      </c>
      <c r="C69" s="458">
        <v>141751030</v>
      </c>
      <c r="D69" s="114">
        <v>142111112</v>
      </c>
    </row>
    <row r="70" spans="1:4">
      <c r="A70" s="2" t="s">
        <v>116</v>
      </c>
    </row>
    <row r="71" spans="1:4">
      <c r="A71" s="2" t="s">
        <v>117</v>
      </c>
    </row>
    <row r="72" spans="1:4">
      <c r="A72" s="2" t="s">
        <v>118</v>
      </c>
    </row>
    <row r="73" spans="1:4">
      <c r="B73" s="2" t="s">
        <v>118</v>
      </c>
      <c r="C73" s="113">
        <v>5000000</v>
      </c>
      <c r="D73" s="2">
        <v>5000000</v>
      </c>
    </row>
    <row r="74" spans="1:4">
      <c r="A74" s="2" t="s">
        <v>119</v>
      </c>
      <c r="C74" s="113">
        <v>5000000</v>
      </c>
      <c r="D74" s="2">
        <v>5000000</v>
      </c>
    </row>
    <row r="75" spans="1:4">
      <c r="A75" s="2" t="s">
        <v>120</v>
      </c>
    </row>
    <row r="76" spans="1:4">
      <c r="A76" s="2" t="s">
        <v>121</v>
      </c>
      <c r="C76" s="113">
        <v>0</v>
      </c>
      <c r="D76" s="2">
        <v>0</v>
      </c>
    </row>
    <row r="77" spans="1:4">
      <c r="A77" s="2" t="s">
        <v>122</v>
      </c>
    </row>
    <row r="78" spans="1:4">
      <c r="A78" s="2" t="s">
        <v>123</v>
      </c>
      <c r="C78" s="113">
        <v>0</v>
      </c>
      <c r="D78" s="2">
        <v>0</v>
      </c>
    </row>
    <row r="79" spans="1:4">
      <c r="A79" s="2" t="s">
        <v>124</v>
      </c>
    </row>
    <row r="80" spans="1:4">
      <c r="A80" s="2" t="s">
        <v>125</v>
      </c>
      <c r="C80" s="113">
        <v>-24514462</v>
      </c>
      <c r="D80" s="2">
        <v>-24246800</v>
      </c>
    </row>
    <row r="81" spans="1:15">
      <c r="A81" s="2" t="s">
        <v>126</v>
      </c>
      <c r="C81" s="113">
        <v>0</v>
      </c>
      <c r="D81" s="2">
        <v>267662</v>
      </c>
    </row>
    <row r="82" spans="1:15">
      <c r="A82" s="2" t="s">
        <v>127</v>
      </c>
      <c r="C82" s="113">
        <v>-24514462</v>
      </c>
      <c r="D82" s="2">
        <v>-24246800</v>
      </c>
    </row>
    <row r="83" spans="1:15">
      <c r="A83" s="2" t="s">
        <v>128</v>
      </c>
    </row>
    <row r="84" spans="1:15">
      <c r="A84" s="2" t="s">
        <v>129</v>
      </c>
      <c r="C84" s="113">
        <v>0</v>
      </c>
      <c r="D84" s="2">
        <v>0</v>
      </c>
    </row>
    <row r="85" spans="1:15">
      <c r="A85" s="2" t="s">
        <v>130</v>
      </c>
    </row>
    <row r="86" spans="1:15">
      <c r="A86" s="2" t="s">
        <v>131</v>
      </c>
      <c r="C86" s="113">
        <v>0</v>
      </c>
      <c r="D86" s="2">
        <v>0</v>
      </c>
    </row>
    <row r="87" spans="1:15">
      <c r="A87" s="2" t="s">
        <v>132</v>
      </c>
      <c r="C87" s="113">
        <v>-19514462</v>
      </c>
      <c r="D87" s="2">
        <v>-19246800</v>
      </c>
    </row>
    <row r="88" spans="1:15">
      <c r="A88" s="2" t="s">
        <v>133</v>
      </c>
    </row>
    <row r="89" spans="1:15">
      <c r="A89" s="2" t="s">
        <v>134</v>
      </c>
      <c r="C89" s="113">
        <v>0</v>
      </c>
      <c r="D89" s="2">
        <v>0</v>
      </c>
    </row>
    <row r="90" spans="1:15">
      <c r="A90" s="2" t="s">
        <v>135</v>
      </c>
    </row>
    <row r="91" spans="1:15">
      <c r="A91" s="2" t="s">
        <v>136</v>
      </c>
      <c r="C91" s="113">
        <v>0</v>
      </c>
      <c r="D91" s="2">
        <v>0</v>
      </c>
    </row>
    <row r="92" spans="1:15" s="114" customFormat="1">
      <c r="A92" s="114" t="s">
        <v>137</v>
      </c>
      <c r="C92" s="458">
        <v>-19514462</v>
      </c>
      <c r="D92" s="114">
        <v>-19246800</v>
      </c>
    </row>
    <row r="93" spans="1:15" s="114" customFormat="1">
      <c r="A93" s="114" t="s">
        <v>138</v>
      </c>
      <c r="C93" s="458">
        <v>122236568</v>
      </c>
      <c r="D93" s="114">
        <v>122864312</v>
      </c>
    </row>
    <row r="94" spans="1:15" s="453" customFormat="1">
      <c r="B94" s="459" t="s">
        <v>210</v>
      </c>
      <c r="C94" s="460" t="str">
        <f>IF(C93&lt;&gt;0,+IF(C48=C93,"OK",C48-C93),"")</f>
        <v>OK</v>
      </c>
      <c r="D94" s="459" t="str">
        <f t="shared" ref="D94:O94" si="0">IF(D93&lt;&gt;0,+IF(D48=D93,"OK",D48-D93),"")</f>
        <v>OK</v>
      </c>
      <c r="E94" s="459" t="str">
        <f t="shared" si="0"/>
        <v/>
      </c>
      <c r="F94" s="459" t="str">
        <f t="shared" si="0"/>
        <v/>
      </c>
      <c r="G94" s="459" t="str">
        <f t="shared" si="0"/>
        <v/>
      </c>
      <c r="H94" s="459" t="str">
        <f t="shared" si="0"/>
        <v/>
      </c>
      <c r="I94" s="459" t="str">
        <f t="shared" si="0"/>
        <v/>
      </c>
      <c r="J94" s="459" t="str">
        <f t="shared" si="0"/>
        <v/>
      </c>
      <c r="K94" s="459" t="str">
        <f t="shared" si="0"/>
        <v/>
      </c>
      <c r="L94" s="459" t="str">
        <f t="shared" si="0"/>
        <v/>
      </c>
      <c r="M94" s="459" t="str">
        <f t="shared" si="0"/>
        <v/>
      </c>
      <c r="N94" s="459" t="str">
        <f t="shared" si="0"/>
        <v/>
      </c>
      <c r="O94" s="459" t="str">
        <f t="shared" si="0"/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M63" sqref="M63"/>
    </sheetView>
  </sheetViews>
  <sheetFormatPr defaultRowHeight="17.649999999999999"/>
  <cols>
    <col min="1" max="2" width="14.625" customWidth="1"/>
    <col min="3" max="3" width="10.625" style="131" customWidth="1"/>
    <col min="4" max="12" width="10.625" style="18" customWidth="1"/>
    <col min="13" max="15" width="10.625" customWidth="1"/>
  </cols>
  <sheetData>
    <row r="1" spans="1:45" s="138" customFormat="1" ht="18" thickBot="1">
      <c r="B1" s="138" t="s">
        <v>0</v>
      </c>
      <c r="C1" s="139" t="s">
        <v>159</v>
      </c>
      <c r="D1" s="140" t="s">
        <v>1</v>
      </c>
      <c r="E1" s="140" t="s">
        <v>2</v>
      </c>
      <c r="F1" s="140" t="str">
        <f>+月次BS!F1</f>
        <v>9月</v>
      </c>
      <c r="G1" s="140" t="str">
        <f>+月次BS!G1</f>
        <v>10月</v>
      </c>
      <c r="H1" s="140" t="str">
        <f>+月次BS!H1</f>
        <v>11月</v>
      </c>
      <c r="I1" s="140" t="str">
        <f>+月次BS!I1</f>
        <v>12月</v>
      </c>
      <c r="J1" s="140" t="str">
        <f>+月次BS!J1</f>
        <v>1月</v>
      </c>
      <c r="K1" s="140" t="str">
        <f>+月次BS!K1</f>
        <v>2月</v>
      </c>
      <c r="L1" s="140">
        <f>+月次BS!L1</f>
        <v>3</v>
      </c>
      <c r="M1" s="140">
        <f>+月次BS!M1</f>
        <v>4</v>
      </c>
      <c r="N1" s="140" t="str">
        <f>+月次BS!N1</f>
        <v>5月</v>
      </c>
      <c r="O1" s="140" t="str">
        <f>+月次BS!O1</f>
        <v>6月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7">
        <f>+月次BS!C5/1000</f>
        <v>2866.9</v>
      </c>
      <c r="D5" s="18">
        <f>+月次BS!D5/1000</f>
        <v>1880.6</v>
      </c>
      <c r="E5" s="18">
        <f>+月次BS!E5/1000</f>
        <v>0</v>
      </c>
      <c r="F5" s="18">
        <f>+月次BS!F5/1000</f>
        <v>0</v>
      </c>
      <c r="G5" s="18">
        <f>+月次BS!G5/1000</f>
        <v>0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7">
        <f>+月次BS!C6/1000</f>
        <v>31678.388999999999</v>
      </c>
      <c r="D6" s="18">
        <f>+月次BS!D6/1000</f>
        <v>33834.099000000002</v>
      </c>
      <c r="E6" s="18">
        <f>+月次BS!E6/1000</f>
        <v>0</v>
      </c>
      <c r="F6" s="18">
        <f>+月次BS!F6/1000</f>
        <v>0</v>
      </c>
      <c r="G6" s="18">
        <f>+月次BS!G6/1000</f>
        <v>0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>
      <c r="A7">
        <f>+月次BS!A7</f>
        <v>0</v>
      </c>
      <c r="B7" s="19" t="str">
        <f>+月次BS!B7</f>
        <v>小口現金</v>
      </c>
      <c r="C7" s="127">
        <f>+月次BS!C7/1000</f>
        <v>356.37599999999998</v>
      </c>
      <c r="D7" s="18">
        <f>+月次BS!D7/1000</f>
        <v>340.87900000000002</v>
      </c>
      <c r="E7" s="18">
        <f>+月次BS!E7/1000</f>
        <v>0</v>
      </c>
      <c r="F7" s="18">
        <f>+月次BS!F7/1000</f>
        <v>0</v>
      </c>
      <c r="G7" s="18">
        <f>+月次BS!G7/1000</f>
        <v>0</v>
      </c>
      <c r="H7" s="18">
        <f>+月次BS!H7/1000</f>
        <v>0</v>
      </c>
      <c r="I7" s="18">
        <f>+月次BS!I7/1000</f>
        <v>0</v>
      </c>
      <c r="J7" s="18">
        <f>+月次BS!J7/1000</f>
        <v>0</v>
      </c>
      <c r="K7" s="18">
        <f>+月次BS!K7/1000</f>
        <v>0</v>
      </c>
      <c r="L7" s="18">
        <f>+月次BS!L7/1000</f>
        <v>0</v>
      </c>
      <c r="M7" s="18">
        <f>+月次BS!M7/1000</f>
        <v>0</v>
      </c>
      <c r="N7" s="18">
        <f>+月次BS!N7/1000</f>
        <v>0</v>
      </c>
      <c r="O7" s="18">
        <f>+月次BS!O7/1000</f>
        <v>0</v>
      </c>
    </row>
    <row r="8" spans="1:45" s="21" customFormat="1">
      <c r="A8" s="21" t="str">
        <f>+月次BS!A8</f>
        <v>現金及び預金合計</v>
      </c>
      <c r="B8" s="132">
        <f>+月次BS!B8</f>
        <v>0</v>
      </c>
      <c r="C8" s="128">
        <f>+月次BS!C8/1000</f>
        <v>34901.665000000001</v>
      </c>
      <c r="D8" s="22">
        <f>+月次BS!D8/1000</f>
        <v>36055.578000000001</v>
      </c>
      <c r="E8" s="22">
        <f>+月次BS!E8/1000</f>
        <v>0</v>
      </c>
      <c r="F8" s="22">
        <f>+月次BS!F8/1000</f>
        <v>0</v>
      </c>
      <c r="G8" s="22">
        <f>+月次BS!G8/1000</f>
        <v>0</v>
      </c>
      <c r="H8" s="22">
        <f>+月次BS!H8/1000</f>
        <v>0</v>
      </c>
      <c r="I8" s="22">
        <f>+月次BS!I8/1000</f>
        <v>0</v>
      </c>
      <c r="J8" s="22">
        <f>+月次BS!J8/1000</f>
        <v>0</v>
      </c>
      <c r="K8" s="22">
        <f>+月次BS!K8/1000</f>
        <v>0</v>
      </c>
      <c r="L8" s="22">
        <f>+月次BS!L8/1000</f>
        <v>0</v>
      </c>
      <c r="M8" s="22">
        <f>+月次BS!M8/1000</f>
        <v>0</v>
      </c>
      <c r="N8" s="22">
        <f>+月次BS!N8/1000</f>
        <v>0</v>
      </c>
      <c r="O8" s="22">
        <f>+月次BS!O8/1000</f>
        <v>0</v>
      </c>
    </row>
    <row r="9" spans="1:45">
      <c r="A9" t="str">
        <f>+月次BS!A9</f>
        <v>売上債権</v>
      </c>
      <c r="B9" s="19">
        <f>+月次BS!B9</f>
        <v>0</v>
      </c>
      <c r="C9" s="127">
        <f>+月次BS!C9/1000</f>
        <v>0</v>
      </c>
      <c r="D9" s="18">
        <f>+月次BS!D9/1000</f>
        <v>0</v>
      </c>
      <c r="E9" s="18">
        <f>+月次BS!E9/1000</f>
        <v>0</v>
      </c>
      <c r="F9" s="18">
        <f>+月次BS!F9/1000</f>
        <v>0</v>
      </c>
      <c r="G9" s="18">
        <f>+月次BS!G9/1000</f>
        <v>0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</row>
    <row r="10" spans="1:45" s="20" customFormat="1">
      <c r="A10">
        <f>+月次BS!A10</f>
        <v>0</v>
      </c>
      <c r="B10" s="19" t="str">
        <f>+月次BS!B10</f>
        <v>売掛金</v>
      </c>
      <c r="C10" s="127">
        <f>+月次BS!C10/1000</f>
        <v>9122.84</v>
      </c>
      <c r="D10" s="18">
        <f>+月次BS!D10/1000</f>
        <v>8860.8459999999995</v>
      </c>
      <c r="E10" s="18">
        <f>+月次BS!E10/1000</f>
        <v>0</v>
      </c>
      <c r="F10" s="18">
        <f>+月次BS!F10/1000</f>
        <v>0</v>
      </c>
      <c r="G10" s="18">
        <f>+月次BS!G10/1000</f>
        <v>0</v>
      </c>
      <c r="H10" s="18">
        <f>+月次BS!H10/1000</f>
        <v>0</v>
      </c>
      <c r="I10" s="18">
        <f>+月次BS!I10/1000</f>
        <v>0</v>
      </c>
      <c r="J10" s="18">
        <f>+月次BS!J10/1000</f>
        <v>0</v>
      </c>
      <c r="K10" s="18">
        <f>+月次BS!K10/1000</f>
        <v>0</v>
      </c>
      <c r="L10" s="18">
        <f>+月次BS!L10/1000</f>
        <v>0</v>
      </c>
      <c r="M10" s="18">
        <f>+月次BS!M10/1000</f>
        <v>0</v>
      </c>
      <c r="N10" s="18">
        <f>+月次BS!N10/1000</f>
        <v>0</v>
      </c>
      <c r="O10" s="18">
        <f>+月次BS!O10/1000</f>
        <v>0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23" customFormat="1">
      <c r="A11" s="21" t="str">
        <f>+月次BS!A11</f>
        <v>売上債権合計</v>
      </c>
      <c r="B11" s="132">
        <f>+月次BS!B11</f>
        <v>0</v>
      </c>
      <c r="C11" s="128">
        <f>+月次BS!C11/1000</f>
        <v>9122.84</v>
      </c>
      <c r="D11" s="22">
        <f>+月次BS!D11/1000</f>
        <v>8860.8459999999995</v>
      </c>
      <c r="E11" s="22">
        <f>+月次BS!E11/1000</f>
        <v>0</v>
      </c>
      <c r="F11" s="22">
        <f>+月次BS!F11/1000</f>
        <v>0</v>
      </c>
      <c r="G11" s="22">
        <f>+月次BS!G11/1000</f>
        <v>0</v>
      </c>
      <c r="H11" s="22">
        <f>+月次BS!H11/1000</f>
        <v>0</v>
      </c>
      <c r="I11" s="22">
        <f>+月次BS!I11/1000</f>
        <v>0</v>
      </c>
      <c r="J11" s="22">
        <f>+月次BS!J11/1000</f>
        <v>0</v>
      </c>
      <c r="K11" s="22">
        <f>+月次BS!K11/1000</f>
        <v>0</v>
      </c>
      <c r="L11" s="22">
        <f>+月次BS!L11/1000</f>
        <v>0</v>
      </c>
      <c r="M11" s="22">
        <f>+月次BS!M11/1000</f>
        <v>0</v>
      </c>
      <c r="N11" s="22">
        <f>+月次BS!N11/1000</f>
        <v>0</v>
      </c>
      <c r="O11" s="22">
        <f>+月次BS!O11/1000</f>
        <v>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>
      <c r="A12" t="str">
        <f>+月次BS!A12</f>
        <v>有価証券</v>
      </c>
      <c r="B12" s="19">
        <f>+月次BS!B12</f>
        <v>0</v>
      </c>
      <c r="C12" s="127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有価証券合計</v>
      </c>
      <c r="B13" s="19">
        <f>+月次BS!B13</f>
        <v>0</v>
      </c>
      <c r="C13" s="127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>
      <c r="A14" t="str">
        <f>+月次BS!A14</f>
        <v>棚卸資産</v>
      </c>
      <c r="B14" s="19">
        <f>+月次BS!B14</f>
        <v>0</v>
      </c>
      <c r="C14" s="127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</row>
    <row r="15" spans="1:45" s="20" customFormat="1">
      <c r="A15">
        <f>+月次BS!A15</f>
        <v>0</v>
      </c>
      <c r="B15" s="19" t="str">
        <f>+月次BS!B15</f>
        <v>商品</v>
      </c>
      <c r="C15" s="127">
        <f>+月次BS!C15/1000</f>
        <v>1354.2570000000001</v>
      </c>
      <c r="D15" s="18">
        <f>+月次BS!D15/1000</f>
        <v>1354.396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133" customFormat="1">
      <c r="A16">
        <f>+月次BS!A16</f>
        <v>0</v>
      </c>
      <c r="B16" s="19" t="str">
        <f>+月次BS!B16</f>
        <v>貯蔵品</v>
      </c>
      <c r="C16" s="127">
        <f>+月次BS!C16/1000</f>
        <v>99.474000000000004</v>
      </c>
      <c r="D16" s="18">
        <f>+月次BS!D16/1000</f>
        <v>99.474000000000004</v>
      </c>
      <c r="E16" s="18">
        <f>+月次BS!E16/1000</f>
        <v>0</v>
      </c>
      <c r="F16" s="18">
        <f>+月次BS!F16/1000</f>
        <v>0</v>
      </c>
      <c r="G16" s="18">
        <f>+月次BS!G16/1000</f>
        <v>0</v>
      </c>
      <c r="H16" s="18">
        <f>+月次BS!H16/1000</f>
        <v>0</v>
      </c>
      <c r="I16" s="18">
        <f>+月次BS!I16/1000</f>
        <v>0</v>
      </c>
      <c r="J16" s="18">
        <f>+月次BS!J16/1000</f>
        <v>0</v>
      </c>
      <c r="K16" s="18">
        <f>+月次BS!K16/1000</f>
        <v>0</v>
      </c>
      <c r="L16" s="18">
        <f>+月次BS!L16/1000</f>
        <v>0</v>
      </c>
      <c r="M16" s="18">
        <f>+月次BS!M16/1000</f>
        <v>0</v>
      </c>
      <c r="N16" s="18">
        <f>+月次BS!N16/1000</f>
        <v>0</v>
      </c>
      <c r="O16" s="18">
        <f>+月次BS!O16/1000</f>
        <v>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21" customFormat="1">
      <c r="A17" s="21" t="str">
        <f>+月次BS!A17</f>
        <v>棚卸資産合計</v>
      </c>
      <c r="B17" s="132">
        <f>+月次BS!B17</f>
        <v>0</v>
      </c>
      <c r="C17" s="128">
        <f>+月次BS!C17/1000</f>
        <v>1453.731</v>
      </c>
      <c r="D17" s="22">
        <f>+月次BS!D17/1000</f>
        <v>1453.87</v>
      </c>
      <c r="E17" s="22">
        <f>+月次BS!E17/1000</f>
        <v>0</v>
      </c>
      <c r="F17" s="22">
        <f>+月次BS!F17/1000</f>
        <v>0</v>
      </c>
      <c r="G17" s="22">
        <f>+月次BS!G17/1000</f>
        <v>0</v>
      </c>
      <c r="H17" s="22">
        <f>+月次BS!H17/1000</f>
        <v>0</v>
      </c>
      <c r="I17" s="22">
        <f>+月次BS!I17/1000</f>
        <v>0</v>
      </c>
      <c r="J17" s="22">
        <f>+月次BS!J17/1000</f>
        <v>0</v>
      </c>
      <c r="K17" s="22">
        <f>+月次BS!K17/1000</f>
        <v>0</v>
      </c>
      <c r="L17" s="22">
        <f>+月次BS!L17/1000</f>
        <v>0</v>
      </c>
      <c r="M17" s="22">
        <f>+月次BS!M17/1000</f>
        <v>0</v>
      </c>
      <c r="N17" s="22">
        <f>+月次BS!N17/1000</f>
        <v>0</v>
      </c>
      <c r="O17" s="22">
        <f>+月次BS!O17/1000</f>
        <v>0</v>
      </c>
    </row>
    <row r="18" spans="1:45">
      <c r="A18" t="str">
        <f>+月次BS!A18</f>
        <v>その他流動資産</v>
      </c>
      <c r="B18" s="19">
        <f>+月次BS!B18</f>
        <v>0</v>
      </c>
      <c r="C18" s="127">
        <f>+月次BS!C18/1000</f>
        <v>0</v>
      </c>
      <c r="D18" s="18">
        <f>+月次BS!D18/1000</f>
        <v>0</v>
      </c>
      <c r="E18" s="18">
        <f>+月次BS!E18/1000</f>
        <v>0</v>
      </c>
      <c r="F18" s="18">
        <f>+月次BS!F18/1000</f>
        <v>0</v>
      </c>
      <c r="G18" s="18">
        <f>+月次BS!G18/1000</f>
        <v>0</v>
      </c>
      <c r="H18" s="18">
        <f>+月次BS!H18/1000</f>
        <v>0</v>
      </c>
      <c r="I18" s="18">
        <f>+月次BS!I18/1000</f>
        <v>0</v>
      </c>
      <c r="J18" s="18">
        <f>+月次BS!J18/1000</f>
        <v>0</v>
      </c>
      <c r="K18" s="18">
        <f>+月次BS!K18/1000</f>
        <v>0</v>
      </c>
      <c r="L18" s="18">
        <f>+月次BS!L18/1000</f>
        <v>0</v>
      </c>
      <c r="M18" s="18">
        <f>+月次BS!M18/1000</f>
        <v>0</v>
      </c>
      <c r="N18" s="18">
        <f>+月次BS!N18/1000</f>
        <v>0</v>
      </c>
      <c r="O18" s="18">
        <f>+月次BS!O18/1000</f>
        <v>0</v>
      </c>
    </row>
    <row r="19" spans="1:45">
      <c r="A19">
        <f>+月次BS!A19</f>
        <v>0</v>
      </c>
      <c r="B19" s="19" t="str">
        <f>+月次BS!B19</f>
        <v>前払費用</v>
      </c>
      <c r="C19" s="127">
        <f>+月次BS!C19/1000</f>
        <v>1742.739</v>
      </c>
      <c r="D19" s="18">
        <f>+月次BS!D19/1000</f>
        <v>1742.739</v>
      </c>
      <c r="E19" s="18">
        <f>+月次BS!E19/1000</f>
        <v>0</v>
      </c>
      <c r="F19" s="18">
        <f>+月次BS!F19/1000</f>
        <v>0</v>
      </c>
      <c r="G19" s="18">
        <f>+月次BS!G19/1000</f>
        <v>0</v>
      </c>
      <c r="H19" s="18">
        <f>+月次BS!H19/1000</f>
        <v>0</v>
      </c>
      <c r="I19" s="18">
        <f>+月次BS!I19/1000</f>
        <v>0</v>
      </c>
      <c r="J19" s="18">
        <f>+月次BS!J19/1000</f>
        <v>0</v>
      </c>
      <c r="K19" s="18">
        <f>+月次BS!K19/1000</f>
        <v>0</v>
      </c>
      <c r="L19" s="18">
        <f>+月次BS!L19/1000</f>
        <v>0</v>
      </c>
      <c r="M19" s="18">
        <f>+月次BS!M19/1000</f>
        <v>0</v>
      </c>
      <c r="N19" s="18">
        <f>+月次BS!N19/1000</f>
        <v>0</v>
      </c>
      <c r="O19" s="18">
        <f>+月次BS!O19/1000</f>
        <v>0</v>
      </c>
    </row>
    <row r="20" spans="1:45">
      <c r="A20">
        <f>+月次BS!A20</f>
        <v>0</v>
      </c>
      <c r="B20" s="19" t="str">
        <f>+月次BS!B20</f>
        <v>立替金</v>
      </c>
      <c r="C20" s="127">
        <f>+月次BS!C20/1000</f>
        <v>877.07</v>
      </c>
      <c r="D20" s="18">
        <f>+月次BS!D20/1000</f>
        <v>874.84299999999996</v>
      </c>
      <c r="E20" s="18">
        <f>+月次BS!E20/1000</f>
        <v>0</v>
      </c>
      <c r="F20" s="18">
        <f>+月次BS!F20/1000</f>
        <v>0</v>
      </c>
      <c r="G20" s="18">
        <f>+月次BS!G20/1000</f>
        <v>0</v>
      </c>
      <c r="H20" s="18">
        <f>+月次BS!H20/1000</f>
        <v>0</v>
      </c>
      <c r="I20" s="18">
        <f>+月次BS!I20/1000</f>
        <v>0</v>
      </c>
      <c r="J20" s="18">
        <f>+月次BS!J20/1000</f>
        <v>0</v>
      </c>
      <c r="K20" s="18">
        <f>+月次BS!K20/1000</f>
        <v>0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>
      <c r="A21">
        <f>+月次BS!A21</f>
        <v>0</v>
      </c>
      <c r="B21" s="19" t="str">
        <f>+月次BS!B21</f>
        <v>未収入金</v>
      </c>
      <c r="C21" s="127">
        <f>+月次BS!C21/1000</f>
        <v>0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</row>
    <row r="22" spans="1:45" s="21" customFormat="1">
      <c r="A22">
        <f>+月次BS!A22</f>
        <v>0</v>
      </c>
      <c r="B22" s="19" t="str">
        <f>+月次BS!B22</f>
        <v>仮払金</v>
      </c>
      <c r="C22" s="127">
        <f>+月次BS!C22/1000</f>
        <v>0</v>
      </c>
      <c r="D22" s="18">
        <f>+月次BS!D22/1000</f>
        <v>3.9460000000000002</v>
      </c>
      <c r="E22" s="18">
        <f>+月次BS!E22/1000</f>
        <v>0</v>
      </c>
      <c r="F22" s="18">
        <f>+月次BS!F22/1000</f>
        <v>0</v>
      </c>
      <c r="G22" s="18">
        <f>+月次BS!G22/1000</f>
        <v>0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0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>
      <c r="A23">
        <f>+月次BS!A23</f>
        <v>0</v>
      </c>
      <c r="B23" s="19" t="str">
        <f>+月次BS!B23</f>
        <v>仮払消費税</v>
      </c>
      <c r="C23" s="127">
        <f>+月次BS!C23/1000</f>
        <v>0</v>
      </c>
      <c r="D23" s="18">
        <f>+月次BS!D23/1000</f>
        <v>477.82100000000003</v>
      </c>
      <c r="E23" s="18">
        <f>+月次BS!E23/1000</f>
        <v>0</v>
      </c>
      <c r="F23" s="18">
        <f>+月次BS!F23/1000</f>
        <v>0</v>
      </c>
      <c r="G23" s="18">
        <f>+月次BS!G23/1000</f>
        <v>0</v>
      </c>
      <c r="H23" s="18">
        <f>+月次BS!H23/1000</f>
        <v>0</v>
      </c>
      <c r="I23" s="18">
        <f>+月次BS!I23/1000</f>
        <v>0</v>
      </c>
      <c r="J23" s="18">
        <f>+月次BS!J23/1000</f>
        <v>0</v>
      </c>
      <c r="K23" s="18">
        <f>+月次BS!K23/1000</f>
        <v>0</v>
      </c>
      <c r="L23" s="18">
        <f>+月次BS!L23/1000</f>
        <v>0</v>
      </c>
      <c r="M23" s="18">
        <f>+月次BS!M23/1000</f>
        <v>0</v>
      </c>
      <c r="N23" s="18">
        <f>+月次BS!N23/1000</f>
        <v>0</v>
      </c>
      <c r="O23" s="18">
        <f>+月次BS!O23/1000</f>
        <v>0</v>
      </c>
    </row>
    <row r="24" spans="1:45" s="21" customFormat="1">
      <c r="A24" s="21" t="str">
        <f>+月次BS!A24</f>
        <v>その他流動資産合計</v>
      </c>
      <c r="B24" s="132">
        <f>+月次BS!B24</f>
        <v>0</v>
      </c>
      <c r="C24" s="128">
        <f>+月次BS!C24/1000</f>
        <v>2619.8090000000002</v>
      </c>
      <c r="D24" s="22">
        <f>+月次BS!D24/1000</f>
        <v>3099.3490000000002</v>
      </c>
      <c r="E24" s="22">
        <f>+月次BS!E24/1000</f>
        <v>0</v>
      </c>
      <c r="F24" s="22">
        <f>+月次BS!F24/1000</f>
        <v>0</v>
      </c>
      <c r="G24" s="22">
        <f>+月次BS!G24/1000</f>
        <v>0</v>
      </c>
      <c r="H24" s="22">
        <f>+月次BS!H24/1000</f>
        <v>0</v>
      </c>
      <c r="I24" s="22">
        <f>+月次BS!I24/1000</f>
        <v>0</v>
      </c>
      <c r="J24" s="22">
        <f>+月次BS!J24/1000</f>
        <v>0</v>
      </c>
      <c r="K24" s="22">
        <f>+月次BS!K24/1000</f>
        <v>0</v>
      </c>
      <c r="L24" s="22">
        <f>+月次BS!L24/1000</f>
        <v>0</v>
      </c>
      <c r="M24" s="22">
        <f>+月次BS!M24/1000</f>
        <v>0</v>
      </c>
      <c r="N24" s="22">
        <f>+月次BS!N24/1000</f>
        <v>0</v>
      </c>
      <c r="O24" s="22">
        <f>+月次BS!O24/1000</f>
        <v>0</v>
      </c>
    </row>
    <row r="25" spans="1:45" s="134" customFormat="1">
      <c r="A25" s="134" t="str">
        <f>+月次BS!A25</f>
        <v>流動資産合計</v>
      </c>
      <c r="B25" s="135">
        <f>+月次BS!B25</f>
        <v>0</v>
      </c>
      <c r="C25" s="136">
        <f>+月次BS!C25/1000</f>
        <v>48098.044999999998</v>
      </c>
      <c r="D25" s="137">
        <f>+月次BS!D25/1000</f>
        <v>49469.642999999996</v>
      </c>
      <c r="E25" s="137">
        <f>+月次BS!E25/1000</f>
        <v>0</v>
      </c>
      <c r="F25" s="137">
        <f>+月次BS!F25/1000</f>
        <v>0</v>
      </c>
      <c r="G25" s="137">
        <f>+月次BS!G25/1000</f>
        <v>0</v>
      </c>
      <c r="H25" s="137">
        <f>+月次BS!H25/1000</f>
        <v>0</v>
      </c>
      <c r="I25" s="137">
        <f>+月次BS!I25/1000</f>
        <v>0</v>
      </c>
      <c r="J25" s="137">
        <f>+月次BS!J25/1000</f>
        <v>0</v>
      </c>
      <c r="K25" s="137">
        <f>+月次BS!K25/1000</f>
        <v>0</v>
      </c>
      <c r="L25" s="137">
        <f>+月次BS!L25/1000</f>
        <v>0</v>
      </c>
      <c r="M25" s="137">
        <f>+月次BS!M25/1000</f>
        <v>0</v>
      </c>
      <c r="N25" s="137">
        <f>+月次BS!N25/1000</f>
        <v>0</v>
      </c>
      <c r="O25" s="137">
        <f>+月次BS!O25/1000</f>
        <v>0</v>
      </c>
    </row>
    <row r="26" spans="1:45" s="20" customFormat="1">
      <c r="A26" t="str">
        <f>+月次BS!A26</f>
        <v>固定資産</v>
      </c>
      <c r="B26" s="19">
        <f>+月次BS!B26</f>
        <v>0</v>
      </c>
      <c r="C26" s="127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 t="str">
        <f>+月次BS!A27</f>
        <v>有形固定資産</v>
      </c>
      <c r="B27" s="19">
        <f>+月次BS!B27</f>
        <v>0</v>
      </c>
      <c r="C27" s="127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建物</v>
      </c>
      <c r="C28" s="127">
        <f>+月次BS!C28/1000</f>
        <v>14805.643</v>
      </c>
      <c r="D28" s="18">
        <f>+月次BS!D28/1000</f>
        <v>14805.643</v>
      </c>
      <c r="E28" s="18">
        <f>+月次BS!E28/1000</f>
        <v>0</v>
      </c>
      <c r="F28" s="18">
        <f>+月次BS!F28/1000</f>
        <v>0</v>
      </c>
      <c r="G28" s="18">
        <f>+月次BS!G28/1000</f>
        <v>0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附属設備</v>
      </c>
      <c r="C29" s="127">
        <f>+月次BS!C29/1000</f>
        <v>26376.787</v>
      </c>
      <c r="D29" s="18">
        <f>+月次BS!D29/1000</f>
        <v>26376.787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工具器具備品</v>
      </c>
      <c r="C30" s="127">
        <f>+月次BS!C30/1000</f>
        <v>4922.5529999999999</v>
      </c>
      <c r="D30" s="18">
        <f>+月次BS!D30/1000</f>
        <v>4922.5529999999999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20" customFormat="1">
      <c r="A31">
        <f>+月次BS!A31</f>
        <v>0</v>
      </c>
      <c r="B31" s="19" t="str">
        <f>+月次BS!B31</f>
        <v>一括償却資産</v>
      </c>
      <c r="C31" s="127">
        <f>+月次BS!C31/1000</f>
        <v>263.15899999999999</v>
      </c>
      <c r="D31" s="18">
        <f>+月次BS!D31/1000</f>
        <v>263.15899999999999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133" customFormat="1">
      <c r="A32">
        <f>+月次BS!A32</f>
        <v>0</v>
      </c>
      <c r="B32" s="19" t="str">
        <f>+月次BS!B32</f>
        <v>減価償却累計額</v>
      </c>
      <c r="C32" s="127">
        <f>+月次BS!C32/1000</f>
        <v>0</v>
      </c>
      <c r="D32" s="18">
        <f>+月次BS!D32/1000</f>
        <v>601.44799999999998</v>
      </c>
      <c r="E32" s="18">
        <f>+月次BS!E32/1000</f>
        <v>0</v>
      </c>
      <c r="F32" s="18">
        <f>+月次BS!F32/1000</f>
        <v>0</v>
      </c>
      <c r="G32" s="18">
        <f>+月次BS!G32/1000</f>
        <v>0</v>
      </c>
      <c r="H32" s="18">
        <f>+月次BS!H32/1000</f>
        <v>0</v>
      </c>
      <c r="I32" s="18">
        <f>+月次BS!I32/1000</f>
        <v>0</v>
      </c>
      <c r="J32" s="18">
        <f>+月次BS!J32/1000</f>
        <v>0</v>
      </c>
      <c r="K32" s="18">
        <f>+月次BS!K32/1000</f>
        <v>0</v>
      </c>
      <c r="L32" s="18">
        <f>+月次BS!L32/1000</f>
        <v>0</v>
      </c>
      <c r="M32" s="18">
        <f>+月次BS!M32/1000</f>
        <v>0</v>
      </c>
      <c r="N32" s="18">
        <f>+月次BS!N32/1000</f>
        <v>0</v>
      </c>
      <c r="O32" s="18">
        <f>+月次BS!O32/1000</f>
        <v>0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21" customFormat="1">
      <c r="A33" s="21" t="str">
        <f>+月次BS!A33</f>
        <v>有形固定資産合計</v>
      </c>
      <c r="B33" s="132">
        <f>+月次BS!B33</f>
        <v>0</v>
      </c>
      <c r="C33" s="128">
        <f>+月次BS!C33/1000</f>
        <v>46368.142</v>
      </c>
      <c r="D33" s="22">
        <f>+月次BS!D33/1000</f>
        <v>46969.59</v>
      </c>
      <c r="E33" s="22">
        <f>+月次BS!E33/1000</f>
        <v>0</v>
      </c>
      <c r="F33" s="22">
        <f>+月次BS!F33/1000</f>
        <v>0</v>
      </c>
      <c r="G33" s="22">
        <f>+月次BS!G33/1000</f>
        <v>0</v>
      </c>
      <c r="H33" s="22">
        <f>+月次BS!H33/1000</f>
        <v>0</v>
      </c>
      <c r="I33" s="22">
        <f>+月次BS!I33/1000</f>
        <v>0</v>
      </c>
      <c r="J33" s="22">
        <f>+月次BS!J33/1000</f>
        <v>0</v>
      </c>
      <c r="K33" s="22">
        <f>+月次BS!K33/1000</f>
        <v>0</v>
      </c>
      <c r="L33" s="22">
        <f>+月次BS!L33/1000</f>
        <v>0</v>
      </c>
      <c r="M33" s="22">
        <f>+月次BS!M33/1000</f>
        <v>0</v>
      </c>
      <c r="N33" s="22">
        <f>+月次BS!N33/1000</f>
        <v>0</v>
      </c>
      <c r="O33" s="22">
        <f>+月次BS!O33/1000</f>
        <v>0</v>
      </c>
    </row>
    <row r="34" spans="1:45" s="20" customFormat="1">
      <c r="A34" t="str">
        <f>+月次BS!A34</f>
        <v>無形固定資産</v>
      </c>
      <c r="B34" s="19">
        <f>+月次BS!B34</f>
        <v>0</v>
      </c>
      <c r="C34" s="127">
        <f>+月次BS!C34/1000</f>
        <v>0</v>
      </c>
      <c r="D34" s="18">
        <f>+月次BS!D34/1000</f>
        <v>0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>
      <c r="A35">
        <f>+月次BS!A35</f>
        <v>0</v>
      </c>
      <c r="B35" s="19" t="str">
        <f>+月次BS!B35</f>
        <v>ソフトウェア</v>
      </c>
      <c r="C35" s="127">
        <f>+月次BS!C35/1000</f>
        <v>2553.7310000000002</v>
      </c>
      <c r="D35" s="18">
        <f>+月次BS!D35/1000</f>
        <v>1205.374</v>
      </c>
      <c r="E35" s="18">
        <f>+月次BS!E35/1000</f>
        <v>0</v>
      </c>
      <c r="F35" s="18">
        <f>+月次BS!F35/1000</f>
        <v>0</v>
      </c>
      <c r="G35" s="18">
        <f>+月次BS!G35/1000</f>
        <v>0</v>
      </c>
      <c r="H35" s="18">
        <f>+月次BS!H35/1000</f>
        <v>0</v>
      </c>
      <c r="I35" s="18">
        <f>+月次BS!I35/1000</f>
        <v>0</v>
      </c>
      <c r="J35" s="18">
        <f>+月次BS!J35/1000</f>
        <v>0</v>
      </c>
      <c r="K35" s="18">
        <f>+月次BS!K35/1000</f>
        <v>0</v>
      </c>
      <c r="L35" s="18">
        <f>+月次BS!L35/1000</f>
        <v>0</v>
      </c>
      <c r="M35" s="18">
        <f>+月次BS!M35/1000</f>
        <v>0</v>
      </c>
      <c r="N35" s="18">
        <f>+月次BS!N35/1000</f>
        <v>0</v>
      </c>
      <c r="O35" s="18">
        <f>+月次BS!O35/1000</f>
        <v>0</v>
      </c>
    </row>
    <row r="36" spans="1:45" s="21" customFormat="1">
      <c r="A36" s="21" t="str">
        <f>+月次BS!A36</f>
        <v>無形固定資産合計</v>
      </c>
      <c r="B36" s="132">
        <f>+月次BS!B36</f>
        <v>0</v>
      </c>
      <c r="C36" s="128">
        <f>+月次BS!C36/1000</f>
        <v>2553.7310000000002</v>
      </c>
      <c r="D36" s="22">
        <f>+月次BS!D36/1000</f>
        <v>1205.374</v>
      </c>
      <c r="E36" s="22">
        <f>+月次BS!E36/1000</f>
        <v>0</v>
      </c>
      <c r="F36" s="22">
        <f>+月次BS!F36/1000</f>
        <v>0</v>
      </c>
      <c r="G36" s="22">
        <f>+月次BS!G36/1000</f>
        <v>0</v>
      </c>
      <c r="H36" s="22">
        <f>+月次BS!H36/1000</f>
        <v>0</v>
      </c>
      <c r="I36" s="22">
        <f>+月次BS!I36/1000</f>
        <v>0</v>
      </c>
      <c r="J36" s="22">
        <f>+月次BS!J36/1000</f>
        <v>0</v>
      </c>
      <c r="K36" s="22">
        <f>+月次BS!K36/1000</f>
        <v>0</v>
      </c>
      <c r="L36" s="22">
        <f>+月次BS!L36/1000</f>
        <v>0</v>
      </c>
      <c r="M36" s="22">
        <f>+月次BS!M36/1000</f>
        <v>0</v>
      </c>
      <c r="N36" s="22">
        <f>+月次BS!N36/1000</f>
        <v>0</v>
      </c>
      <c r="O36" s="22">
        <f>+月次BS!O36/1000</f>
        <v>0</v>
      </c>
    </row>
    <row r="37" spans="1:45" s="20" customFormat="1">
      <c r="A37" t="str">
        <f>+月次BS!A37</f>
        <v>投資その他の資産</v>
      </c>
      <c r="B37" s="19">
        <f>+月次BS!B37</f>
        <v>0</v>
      </c>
      <c r="C37" s="127">
        <f>+月次BS!C37/1000</f>
        <v>0</v>
      </c>
      <c r="D37" s="18">
        <f>+月次BS!D37/1000</f>
        <v>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出資金</v>
      </c>
      <c r="C38" s="127">
        <f>+月次BS!C38/1000</f>
        <v>8825.9599999999991</v>
      </c>
      <c r="D38" s="18">
        <f>+月次BS!D38/1000</f>
        <v>8825.9599999999991</v>
      </c>
      <c r="E38" s="18">
        <f>+月次BS!E38/1000</f>
        <v>0</v>
      </c>
      <c r="F38" s="18">
        <f>+月次BS!F38/1000</f>
        <v>0</v>
      </c>
      <c r="G38" s="18">
        <f>+月次BS!G38/1000</f>
        <v>0</v>
      </c>
      <c r="H38" s="18">
        <f>+月次BS!H38/1000</f>
        <v>0</v>
      </c>
      <c r="I38" s="18">
        <f>+月次BS!I38/1000</f>
        <v>0</v>
      </c>
      <c r="J38" s="18">
        <f>+月次BS!J38/1000</f>
        <v>0</v>
      </c>
      <c r="K38" s="18">
        <f>+月次BS!K38/1000</f>
        <v>0</v>
      </c>
      <c r="L38" s="18">
        <f>+月次BS!L38/1000</f>
        <v>0</v>
      </c>
      <c r="M38" s="18">
        <f>+月次BS!M38/1000</f>
        <v>0</v>
      </c>
      <c r="N38" s="18">
        <f>+月次BS!N38/1000</f>
        <v>0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長期前払費用</v>
      </c>
      <c r="C39" s="127">
        <f>+月次BS!C39/1000</f>
        <v>897.03</v>
      </c>
      <c r="D39" s="18">
        <f>+月次BS!D39/1000</f>
        <v>897.03</v>
      </c>
      <c r="E39" s="18">
        <f>+月次BS!E39/1000</f>
        <v>0</v>
      </c>
      <c r="F39" s="18">
        <f>+月次BS!F39/1000</f>
        <v>0</v>
      </c>
      <c r="G39" s="18">
        <f>+月次BS!G39/1000</f>
        <v>0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20" customFormat="1">
      <c r="A40">
        <f>+月次BS!A40</f>
        <v>0</v>
      </c>
      <c r="B40" s="19" t="str">
        <f>+月次BS!B40</f>
        <v>敷金</v>
      </c>
      <c r="C40" s="127">
        <f>+月次BS!C40/1000</f>
        <v>2126.4859999999999</v>
      </c>
      <c r="D40" s="18">
        <f>+月次BS!D40/1000</f>
        <v>2126.4859999999999</v>
      </c>
      <c r="E40" s="18">
        <f>+月次BS!E40/1000</f>
        <v>0</v>
      </c>
      <c r="F40" s="18">
        <f>+月次BS!F40/1000</f>
        <v>0</v>
      </c>
      <c r="G40" s="18">
        <f>+月次BS!G40/1000</f>
        <v>0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33" customFormat="1">
      <c r="A41">
        <f>+月次BS!A41</f>
        <v>0</v>
      </c>
      <c r="B41" s="19" t="str">
        <f>+月次BS!B41</f>
        <v>保険積立金</v>
      </c>
      <c r="C41" s="127">
        <f>+月次BS!C41/1000</f>
        <v>13367.174000000001</v>
      </c>
      <c r="D41" s="18">
        <f>+月次BS!D41/1000</f>
        <v>13370.228999999999</v>
      </c>
      <c r="E41" s="18">
        <f>+月次BS!E41/1000</f>
        <v>0</v>
      </c>
      <c r="F41" s="18">
        <f>+月次BS!F41/1000</f>
        <v>0</v>
      </c>
      <c r="G41" s="18">
        <f>+月次BS!G41/1000</f>
        <v>0</v>
      </c>
      <c r="H41" s="18">
        <f>+月次BS!H41/1000</f>
        <v>0</v>
      </c>
      <c r="I41" s="18">
        <f>+月次BS!I41/1000</f>
        <v>0</v>
      </c>
      <c r="J41" s="18">
        <f>+月次BS!J41/1000</f>
        <v>0</v>
      </c>
      <c r="K41" s="18">
        <f>+月次BS!K41/1000</f>
        <v>0</v>
      </c>
      <c r="L41" s="18">
        <f>+月次BS!L41/1000</f>
        <v>0</v>
      </c>
      <c r="M41" s="18">
        <f>+月次BS!M41/1000</f>
        <v>0</v>
      </c>
      <c r="N41" s="18">
        <f>+月次BS!N41/1000</f>
        <v>0</v>
      </c>
      <c r="O41" s="18">
        <f>+月次BS!O41/1000</f>
        <v>0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21" customFormat="1">
      <c r="A42" s="21" t="str">
        <f>+月次BS!A42</f>
        <v>投資その他の資産合計</v>
      </c>
      <c r="B42" s="132">
        <f>+月次BS!B42</f>
        <v>0</v>
      </c>
      <c r="C42" s="128">
        <f>+月次BS!C42/1000</f>
        <v>25216.65</v>
      </c>
      <c r="D42" s="22">
        <f>+月次BS!D42/1000</f>
        <v>25219.705000000002</v>
      </c>
      <c r="E42" s="22">
        <f>+月次BS!E42/1000</f>
        <v>0</v>
      </c>
      <c r="F42" s="22">
        <f>+月次BS!F42/1000</f>
        <v>0</v>
      </c>
      <c r="G42" s="22">
        <f>+月次BS!G42/1000</f>
        <v>0</v>
      </c>
      <c r="H42" s="22">
        <f>+月次BS!H42/1000</f>
        <v>0</v>
      </c>
      <c r="I42" s="22">
        <f>+月次BS!I42/1000</f>
        <v>0</v>
      </c>
      <c r="J42" s="22">
        <f>+月次BS!J42/1000</f>
        <v>0</v>
      </c>
      <c r="K42" s="22">
        <f>+月次BS!K42/1000</f>
        <v>0</v>
      </c>
      <c r="L42" s="22">
        <f>+月次BS!L42/1000</f>
        <v>0</v>
      </c>
      <c r="M42" s="22">
        <f>+月次BS!M42/1000</f>
        <v>0</v>
      </c>
      <c r="N42" s="22">
        <f>+月次BS!N42/1000</f>
        <v>0</v>
      </c>
      <c r="O42" s="22">
        <f>+月次BS!O42/1000</f>
        <v>0</v>
      </c>
    </row>
    <row r="43" spans="1:45" s="134" customFormat="1">
      <c r="A43" s="134" t="str">
        <f>+月次BS!A43</f>
        <v>固定資産合計</v>
      </c>
      <c r="B43" s="135">
        <f>+月次BS!B43</f>
        <v>0</v>
      </c>
      <c r="C43" s="136">
        <f>+月次BS!C43/1000</f>
        <v>74138.523000000001</v>
      </c>
      <c r="D43" s="137">
        <f>+月次BS!D43/1000</f>
        <v>73394.668999999994</v>
      </c>
      <c r="E43" s="137">
        <f>+月次BS!E43/1000</f>
        <v>0</v>
      </c>
      <c r="F43" s="137">
        <f>+月次BS!F43/1000</f>
        <v>0</v>
      </c>
      <c r="G43" s="137">
        <f>+月次BS!G43/1000</f>
        <v>0</v>
      </c>
      <c r="H43" s="137">
        <f>+月次BS!H43/1000</f>
        <v>0</v>
      </c>
      <c r="I43" s="137">
        <f>+月次BS!I43/1000</f>
        <v>0</v>
      </c>
      <c r="J43" s="137">
        <f>+月次BS!J43/1000</f>
        <v>0</v>
      </c>
      <c r="K43" s="137">
        <f>+月次BS!K43/1000</f>
        <v>0</v>
      </c>
      <c r="L43" s="137">
        <f>+月次BS!L43/1000</f>
        <v>0</v>
      </c>
      <c r="M43" s="137">
        <f>+月次BS!M43/1000</f>
        <v>0</v>
      </c>
      <c r="N43" s="137">
        <f>+月次BS!N43/1000</f>
        <v>0</v>
      </c>
      <c r="O43" s="137">
        <f>+月次BS!O43/1000</f>
        <v>0</v>
      </c>
    </row>
    <row r="44" spans="1:45">
      <c r="A44" t="str">
        <f>+月次BS!A44</f>
        <v>繰延資産</v>
      </c>
      <c r="B44" s="19">
        <f>+月次BS!B44</f>
        <v>0</v>
      </c>
      <c r="C44" s="127">
        <f>+月次BS!C44/1000</f>
        <v>0</v>
      </c>
      <c r="D44" s="18">
        <f>+月次BS!D44/1000</f>
        <v>0</v>
      </c>
      <c r="E44" s="18">
        <f>+月次BS!E44/1000</f>
        <v>0</v>
      </c>
      <c r="F44" s="18">
        <f>+月次BS!F44/1000</f>
        <v>0</v>
      </c>
      <c r="G44" s="18">
        <f>+月次BS!G44/1000</f>
        <v>0</v>
      </c>
      <c r="H44" s="18">
        <f>+月次BS!H44/1000</f>
        <v>0</v>
      </c>
      <c r="I44" s="18">
        <f>+月次BS!I44/1000</f>
        <v>0</v>
      </c>
      <c r="J44" s="18">
        <f>+月次BS!J44/1000</f>
        <v>0</v>
      </c>
      <c r="K44" s="18">
        <f>+月次BS!K44/1000</f>
        <v>0</v>
      </c>
      <c r="L44" s="18">
        <f>+月次BS!L44/1000</f>
        <v>0</v>
      </c>
      <c r="M44" s="18">
        <f>+月次BS!M44/1000</f>
        <v>0</v>
      </c>
      <c r="N44" s="18">
        <f>+月次BS!N44/1000</f>
        <v>0</v>
      </c>
      <c r="O44" s="18">
        <f>+月次BS!O44/1000</f>
        <v>0</v>
      </c>
    </row>
    <row r="45" spans="1:45" s="21" customFormat="1">
      <c r="A45" s="21" t="str">
        <f>+月次BS!A45</f>
        <v>繰延資産合計</v>
      </c>
      <c r="B45" s="132">
        <f>+月次BS!B45</f>
        <v>0</v>
      </c>
      <c r="C45" s="128">
        <f>+月次BS!C45/1000</f>
        <v>0</v>
      </c>
      <c r="D45" s="22">
        <f>+月次BS!D45/1000</f>
        <v>0</v>
      </c>
      <c r="E45" s="22">
        <f>+月次BS!E45/1000</f>
        <v>0</v>
      </c>
      <c r="F45" s="22">
        <f>+月次BS!F45/1000</f>
        <v>0</v>
      </c>
      <c r="G45" s="22">
        <f>+月次BS!G45/1000</f>
        <v>0</v>
      </c>
      <c r="H45" s="22">
        <f>+月次BS!H45/1000</f>
        <v>0</v>
      </c>
      <c r="I45" s="22">
        <f>+月次BS!I45/1000</f>
        <v>0</v>
      </c>
      <c r="J45" s="22">
        <f>+月次BS!J45/1000</f>
        <v>0</v>
      </c>
      <c r="K45" s="22">
        <f>+月次BS!K45/1000</f>
        <v>0</v>
      </c>
      <c r="L45" s="22">
        <f>+月次BS!L45/1000</f>
        <v>0</v>
      </c>
      <c r="M45" s="22">
        <f>+月次BS!M45/1000</f>
        <v>0</v>
      </c>
      <c r="N45" s="22">
        <f>+月次BS!N45/1000</f>
        <v>0</v>
      </c>
      <c r="O45" s="22">
        <f>+月次BS!O45/1000</f>
        <v>0</v>
      </c>
    </row>
    <row r="46" spans="1:45">
      <c r="A46" t="str">
        <f>+月次BS!A46</f>
        <v>諸口</v>
      </c>
      <c r="B46" s="19">
        <f>+月次BS!B46</f>
        <v>0</v>
      </c>
      <c r="C46" s="127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>
      <c r="A47" t="str">
        <f>+月次BS!A47</f>
        <v>諸口合計</v>
      </c>
      <c r="B47" s="19">
        <f>+月次BS!B47</f>
        <v>0</v>
      </c>
      <c r="C47" s="127">
        <f>+月次BS!C47/1000</f>
        <v>0</v>
      </c>
      <c r="D47" s="18">
        <f>+月次BS!D47/1000</f>
        <v>0</v>
      </c>
      <c r="E47" s="18">
        <f>+月次BS!E47/1000</f>
        <v>0</v>
      </c>
      <c r="F47" s="18">
        <f>+月次BS!F47/1000</f>
        <v>0</v>
      </c>
      <c r="G47" s="18">
        <f>+月次BS!G47/1000</f>
        <v>0</v>
      </c>
      <c r="H47" s="18">
        <f>+月次BS!H47/1000</f>
        <v>0</v>
      </c>
      <c r="I47" s="18">
        <f>+月次BS!I47/1000</f>
        <v>0</v>
      </c>
      <c r="J47" s="18">
        <f>+月次BS!J47/1000</f>
        <v>0</v>
      </c>
      <c r="K47" s="18">
        <f>+月次BS!K47/1000</f>
        <v>0</v>
      </c>
      <c r="L47" s="18">
        <f>+月次BS!L47/1000</f>
        <v>0</v>
      </c>
      <c r="M47" s="18">
        <f>+月次BS!M47/1000</f>
        <v>0</v>
      </c>
      <c r="N47" s="18">
        <f>+月次BS!N47/1000</f>
        <v>0</v>
      </c>
      <c r="O47" s="18">
        <f>+月次BS!O47/1000</f>
        <v>0</v>
      </c>
    </row>
    <row r="48" spans="1:45" s="141" customFormat="1" ht="18" thickBot="1">
      <c r="A48" s="141" t="str">
        <f>+月次BS!A48</f>
        <v>資産の部合計</v>
      </c>
      <c r="B48" s="142">
        <f>+月次BS!B48</f>
        <v>0</v>
      </c>
      <c r="C48" s="143">
        <f>+月次BS!C48/1000</f>
        <v>122236.568</v>
      </c>
      <c r="D48" s="144">
        <f>+月次BS!D48/1000</f>
        <v>122864.31200000001</v>
      </c>
      <c r="E48" s="144">
        <f>+月次BS!E48/1000</f>
        <v>0</v>
      </c>
      <c r="F48" s="144">
        <f>+月次BS!F48/1000</f>
        <v>0</v>
      </c>
      <c r="G48" s="144">
        <f>+月次BS!G48/1000</f>
        <v>0</v>
      </c>
      <c r="H48" s="144">
        <f>+月次BS!H48/1000</f>
        <v>0</v>
      </c>
      <c r="I48" s="144">
        <f>+月次BS!I48/1000</f>
        <v>0</v>
      </c>
      <c r="J48" s="144">
        <f>+月次BS!J48/1000</f>
        <v>0</v>
      </c>
      <c r="K48" s="144">
        <f>+月次BS!K48/1000</f>
        <v>0</v>
      </c>
      <c r="L48" s="144">
        <f>+月次BS!L48/1000</f>
        <v>0</v>
      </c>
      <c r="M48" s="144">
        <f>+月次BS!M48/1000</f>
        <v>0</v>
      </c>
      <c r="N48" s="144">
        <f>+月次BS!N48/1000</f>
        <v>0</v>
      </c>
      <c r="O48" s="144">
        <f>+月次BS!O48/1000</f>
        <v>0</v>
      </c>
    </row>
    <row r="49" spans="1:45" ht="18" thickTop="1">
      <c r="A49" t="str">
        <f>+月次BS!A49</f>
        <v>負債の部</v>
      </c>
      <c r="B49" s="19">
        <f>+月次BS!B49</f>
        <v>0</v>
      </c>
      <c r="C49" s="127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>
      <c r="A50" t="str">
        <f>+月次BS!A50</f>
        <v>流動負債</v>
      </c>
      <c r="B50" s="19">
        <f>+月次BS!B50</f>
        <v>0</v>
      </c>
      <c r="C50" s="127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</row>
    <row r="51" spans="1:45" s="20" customFormat="1">
      <c r="A51" t="str">
        <f>+月次BS!A51</f>
        <v>仕入債務</v>
      </c>
      <c r="B51" s="19">
        <f>+月次BS!B51</f>
        <v>0</v>
      </c>
      <c r="C51" s="127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0" customFormat="1">
      <c r="A52">
        <f>+月次BS!A52</f>
        <v>0</v>
      </c>
      <c r="B52" s="19" t="str">
        <f>+月次BS!B52</f>
        <v>買掛金</v>
      </c>
      <c r="C52" s="127">
        <f>+月次BS!C52/1000</f>
        <v>1861.886</v>
      </c>
      <c r="D52" s="18">
        <f>+月次BS!D52/1000</f>
        <v>2166.4090000000001</v>
      </c>
      <c r="E52" s="18">
        <f>+月次BS!E52/1000</f>
        <v>0</v>
      </c>
      <c r="F52" s="18">
        <f>+月次BS!F52/1000</f>
        <v>0</v>
      </c>
      <c r="G52" s="18">
        <f>+月次BS!G52/1000</f>
        <v>0</v>
      </c>
      <c r="H52" s="18">
        <f>+月次BS!H52/1000</f>
        <v>0</v>
      </c>
      <c r="I52" s="18">
        <f>+月次BS!I52/1000</f>
        <v>0</v>
      </c>
      <c r="J52" s="18">
        <f>+月次BS!J52/1000</f>
        <v>0</v>
      </c>
      <c r="K52" s="18">
        <f>+月次BS!K52/1000</f>
        <v>0</v>
      </c>
      <c r="L52" s="18">
        <f>+月次BS!L52/1000</f>
        <v>0</v>
      </c>
      <c r="M52" s="18">
        <f>+月次BS!M52/1000</f>
        <v>0</v>
      </c>
      <c r="N52" s="18">
        <f>+月次BS!N52/1000</f>
        <v>0</v>
      </c>
      <c r="O52" s="18">
        <f>+月次BS!O52/1000</f>
        <v>0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1:45" s="21" customFormat="1">
      <c r="A53" s="21" t="str">
        <f>+月次BS!A53</f>
        <v>仕入債務合計</v>
      </c>
      <c r="B53" s="132">
        <f>+月次BS!B53</f>
        <v>0</v>
      </c>
      <c r="C53" s="128">
        <f>+月次BS!C53/1000</f>
        <v>1861.886</v>
      </c>
      <c r="D53" s="22">
        <f>+月次BS!D53/1000</f>
        <v>2166.4090000000001</v>
      </c>
      <c r="E53" s="22">
        <f>+月次BS!E53/1000</f>
        <v>0</v>
      </c>
      <c r="F53" s="22">
        <f>+月次BS!F53/1000</f>
        <v>0</v>
      </c>
      <c r="G53" s="22">
        <f>+月次BS!G53/1000</f>
        <v>0</v>
      </c>
      <c r="H53" s="22">
        <f>+月次BS!H53/1000</f>
        <v>0</v>
      </c>
      <c r="I53" s="22">
        <f>+月次BS!I53/1000</f>
        <v>0</v>
      </c>
      <c r="J53" s="22">
        <f>+月次BS!J53/1000</f>
        <v>0</v>
      </c>
      <c r="K53" s="22">
        <f>+月次BS!K53/1000</f>
        <v>0</v>
      </c>
      <c r="L53" s="22">
        <f>+月次BS!L53/1000</f>
        <v>0</v>
      </c>
      <c r="M53" s="22">
        <f>+月次BS!M53/1000</f>
        <v>0</v>
      </c>
      <c r="N53" s="22">
        <f>+月次BS!N53/1000</f>
        <v>0</v>
      </c>
      <c r="O53" s="22">
        <f>+月次BS!O53/1000</f>
        <v>0</v>
      </c>
    </row>
    <row r="54" spans="1:45">
      <c r="A54" t="str">
        <f>+月次BS!A54</f>
        <v>その他流動負債</v>
      </c>
      <c r="B54" s="19">
        <f>+月次BS!B54</f>
        <v>0</v>
      </c>
      <c r="C54" s="127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7">
        <f>+月次BS!C55/1000</f>
        <v>1899.2139999999999</v>
      </c>
      <c r="D55" s="18">
        <f>+月次BS!D55/1000</f>
        <v>1845.934</v>
      </c>
      <c r="E55" s="18">
        <f>+月次BS!E55/1000</f>
        <v>0</v>
      </c>
      <c r="F55" s="18">
        <f>+月次BS!F55/1000</f>
        <v>0</v>
      </c>
      <c r="G55" s="18">
        <f>+月次BS!G55/1000</f>
        <v>0</v>
      </c>
      <c r="H55" s="18">
        <f>+月次BS!H55/1000</f>
        <v>0</v>
      </c>
      <c r="I55" s="18">
        <f>+月次BS!I55/1000</f>
        <v>0</v>
      </c>
      <c r="J55" s="18">
        <f>+月次BS!J55/1000</f>
        <v>0</v>
      </c>
      <c r="K55" s="18">
        <f>+月次BS!K55/1000</f>
        <v>0</v>
      </c>
      <c r="L55" s="18">
        <f>+月次BS!L55/1000</f>
        <v>0</v>
      </c>
      <c r="M55" s="18">
        <f>+月次BS!M55/1000</f>
        <v>0</v>
      </c>
      <c r="N55" s="18">
        <f>+月次BS!N55/1000</f>
        <v>0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7">
        <f>+月次BS!C56/1000</f>
        <v>726.78899999999999</v>
      </c>
      <c r="D56" s="18">
        <f>+月次BS!D56/1000</f>
        <v>717.13099999999997</v>
      </c>
      <c r="E56" s="18">
        <f>+月次BS!E56/1000</f>
        <v>0</v>
      </c>
      <c r="F56" s="18">
        <f>+月次BS!F56/1000</f>
        <v>0</v>
      </c>
      <c r="G56" s="18">
        <f>+月次BS!G56/1000</f>
        <v>0</v>
      </c>
      <c r="H56" s="18">
        <f>+月次BS!H56/1000</f>
        <v>0</v>
      </c>
      <c r="I56" s="18">
        <f>+月次BS!I56/1000</f>
        <v>0</v>
      </c>
      <c r="J56" s="18">
        <f>+月次BS!J56/1000</f>
        <v>0</v>
      </c>
      <c r="K56" s="18">
        <f>+月次BS!K56/1000</f>
        <v>0</v>
      </c>
      <c r="L56" s="18">
        <f>+月次BS!L56/1000</f>
        <v>0</v>
      </c>
      <c r="M56" s="18">
        <f>+月次BS!M56/1000</f>
        <v>0</v>
      </c>
      <c r="N56" s="18">
        <f>+月次BS!N56/1000</f>
        <v>0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前受金</v>
      </c>
      <c r="C57" s="127">
        <f>+月次BS!C57/1000</f>
        <v>22.2</v>
      </c>
      <c r="D57" s="18">
        <f>+月次BS!D57/1000</f>
        <v>22.2</v>
      </c>
      <c r="E57" s="18">
        <f>+月次BS!E57/1000</f>
        <v>0</v>
      </c>
      <c r="F57" s="18">
        <f>+月次BS!F57/1000</f>
        <v>0</v>
      </c>
      <c r="G57" s="18">
        <f>+月次BS!G57/1000</f>
        <v>0</v>
      </c>
      <c r="H57" s="18">
        <f>+月次BS!H57/1000</f>
        <v>0</v>
      </c>
      <c r="I57" s="18">
        <f>+月次BS!I57/1000</f>
        <v>0</v>
      </c>
      <c r="J57" s="18">
        <f>+月次BS!J57/1000</f>
        <v>0</v>
      </c>
      <c r="K57" s="18">
        <f>+月次BS!K57/1000</f>
        <v>0</v>
      </c>
      <c r="L57" s="18">
        <f>+月次BS!L57/1000</f>
        <v>0</v>
      </c>
      <c r="M57" s="18">
        <f>+月次BS!M57/1000</f>
        <v>0</v>
      </c>
      <c r="N57" s="18">
        <f>+月次BS!N57/1000</f>
        <v>0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預り金</v>
      </c>
      <c r="C58" s="127">
        <f>+月次BS!C58/1000</f>
        <v>544.601</v>
      </c>
      <c r="D58" s="18">
        <f>+月次BS!D58/1000</f>
        <v>265.02300000000002</v>
      </c>
      <c r="E58" s="18">
        <f>+月次BS!E58/1000</f>
        <v>0</v>
      </c>
      <c r="F58" s="18">
        <f>+月次BS!F58/1000</f>
        <v>0</v>
      </c>
      <c r="G58" s="18">
        <f>+月次BS!G58/1000</f>
        <v>0</v>
      </c>
      <c r="H58" s="18">
        <f>+月次BS!H58/1000</f>
        <v>0</v>
      </c>
      <c r="I58" s="18">
        <f>+月次BS!I58/1000</f>
        <v>0</v>
      </c>
      <c r="J58" s="18">
        <f>+月次BS!J58/1000</f>
        <v>0</v>
      </c>
      <c r="K58" s="18">
        <f>+月次BS!K58/1000</f>
        <v>0</v>
      </c>
      <c r="L58" s="18">
        <f>+月次BS!L58/1000</f>
        <v>0</v>
      </c>
      <c r="M58" s="18">
        <f>+月次BS!M58/1000</f>
        <v>0</v>
      </c>
      <c r="N58" s="18">
        <f>+月次BS!N58/1000</f>
        <v>0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仮受金</v>
      </c>
      <c r="C59" s="127">
        <f>+月次BS!C59/1000</f>
        <v>7.54</v>
      </c>
      <c r="D59" s="18">
        <f>+月次BS!D59/1000</f>
        <v>31.817</v>
      </c>
      <c r="E59" s="18">
        <f>+月次BS!E59/1000</f>
        <v>0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未払消費税</v>
      </c>
      <c r="C60" s="127">
        <f>+月次BS!C60/1000</f>
        <v>1393.8</v>
      </c>
      <c r="D60" s="18">
        <f>+月次BS!D60/1000</f>
        <v>1393.8</v>
      </c>
      <c r="E60" s="18">
        <f>+月次BS!E60/1000</f>
        <v>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未払法人税等</v>
      </c>
      <c r="C61" s="127">
        <f>+月次BS!C61/1000</f>
        <v>70</v>
      </c>
      <c r="D61" s="18">
        <f>+月次BS!D61/1000</f>
        <v>70</v>
      </c>
      <c r="E61" s="18">
        <f>+月次BS!E61/1000</f>
        <v>0</v>
      </c>
      <c r="F61" s="18">
        <f>+月次BS!F61/1000</f>
        <v>0</v>
      </c>
      <c r="G61" s="18">
        <f>+月次BS!G61/1000</f>
        <v>0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仮受消費税</v>
      </c>
      <c r="C62" s="127">
        <f>+月次BS!C62/1000</f>
        <v>0</v>
      </c>
      <c r="D62" s="18">
        <f>+月次BS!D62/1000</f>
        <v>853.798</v>
      </c>
      <c r="E62" s="18">
        <f>+月次BS!E62/1000</f>
        <v>0</v>
      </c>
      <c r="F62" s="18">
        <f>+月次BS!F62/1000</f>
        <v>0</v>
      </c>
      <c r="G62" s="18">
        <f>+月次BS!G62/1000</f>
        <v>0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7">
        <f>+月次BS!C63/1000</f>
        <v>2820</v>
      </c>
      <c r="D63" s="18">
        <f>+月次BS!D63/1000</f>
        <v>2820</v>
      </c>
      <c r="E63" s="18">
        <f>+月次BS!E63/1000</f>
        <v>0</v>
      </c>
      <c r="F63" s="18">
        <f>+月次BS!F63/1000</f>
        <v>0</v>
      </c>
      <c r="G63" s="18">
        <f>+月次BS!G63/1000</f>
        <v>0</v>
      </c>
      <c r="H63" s="18">
        <f>+月次BS!H63/1000</f>
        <v>0</v>
      </c>
      <c r="I63" s="18">
        <f>+月次BS!I63/1000</f>
        <v>0</v>
      </c>
      <c r="J63" s="18">
        <f>+月次BS!J63/1000</f>
        <v>0</v>
      </c>
      <c r="K63" s="18">
        <f>+月次BS!K63/1000</f>
        <v>0</v>
      </c>
      <c r="L63" s="18">
        <f>+月次BS!L63/1000</f>
        <v>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32">
        <f>+月次BS!B64</f>
        <v>0</v>
      </c>
      <c r="C64" s="128">
        <f>+月次BS!C64/1000</f>
        <v>7484.1440000000002</v>
      </c>
      <c r="D64" s="22">
        <f>+月次BS!D64/1000</f>
        <v>8019.7030000000004</v>
      </c>
      <c r="E64" s="22">
        <f>+月次BS!E64/1000</f>
        <v>0</v>
      </c>
      <c r="F64" s="22">
        <f>+月次BS!F64/1000</f>
        <v>0</v>
      </c>
      <c r="G64" s="22">
        <f>+月次BS!G64/1000</f>
        <v>0</v>
      </c>
      <c r="H64" s="22">
        <f>+月次BS!H64/1000</f>
        <v>0</v>
      </c>
      <c r="I64" s="22">
        <f>+月次BS!I64/1000</f>
        <v>0</v>
      </c>
      <c r="J64" s="22">
        <f>+月次BS!J64/1000</f>
        <v>0</v>
      </c>
      <c r="K64" s="22">
        <f>+月次BS!K64/1000</f>
        <v>0</v>
      </c>
      <c r="L64" s="22">
        <f>+月次BS!L64/1000</f>
        <v>0</v>
      </c>
      <c r="M64" s="22">
        <f>+月次BS!M64/1000</f>
        <v>0</v>
      </c>
      <c r="N64" s="22">
        <f>+月次BS!N64/1000</f>
        <v>0</v>
      </c>
      <c r="O64" s="22">
        <f>+月次BS!O64/1000</f>
        <v>0</v>
      </c>
    </row>
    <row r="65" spans="1:45" s="134" customFormat="1">
      <c r="A65" s="134" t="str">
        <f>+月次BS!A65</f>
        <v>流動負債合計</v>
      </c>
      <c r="B65" s="135">
        <f>+月次BS!B65</f>
        <v>0</v>
      </c>
      <c r="C65" s="136">
        <f>+月次BS!C65/1000</f>
        <v>9346.0300000000007</v>
      </c>
      <c r="D65" s="137">
        <f>+月次BS!D65/1000</f>
        <v>10186.111999999999</v>
      </c>
      <c r="E65" s="137">
        <f>+月次BS!E65/1000</f>
        <v>0</v>
      </c>
      <c r="F65" s="137">
        <f>+月次BS!F65/1000</f>
        <v>0</v>
      </c>
      <c r="G65" s="137">
        <f>+月次BS!G65/1000</f>
        <v>0</v>
      </c>
      <c r="H65" s="137">
        <f>+月次BS!H65/1000</f>
        <v>0</v>
      </c>
      <c r="I65" s="137">
        <f>+月次BS!I65/1000</f>
        <v>0</v>
      </c>
      <c r="J65" s="137">
        <f>+月次BS!J65/1000</f>
        <v>0</v>
      </c>
      <c r="K65" s="137">
        <f>+月次BS!K65/1000</f>
        <v>0</v>
      </c>
      <c r="L65" s="137">
        <f>+月次BS!L65/1000</f>
        <v>0</v>
      </c>
      <c r="M65" s="137">
        <f>+月次BS!M65/1000</f>
        <v>0</v>
      </c>
      <c r="N65" s="137">
        <f>+月次BS!N65/1000</f>
        <v>0</v>
      </c>
      <c r="O65" s="137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7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7">
        <f>+月次BS!C67/1000</f>
        <v>132405</v>
      </c>
      <c r="D67" s="18">
        <f>+月次BS!D67/1000</f>
        <v>131925</v>
      </c>
      <c r="E67" s="18">
        <f>+月次BS!E67/1000</f>
        <v>0</v>
      </c>
      <c r="F67" s="18">
        <f>+月次BS!F67/1000</f>
        <v>0</v>
      </c>
      <c r="G67" s="18">
        <f>+月次BS!G67/1000</f>
        <v>0</v>
      </c>
      <c r="H67" s="18">
        <f>+月次BS!H67/1000</f>
        <v>0</v>
      </c>
      <c r="I67" s="18">
        <f>+月次BS!I67/1000</f>
        <v>0</v>
      </c>
      <c r="J67" s="18">
        <f>+月次BS!J67/1000</f>
        <v>0</v>
      </c>
      <c r="K67" s="18">
        <f>+月次BS!K67/1000</f>
        <v>0</v>
      </c>
      <c r="L67" s="18">
        <f>+月次BS!L67/1000</f>
        <v>0</v>
      </c>
      <c r="M67" s="18">
        <f>+月次BS!M67/1000</f>
        <v>0</v>
      </c>
      <c r="N67" s="18">
        <f>+月次BS!N67/1000</f>
        <v>0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4" customFormat="1">
      <c r="A68" s="134" t="str">
        <f>+月次BS!A68</f>
        <v>固定負債合計</v>
      </c>
      <c r="B68" s="135">
        <f>+月次BS!B68</f>
        <v>0</v>
      </c>
      <c r="C68" s="136">
        <f>+月次BS!C68/1000</f>
        <v>132405</v>
      </c>
      <c r="D68" s="137">
        <f>+月次BS!D68/1000</f>
        <v>131925</v>
      </c>
      <c r="E68" s="137">
        <f>+月次BS!E68/1000</f>
        <v>0</v>
      </c>
      <c r="F68" s="137">
        <f>+月次BS!F68/1000</f>
        <v>0</v>
      </c>
      <c r="G68" s="137">
        <f>+月次BS!G68/1000</f>
        <v>0</v>
      </c>
      <c r="H68" s="137">
        <f>+月次BS!H68/1000</f>
        <v>0</v>
      </c>
      <c r="I68" s="137">
        <f>+月次BS!I68/1000</f>
        <v>0</v>
      </c>
      <c r="J68" s="137">
        <f>+月次BS!J68/1000</f>
        <v>0</v>
      </c>
      <c r="K68" s="137">
        <f>+月次BS!K68/1000</f>
        <v>0</v>
      </c>
      <c r="L68" s="137">
        <f>+月次BS!L68/1000</f>
        <v>0</v>
      </c>
      <c r="M68" s="137">
        <f>+月次BS!M68/1000</f>
        <v>0</v>
      </c>
      <c r="N68" s="137">
        <f>+月次BS!N68/1000</f>
        <v>0</v>
      </c>
      <c r="O68" s="137">
        <f>+月次BS!O68/1000</f>
        <v>0</v>
      </c>
    </row>
    <row r="69" spans="1:45" s="141" customFormat="1" ht="18" thickBot="1">
      <c r="A69" s="141" t="str">
        <f>+月次BS!A69</f>
        <v>負債の部合計</v>
      </c>
      <c r="B69" s="142">
        <f>+月次BS!B69</f>
        <v>0</v>
      </c>
      <c r="C69" s="143">
        <f>+月次BS!C69/1000</f>
        <v>141751.03</v>
      </c>
      <c r="D69" s="144">
        <f>+月次BS!D69/1000</f>
        <v>142111.11199999999</v>
      </c>
      <c r="E69" s="144">
        <f>+月次BS!E69/1000</f>
        <v>0</v>
      </c>
      <c r="F69" s="144">
        <f>+月次BS!F69/1000</f>
        <v>0</v>
      </c>
      <c r="G69" s="144">
        <f>+月次BS!G69/1000</f>
        <v>0</v>
      </c>
      <c r="H69" s="144">
        <f>+月次BS!H69/1000</f>
        <v>0</v>
      </c>
      <c r="I69" s="144">
        <f>+月次BS!I69/1000</f>
        <v>0</v>
      </c>
      <c r="J69" s="144">
        <f>+月次BS!J69/1000</f>
        <v>0</v>
      </c>
      <c r="K69" s="144">
        <f>+月次BS!K69/1000</f>
        <v>0</v>
      </c>
      <c r="L69" s="144">
        <f>+月次BS!L69/1000</f>
        <v>0</v>
      </c>
      <c r="M69" s="144">
        <f>+月次BS!M69/1000</f>
        <v>0</v>
      </c>
      <c r="N69" s="144">
        <f>+月次BS!N69/1000</f>
        <v>0</v>
      </c>
      <c r="O69" s="144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7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7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7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7">
        <f>+月次BS!C73/1000</f>
        <v>5000</v>
      </c>
      <c r="D73" s="18">
        <f>+月次BS!D73/1000</f>
        <v>5000</v>
      </c>
      <c r="E73" s="18">
        <f>+月次BS!E73/1000</f>
        <v>0</v>
      </c>
      <c r="F73" s="18">
        <f>+月次BS!F73/1000</f>
        <v>0</v>
      </c>
      <c r="G73" s="18">
        <f>+月次BS!G73/1000</f>
        <v>0</v>
      </c>
      <c r="H73" s="18">
        <f>+月次BS!H73/1000</f>
        <v>0</v>
      </c>
      <c r="I73" s="18">
        <f>+月次BS!I73/1000</f>
        <v>0</v>
      </c>
      <c r="J73" s="18">
        <f>+月次BS!J73/1000</f>
        <v>0</v>
      </c>
      <c r="K73" s="18">
        <f>+月次BS!K73/1000</f>
        <v>0</v>
      </c>
      <c r="L73" s="18">
        <f>+月次BS!L73/1000</f>
        <v>0</v>
      </c>
      <c r="M73" s="18">
        <f>+月次BS!M73/1000</f>
        <v>0</v>
      </c>
      <c r="N73" s="18">
        <f>+月次BS!N73/1000</f>
        <v>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32">
        <f>+月次BS!B74</f>
        <v>0</v>
      </c>
      <c r="C74" s="128">
        <f>+月次BS!C74/1000</f>
        <v>5000</v>
      </c>
      <c r="D74" s="22">
        <f>+月次BS!D74/1000</f>
        <v>5000</v>
      </c>
      <c r="E74" s="22">
        <f>+月次BS!E74/1000</f>
        <v>0</v>
      </c>
      <c r="F74" s="22">
        <f>+月次BS!F74/1000</f>
        <v>0</v>
      </c>
      <c r="G74" s="22">
        <f>+月次BS!G74/1000</f>
        <v>0</v>
      </c>
      <c r="H74" s="22">
        <f>+月次BS!H74/1000</f>
        <v>0</v>
      </c>
      <c r="I74" s="22">
        <f>+月次BS!I74/1000</f>
        <v>0</v>
      </c>
      <c r="J74" s="22">
        <f>+月次BS!J74/1000</f>
        <v>0</v>
      </c>
      <c r="K74" s="22">
        <f>+月次BS!K74/1000</f>
        <v>0</v>
      </c>
      <c r="L74" s="22">
        <f>+月次BS!L74/1000</f>
        <v>0</v>
      </c>
      <c r="M74" s="22">
        <f>+月次BS!M74/1000</f>
        <v>0</v>
      </c>
      <c r="N74" s="22">
        <f>+月次BS!N74/1000</f>
        <v>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7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7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7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7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7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7">
        <f>+月次BS!C80/1000</f>
        <v>-24514.462</v>
      </c>
      <c r="D80" s="18">
        <f>+月次BS!D80/1000</f>
        <v>-24246.799999999999</v>
      </c>
      <c r="E80" s="18">
        <f>+月次BS!E80/1000</f>
        <v>0</v>
      </c>
      <c r="F80" s="18">
        <f>+月次BS!F80/1000</f>
        <v>0</v>
      </c>
      <c r="G80" s="18">
        <f>+月次BS!G80/1000</f>
        <v>0</v>
      </c>
      <c r="H80" s="18">
        <f>+月次BS!H80/1000</f>
        <v>0</v>
      </c>
      <c r="I80" s="18">
        <f>+月次BS!I80/1000</f>
        <v>0</v>
      </c>
      <c r="J80" s="18">
        <f>+月次BS!J80/1000</f>
        <v>0</v>
      </c>
      <c r="K80" s="18">
        <f>+月次BS!K80/1000</f>
        <v>0</v>
      </c>
      <c r="L80" s="18">
        <f>+月次BS!L80/1000</f>
        <v>0</v>
      </c>
      <c r="M80" s="18">
        <f>+月次BS!M80/1000</f>
        <v>0</v>
      </c>
      <c r="N80" s="18">
        <f>+月次BS!N80/1000</f>
        <v>0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7">
        <f>+月次BS!C81/1000</f>
        <v>0</v>
      </c>
      <c r="D81" s="18">
        <f>+月次BS!D81/1000</f>
        <v>267.66199999999998</v>
      </c>
      <c r="E81" s="18">
        <f>+月次BS!E81/1000</f>
        <v>0</v>
      </c>
      <c r="F81" s="18">
        <f>+月次BS!F81/1000</f>
        <v>0</v>
      </c>
      <c r="G81" s="18">
        <f>+月次BS!G81/1000</f>
        <v>0</v>
      </c>
      <c r="H81" s="18">
        <f>+月次BS!H81/1000</f>
        <v>0</v>
      </c>
      <c r="I81" s="18">
        <f>+月次BS!I81/1000</f>
        <v>0</v>
      </c>
      <c r="J81" s="18">
        <f>+月次BS!J81/1000</f>
        <v>0</v>
      </c>
      <c r="K81" s="18">
        <f>+月次BS!K81/1000</f>
        <v>0</v>
      </c>
      <c r="L81" s="18">
        <f>+月次BS!L81/1000</f>
        <v>0</v>
      </c>
      <c r="M81" s="18">
        <f>+月次BS!M81/1000</f>
        <v>0</v>
      </c>
      <c r="N81" s="18">
        <f>+月次BS!N81/1000</f>
        <v>0</v>
      </c>
      <c r="O81" s="18">
        <f>+月次BS!O81/1000</f>
        <v>0</v>
      </c>
    </row>
    <row r="82" spans="1:45" s="134" customFormat="1">
      <c r="A82" s="134" t="str">
        <f>+月次BS!A82</f>
        <v>利益剰余金合計</v>
      </c>
      <c r="B82" s="135">
        <f>+月次BS!B82</f>
        <v>0</v>
      </c>
      <c r="C82" s="136">
        <f>+月次BS!C82/1000</f>
        <v>-24514.462</v>
      </c>
      <c r="D82" s="137">
        <f>+月次BS!D82/1000</f>
        <v>-24246.799999999999</v>
      </c>
      <c r="E82" s="137">
        <f>+月次BS!E82/1000</f>
        <v>0</v>
      </c>
      <c r="F82" s="137">
        <f>+月次BS!F82/1000</f>
        <v>0</v>
      </c>
      <c r="G82" s="137">
        <f>+月次BS!G82/1000</f>
        <v>0</v>
      </c>
      <c r="H82" s="137">
        <f>+月次BS!H82/1000</f>
        <v>0</v>
      </c>
      <c r="I82" s="137">
        <f>+月次BS!I82/1000</f>
        <v>0</v>
      </c>
      <c r="J82" s="137">
        <f>+月次BS!J82/1000</f>
        <v>0</v>
      </c>
      <c r="K82" s="137">
        <f>+月次BS!K82/1000</f>
        <v>0</v>
      </c>
      <c r="L82" s="137">
        <f>+月次BS!L82/1000</f>
        <v>0</v>
      </c>
      <c r="M82" s="137">
        <f>+月次BS!M82/1000</f>
        <v>0</v>
      </c>
      <c r="N82" s="137">
        <f>+月次BS!N82/1000</f>
        <v>0</v>
      </c>
      <c r="O82" s="137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7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7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7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7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4" customFormat="1">
      <c r="A87" s="134" t="str">
        <f>+月次BS!A87</f>
        <v>株主資本合計</v>
      </c>
      <c r="B87" s="135">
        <f>+月次BS!B87</f>
        <v>0</v>
      </c>
      <c r="C87" s="136">
        <f>+月次BS!C87/1000</f>
        <v>-19514.462</v>
      </c>
      <c r="D87" s="137">
        <f>+月次BS!D87/1000</f>
        <v>-19246.8</v>
      </c>
      <c r="E87" s="137">
        <f>+月次BS!E87/1000</f>
        <v>0</v>
      </c>
      <c r="F87" s="137">
        <f>+月次BS!F87/1000</f>
        <v>0</v>
      </c>
      <c r="G87" s="137">
        <f>+月次BS!G87/1000</f>
        <v>0</v>
      </c>
      <c r="H87" s="137">
        <f>+月次BS!H87/1000</f>
        <v>0</v>
      </c>
      <c r="I87" s="137">
        <f>+月次BS!I87/1000</f>
        <v>0</v>
      </c>
      <c r="J87" s="137">
        <f>+月次BS!J87/1000</f>
        <v>0</v>
      </c>
      <c r="K87" s="137">
        <f>+月次BS!K87/1000</f>
        <v>0</v>
      </c>
      <c r="L87" s="137">
        <f>+月次BS!L87/1000</f>
        <v>0</v>
      </c>
      <c r="M87" s="137">
        <f>+月次BS!M87/1000</f>
        <v>0</v>
      </c>
      <c r="N87" s="137">
        <f>+月次BS!N87/1000</f>
        <v>0</v>
      </c>
      <c r="O87" s="137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7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7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7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7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5" customFormat="1">
      <c r="A92" s="145" t="str">
        <f>+月次BS!A92</f>
        <v>純資産の部合計</v>
      </c>
      <c r="B92" s="146">
        <f>+月次BS!B92</f>
        <v>0</v>
      </c>
      <c r="C92" s="147">
        <f>+月次BS!C92/1000</f>
        <v>-19514.462</v>
      </c>
      <c r="D92" s="148">
        <f>+月次BS!D92/1000</f>
        <v>-19246.8</v>
      </c>
      <c r="E92" s="148">
        <f>+月次BS!E92/1000</f>
        <v>0</v>
      </c>
      <c r="F92" s="148">
        <f>+月次BS!F92/1000</f>
        <v>0</v>
      </c>
      <c r="G92" s="148">
        <f>+月次BS!G92/1000</f>
        <v>0</v>
      </c>
      <c r="H92" s="148">
        <f>+月次BS!H92/1000</f>
        <v>0</v>
      </c>
      <c r="I92" s="148">
        <f>+月次BS!I92/1000</f>
        <v>0</v>
      </c>
      <c r="J92" s="148">
        <f>+月次BS!J92/1000</f>
        <v>0</v>
      </c>
      <c r="K92" s="148">
        <f>+月次BS!K92/1000</f>
        <v>0</v>
      </c>
      <c r="L92" s="148">
        <f>+月次BS!L92/1000</f>
        <v>0</v>
      </c>
      <c r="M92" s="148">
        <f>+月次BS!M92/1000</f>
        <v>0</v>
      </c>
      <c r="N92" s="148">
        <f>+月次BS!N92/1000</f>
        <v>0</v>
      </c>
      <c r="O92" s="148">
        <f>+月次BS!O92/1000</f>
        <v>0</v>
      </c>
    </row>
    <row r="93" spans="1:45" s="141" customFormat="1" ht="18" thickBot="1">
      <c r="A93" s="141" t="str">
        <f>+月次BS!A93</f>
        <v>負債・純資産の部合計</v>
      </c>
      <c r="B93" s="142">
        <f>+月次BS!B93</f>
        <v>0</v>
      </c>
      <c r="C93" s="143">
        <f>+月次BS!C93/1000</f>
        <v>122236.568</v>
      </c>
      <c r="D93" s="144">
        <f>+月次BS!D93/1000</f>
        <v>122864.31200000001</v>
      </c>
      <c r="E93" s="144">
        <f>+月次BS!E93/1000</f>
        <v>0</v>
      </c>
      <c r="F93" s="144">
        <f>+月次BS!F93/1000</f>
        <v>0</v>
      </c>
      <c r="G93" s="144">
        <f>+月次BS!G93/1000</f>
        <v>0</v>
      </c>
      <c r="H93" s="144">
        <f>+月次BS!H93/1000</f>
        <v>0</v>
      </c>
      <c r="I93" s="144">
        <f>+月次BS!I93/1000</f>
        <v>0</v>
      </c>
      <c r="J93" s="144">
        <f>+月次BS!J93/1000</f>
        <v>0</v>
      </c>
      <c r="K93" s="144">
        <f>+月次BS!K93/1000</f>
        <v>0</v>
      </c>
      <c r="L93" s="144">
        <f>+月次BS!L93/1000</f>
        <v>0</v>
      </c>
      <c r="M93" s="144">
        <f>+月次BS!M93/1000</f>
        <v>0</v>
      </c>
      <c r="N93" s="144">
        <f>+月次BS!N93/1000</f>
        <v>0</v>
      </c>
      <c r="O93" s="144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7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361</v>
      </c>
      <c r="C95" s="127">
        <f>+C52+C55+C56</f>
        <v>4487.8890000000001</v>
      </c>
      <c r="D95" s="18">
        <f>+D52+D55+D56</f>
        <v>4729.4740000000002</v>
      </c>
      <c r="E95" s="18">
        <f t="shared" ref="E95:O95" si="0">+E52+E55+E56</f>
        <v>0</v>
      </c>
      <c r="F95" s="18">
        <f t="shared" si="0"/>
        <v>0</v>
      </c>
      <c r="G95" s="18">
        <f t="shared" si="0"/>
        <v>0</v>
      </c>
      <c r="H95" s="18">
        <f t="shared" si="0"/>
        <v>0</v>
      </c>
      <c r="I95" s="18">
        <f t="shared" si="0"/>
        <v>0</v>
      </c>
      <c r="J95" s="18">
        <f t="shared" si="0"/>
        <v>0</v>
      </c>
      <c r="K95" s="18">
        <f t="shared" si="0"/>
        <v>0</v>
      </c>
      <c r="L95" s="18">
        <f t="shared" si="0"/>
        <v>0</v>
      </c>
      <c r="M95" s="18">
        <f t="shared" si="0"/>
        <v>0</v>
      </c>
      <c r="N95" s="18">
        <f t="shared" si="0"/>
        <v>0</v>
      </c>
      <c r="O95" s="18">
        <f t="shared" si="0"/>
        <v>0</v>
      </c>
    </row>
    <row r="96" spans="1:45">
      <c r="A96">
        <f>+月次BS!A97</f>
        <v>0</v>
      </c>
      <c r="B96" s="19" t="s">
        <v>362</v>
      </c>
      <c r="C96" s="127">
        <f>+C57+C58+C59+C62</f>
        <v>574.34100000000001</v>
      </c>
      <c r="D96" s="18">
        <f t="shared" ref="D96:O96" si="1">+D57+D58+D59+D62</f>
        <v>1172.838</v>
      </c>
      <c r="E96" s="18">
        <f t="shared" si="1"/>
        <v>0</v>
      </c>
      <c r="F96" s="18">
        <f t="shared" si="1"/>
        <v>0</v>
      </c>
      <c r="G96" s="18">
        <f t="shared" si="1"/>
        <v>0</v>
      </c>
      <c r="H96" s="18">
        <f t="shared" si="1"/>
        <v>0</v>
      </c>
      <c r="I96" s="18">
        <f t="shared" si="1"/>
        <v>0</v>
      </c>
      <c r="J96" s="18">
        <f t="shared" si="1"/>
        <v>0</v>
      </c>
      <c r="K96" s="18">
        <f t="shared" si="1"/>
        <v>0</v>
      </c>
      <c r="L96" s="18">
        <f t="shared" si="1"/>
        <v>0</v>
      </c>
      <c r="M96" s="18">
        <f t="shared" si="1"/>
        <v>0</v>
      </c>
      <c r="N96" s="18">
        <f t="shared" si="1"/>
        <v>0</v>
      </c>
      <c r="O96" s="18">
        <f t="shared" si="1"/>
        <v>0</v>
      </c>
    </row>
    <row r="97" spans="1:15">
      <c r="A97">
        <f>+月次BS!A98</f>
        <v>0</v>
      </c>
      <c r="B97" s="19" t="s">
        <v>363</v>
      </c>
      <c r="C97" s="127">
        <f>+C33+C36</f>
        <v>48921.873</v>
      </c>
      <c r="D97" s="18">
        <f t="shared" ref="D97:O97" si="2">+D33+D36</f>
        <v>48174.964</v>
      </c>
      <c r="E97" s="18">
        <f t="shared" si="2"/>
        <v>0</v>
      </c>
      <c r="F97" s="18">
        <f t="shared" si="2"/>
        <v>0</v>
      </c>
      <c r="G97" s="18">
        <f t="shared" si="2"/>
        <v>0</v>
      </c>
      <c r="H97" s="18">
        <f t="shared" si="2"/>
        <v>0</v>
      </c>
      <c r="I97" s="18">
        <f t="shared" si="2"/>
        <v>0</v>
      </c>
      <c r="J97" s="18">
        <f t="shared" si="2"/>
        <v>0</v>
      </c>
      <c r="K97" s="18">
        <f t="shared" si="2"/>
        <v>0</v>
      </c>
      <c r="L97" s="18">
        <f t="shared" si="2"/>
        <v>0</v>
      </c>
      <c r="M97" s="18">
        <f t="shared" si="2"/>
        <v>0</v>
      </c>
      <c r="N97" s="18">
        <f t="shared" si="2"/>
        <v>0</v>
      </c>
      <c r="O97" s="18">
        <f t="shared" si="2"/>
        <v>0</v>
      </c>
    </row>
    <row r="98" spans="1:15">
      <c r="A98">
        <f>+月次BS!A99</f>
        <v>0</v>
      </c>
      <c r="B98" s="19" t="s">
        <v>364</v>
      </c>
      <c r="C98" s="127">
        <f>+C63+C67</f>
        <v>135225</v>
      </c>
      <c r="D98" s="18">
        <f t="shared" ref="D98:O98" si="3">+D63+D67</f>
        <v>134745</v>
      </c>
      <c r="E98" s="18">
        <f t="shared" si="3"/>
        <v>0</v>
      </c>
      <c r="F98" s="18">
        <f t="shared" si="3"/>
        <v>0</v>
      </c>
      <c r="G98" s="18">
        <f t="shared" si="3"/>
        <v>0</v>
      </c>
      <c r="H98" s="18">
        <f t="shared" si="3"/>
        <v>0</v>
      </c>
      <c r="I98" s="18">
        <f t="shared" si="3"/>
        <v>0</v>
      </c>
      <c r="J98" s="18">
        <f t="shared" si="3"/>
        <v>0</v>
      </c>
      <c r="K98" s="18">
        <f t="shared" si="3"/>
        <v>0</v>
      </c>
      <c r="L98" s="18">
        <f t="shared" si="3"/>
        <v>0</v>
      </c>
      <c r="M98" s="18">
        <f t="shared" si="3"/>
        <v>0</v>
      </c>
      <c r="N98" s="18">
        <f t="shared" si="3"/>
        <v>0</v>
      </c>
      <c r="O98" s="18">
        <f t="shared" si="3"/>
        <v>0</v>
      </c>
    </row>
    <row r="99" spans="1:15">
      <c r="A99">
        <f>+月次BS!A100</f>
        <v>0</v>
      </c>
      <c r="B99" s="19">
        <f>+月次BS!B100</f>
        <v>0</v>
      </c>
      <c r="C99" s="127">
        <f>+月次BS!C100/1000</f>
        <v>0</v>
      </c>
      <c r="D99" s="18">
        <f>+月次BS!D100/1000</f>
        <v>0</v>
      </c>
      <c r="E99" s="18">
        <f>+月次BS!E100/1000</f>
        <v>0</v>
      </c>
      <c r="F99" s="18">
        <f>+月次BS!F100/1000</f>
        <v>0</v>
      </c>
      <c r="G99" s="18">
        <f>+月次BS!G100/1000</f>
        <v>0</v>
      </c>
      <c r="H99" s="18">
        <f>+月次BS!H100/1000</f>
        <v>0</v>
      </c>
      <c r="I99" s="18">
        <f>+月次BS!I100/1000</f>
        <v>0</v>
      </c>
      <c r="J99" s="18">
        <f>+月次BS!J100/1000</f>
        <v>0</v>
      </c>
      <c r="K99" s="18">
        <f>+月次BS!K100/1000</f>
        <v>0</v>
      </c>
      <c r="L99" s="18">
        <f>+月次BS!L100/1000</f>
        <v>0</v>
      </c>
      <c r="M99" s="18">
        <f>+月次BS!M100/1000</f>
        <v>0</v>
      </c>
      <c r="N99" s="18">
        <f>+月次BS!N100/1000</f>
        <v>0</v>
      </c>
      <c r="O99" s="18">
        <f>+月次BS!O100/1000</f>
        <v>0</v>
      </c>
    </row>
    <row r="100" spans="1:15">
      <c r="A100">
        <f>+月次BS!A101</f>
        <v>0</v>
      </c>
      <c r="B100" s="19">
        <f>+月次BS!B101</f>
        <v>0</v>
      </c>
      <c r="C100" s="127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7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7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7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65"/>
  <sheetViews>
    <sheetView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C33" sqref="C33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3" customWidth="1"/>
    <col min="16" max="16384" width="9" style="2"/>
  </cols>
  <sheetData>
    <row r="1" spans="1:15" s="111" customFormat="1" ht="16.899999999999999" thickBot="1">
      <c r="B1" s="111" t="s">
        <v>0</v>
      </c>
      <c r="C1" s="125" t="str">
        <f>+月次BS!D1</f>
        <v>7月</v>
      </c>
      <c r="D1" s="125" t="str">
        <f>+月次BS!E1</f>
        <v>8月</v>
      </c>
      <c r="E1" s="125" t="str">
        <f>+月次BS!F1</f>
        <v>9月</v>
      </c>
      <c r="F1" s="125" t="str">
        <f>+月次BS!G1</f>
        <v>10月</v>
      </c>
      <c r="G1" s="125" t="str">
        <f>+月次BS!H1</f>
        <v>11月</v>
      </c>
      <c r="H1" s="125" t="str">
        <f>+月次BS!I1</f>
        <v>12月</v>
      </c>
      <c r="I1" s="125" t="str">
        <f>+月次BS!J1</f>
        <v>1月</v>
      </c>
      <c r="J1" s="125" t="str">
        <f>+月次BS!K1</f>
        <v>2月</v>
      </c>
      <c r="K1" s="125">
        <f>+月次BS!L1</f>
        <v>3</v>
      </c>
      <c r="L1" s="125">
        <f>+月次BS!M1</f>
        <v>4</v>
      </c>
      <c r="M1" s="125" t="str">
        <f>+月次BS!N1</f>
        <v>5月</v>
      </c>
      <c r="N1" s="125" t="str">
        <f>+月次BS!O1</f>
        <v>6月</v>
      </c>
      <c r="O1" s="112" t="s">
        <v>205</v>
      </c>
    </row>
    <row r="2" spans="1:15" ht="16.899999999999999" thickTop="1">
      <c r="A2" s="2" t="s">
        <v>3</v>
      </c>
    </row>
    <row r="3" spans="1:15">
      <c r="B3" s="2" t="s">
        <v>4</v>
      </c>
      <c r="C3" s="2">
        <v>7101672</v>
      </c>
      <c r="O3" s="118">
        <f>SUM(C3:N3)</f>
        <v>7101672</v>
      </c>
    </row>
    <row r="4" spans="1:15">
      <c r="B4" s="2" t="s">
        <v>5</v>
      </c>
      <c r="O4" s="118">
        <f t="shared" ref="O4:O64" si="0">SUM(C4:N4)</f>
        <v>0</v>
      </c>
    </row>
    <row r="5" spans="1:15">
      <c r="B5" s="2" t="s">
        <v>139</v>
      </c>
      <c r="C5" s="2">
        <v>883931</v>
      </c>
      <c r="O5" s="118">
        <f t="shared" si="0"/>
        <v>883931</v>
      </c>
    </row>
    <row r="6" spans="1:15">
      <c r="B6" s="2" t="s">
        <v>225</v>
      </c>
      <c r="C6" s="2">
        <v>645682</v>
      </c>
      <c r="O6" s="118">
        <f t="shared" si="0"/>
        <v>645682</v>
      </c>
    </row>
    <row r="7" spans="1:15">
      <c r="B7" s="2" t="s">
        <v>6</v>
      </c>
      <c r="O7" s="118">
        <f t="shared" si="0"/>
        <v>0</v>
      </c>
    </row>
    <row r="8" spans="1:15" s="114" customFormat="1">
      <c r="A8" s="114" t="s">
        <v>7</v>
      </c>
      <c r="C8" s="115">
        <f t="shared" ref="C8:N8" si="1">+SUM(C3:C7)</f>
        <v>8631285</v>
      </c>
      <c r="D8" s="115">
        <f t="shared" si="1"/>
        <v>0</v>
      </c>
      <c r="E8" s="115">
        <f t="shared" si="1"/>
        <v>0</v>
      </c>
      <c r="F8" s="115">
        <f t="shared" si="1"/>
        <v>0</v>
      </c>
      <c r="G8" s="115">
        <f t="shared" si="1"/>
        <v>0</v>
      </c>
      <c r="H8" s="115">
        <f t="shared" si="1"/>
        <v>0</v>
      </c>
      <c r="I8" s="115">
        <f t="shared" si="1"/>
        <v>0</v>
      </c>
      <c r="J8" s="115">
        <f t="shared" si="1"/>
        <v>0</v>
      </c>
      <c r="K8" s="115">
        <f t="shared" si="1"/>
        <v>0</v>
      </c>
      <c r="L8" s="115">
        <f t="shared" si="1"/>
        <v>0</v>
      </c>
      <c r="M8" s="115">
        <f t="shared" si="1"/>
        <v>0</v>
      </c>
      <c r="N8" s="115">
        <f t="shared" si="1"/>
        <v>0</v>
      </c>
      <c r="O8" s="119">
        <f t="shared" si="0"/>
        <v>8631285</v>
      </c>
    </row>
    <row r="9" spans="1:15">
      <c r="A9" s="2" t="s">
        <v>8</v>
      </c>
      <c r="O9" s="118">
        <f t="shared" si="0"/>
        <v>0</v>
      </c>
    </row>
    <row r="10" spans="1:15">
      <c r="B10" s="2" t="s">
        <v>9</v>
      </c>
      <c r="C10" s="2">
        <v>1323276</v>
      </c>
      <c r="O10" s="118">
        <f t="shared" si="0"/>
        <v>1323276</v>
      </c>
    </row>
    <row r="11" spans="1:15">
      <c r="B11" s="2" t="s">
        <v>10</v>
      </c>
      <c r="C11" s="2">
        <v>1027204</v>
      </c>
      <c r="O11" s="118">
        <f t="shared" si="0"/>
        <v>1027204</v>
      </c>
    </row>
    <row r="12" spans="1:15">
      <c r="B12" s="2" t="s">
        <v>11</v>
      </c>
      <c r="C12" s="2">
        <v>994211</v>
      </c>
      <c r="O12" s="118">
        <f t="shared" si="0"/>
        <v>994211</v>
      </c>
    </row>
    <row r="13" spans="1:15">
      <c r="B13" s="2" t="s">
        <v>191</v>
      </c>
      <c r="O13" s="118">
        <f t="shared" si="0"/>
        <v>0</v>
      </c>
    </row>
    <row r="14" spans="1:15">
      <c r="B14" s="2" t="s">
        <v>12</v>
      </c>
      <c r="C14" s="2">
        <v>1323415</v>
      </c>
      <c r="O14" s="118">
        <f t="shared" si="0"/>
        <v>1323415</v>
      </c>
    </row>
    <row r="15" spans="1:15" s="114" customFormat="1">
      <c r="A15" s="114" t="s">
        <v>8</v>
      </c>
      <c r="C15" s="115">
        <f>+C10+C11+C12-C13-C14</f>
        <v>2021276</v>
      </c>
      <c r="D15" s="115">
        <f t="shared" ref="D15:M15" si="2">+D10+D11+D12-D13-D14</f>
        <v>0</v>
      </c>
      <c r="E15" s="115">
        <f t="shared" si="2"/>
        <v>0</v>
      </c>
      <c r="F15" s="115">
        <f t="shared" si="2"/>
        <v>0</v>
      </c>
      <c r="G15" s="115">
        <f t="shared" si="2"/>
        <v>0</v>
      </c>
      <c r="H15" s="115">
        <f t="shared" si="2"/>
        <v>0</v>
      </c>
      <c r="I15" s="115">
        <f t="shared" si="2"/>
        <v>0</v>
      </c>
      <c r="J15" s="115">
        <f t="shared" si="2"/>
        <v>0</v>
      </c>
      <c r="K15" s="115">
        <f t="shared" si="2"/>
        <v>0</v>
      </c>
      <c r="L15" s="115">
        <f t="shared" si="2"/>
        <v>0</v>
      </c>
      <c r="M15" s="115">
        <f t="shared" si="2"/>
        <v>0</v>
      </c>
      <c r="N15" s="115">
        <f t="shared" ref="N15" si="3">+N10+N11+N12-N13-N14</f>
        <v>0</v>
      </c>
      <c r="O15" s="119">
        <f t="shared" si="0"/>
        <v>2021276</v>
      </c>
    </row>
    <row r="16" spans="1:15" s="116" customFormat="1" ht="16.899999999999999" thickBot="1">
      <c r="A16" s="116" t="s">
        <v>13</v>
      </c>
      <c r="C16" s="117">
        <f>+C8-C15</f>
        <v>6610009</v>
      </c>
      <c r="D16" s="117">
        <f t="shared" ref="D16:M16" si="4">+D8-D15</f>
        <v>0</v>
      </c>
      <c r="E16" s="117">
        <f t="shared" si="4"/>
        <v>0</v>
      </c>
      <c r="F16" s="117">
        <f t="shared" si="4"/>
        <v>0</v>
      </c>
      <c r="G16" s="117">
        <f t="shared" si="4"/>
        <v>0</v>
      </c>
      <c r="H16" s="117">
        <f t="shared" si="4"/>
        <v>0</v>
      </c>
      <c r="I16" s="117">
        <f t="shared" si="4"/>
        <v>0</v>
      </c>
      <c r="J16" s="117">
        <f t="shared" si="4"/>
        <v>0</v>
      </c>
      <c r="K16" s="117">
        <f t="shared" si="4"/>
        <v>0</v>
      </c>
      <c r="L16" s="117">
        <f t="shared" si="4"/>
        <v>0</v>
      </c>
      <c r="M16" s="117">
        <f t="shared" si="4"/>
        <v>0</v>
      </c>
      <c r="N16" s="117">
        <f t="shared" ref="N16" si="5">+N8-N15</f>
        <v>0</v>
      </c>
      <c r="O16" s="120">
        <f t="shared" si="0"/>
        <v>6610009</v>
      </c>
    </row>
    <row r="17" spans="1:15" ht="16.899999999999999" thickTop="1">
      <c r="A17" s="2" t="s">
        <v>14</v>
      </c>
      <c r="O17" s="118">
        <f t="shared" si="0"/>
        <v>0</v>
      </c>
    </row>
    <row r="18" spans="1:15" s="166" customFormat="1">
      <c r="B18" s="168" t="s">
        <v>15</v>
      </c>
      <c r="C18" s="168">
        <v>500000</v>
      </c>
      <c r="D18" s="168"/>
      <c r="E18" s="168"/>
      <c r="F18" s="168"/>
      <c r="G18" s="168"/>
      <c r="H18" s="168"/>
      <c r="I18" s="169"/>
      <c r="J18" s="168"/>
      <c r="K18" s="168"/>
      <c r="L18" s="168"/>
      <c r="M18" s="168"/>
      <c r="N18" s="168"/>
      <c r="O18" s="170">
        <f t="shared" si="0"/>
        <v>500000</v>
      </c>
    </row>
    <row r="19" spans="1:15" s="57" customFormat="1">
      <c r="B19" s="171" t="s">
        <v>214</v>
      </c>
      <c r="C19" s="171">
        <v>350000</v>
      </c>
      <c r="D19" s="171"/>
      <c r="E19" s="171"/>
      <c r="F19" s="171"/>
      <c r="G19" s="171"/>
      <c r="H19" s="171"/>
      <c r="I19" s="172"/>
      <c r="J19" s="171"/>
      <c r="K19" s="171"/>
      <c r="L19" s="171"/>
      <c r="M19" s="171"/>
      <c r="N19" s="171"/>
      <c r="O19" s="173">
        <f t="shared" si="0"/>
        <v>350000</v>
      </c>
    </row>
    <row r="20" spans="1:15" s="57" customFormat="1">
      <c r="B20" s="171" t="s">
        <v>221</v>
      </c>
      <c r="C20" s="171"/>
      <c r="D20" s="171"/>
      <c r="E20" s="171"/>
      <c r="F20" s="171"/>
      <c r="G20" s="171"/>
      <c r="H20" s="171"/>
      <c r="I20" s="172"/>
      <c r="J20" s="171"/>
      <c r="K20" s="171"/>
      <c r="L20" s="171"/>
      <c r="M20" s="171"/>
      <c r="N20" s="171"/>
      <c r="O20" s="173">
        <f t="shared" si="0"/>
        <v>0</v>
      </c>
    </row>
    <row r="21" spans="1:15" s="57" customFormat="1">
      <c r="B21" s="171" t="s">
        <v>16</v>
      </c>
      <c r="C21" s="171">
        <v>1055055</v>
      </c>
      <c r="D21" s="171"/>
      <c r="E21" s="171"/>
      <c r="F21" s="171"/>
      <c r="G21" s="171"/>
      <c r="H21" s="171"/>
      <c r="I21" s="172"/>
      <c r="J21" s="171"/>
      <c r="K21" s="171"/>
      <c r="L21" s="171"/>
      <c r="M21" s="171"/>
      <c r="N21" s="171"/>
      <c r="O21" s="173">
        <f t="shared" si="0"/>
        <v>1055055</v>
      </c>
    </row>
    <row r="22" spans="1:15" s="57" customFormat="1">
      <c r="B22" s="171" t="s">
        <v>17</v>
      </c>
      <c r="C22" s="171">
        <v>219083</v>
      </c>
      <c r="D22" s="171"/>
      <c r="E22" s="171"/>
      <c r="F22" s="171"/>
      <c r="G22" s="171"/>
      <c r="H22" s="171"/>
      <c r="I22" s="172"/>
      <c r="J22" s="171"/>
      <c r="K22" s="171"/>
      <c r="L22" s="171"/>
      <c r="M22" s="171"/>
      <c r="N22" s="171"/>
      <c r="O22" s="173">
        <f t="shared" si="0"/>
        <v>219083</v>
      </c>
    </row>
    <row r="23" spans="1:15" s="57" customFormat="1">
      <c r="B23" s="171" t="s">
        <v>18</v>
      </c>
      <c r="C23" s="171"/>
      <c r="D23" s="171"/>
      <c r="E23" s="171"/>
      <c r="F23" s="171"/>
      <c r="G23" s="171"/>
      <c r="H23" s="171"/>
      <c r="I23" s="172"/>
      <c r="J23" s="171"/>
      <c r="K23" s="171"/>
      <c r="L23" s="171"/>
      <c r="M23" s="171"/>
      <c r="N23" s="171"/>
      <c r="O23" s="173">
        <f t="shared" si="0"/>
        <v>0</v>
      </c>
    </row>
    <row r="24" spans="1:15" s="167" customFormat="1">
      <c r="B24" s="174" t="s">
        <v>19</v>
      </c>
      <c r="C24" s="174">
        <v>338738</v>
      </c>
      <c r="D24" s="174"/>
      <c r="E24" s="174"/>
      <c r="F24" s="174"/>
      <c r="G24" s="174"/>
      <c r="H24" s="174"/>
      <c r="I24" s="175"/>
      <c r="J24" s="174"/>
      <c r="K24" s="174"/>
      <c r="L24" s="174"/>
      <c r="M24" s="174"/>
      <c r="N24" s="174"/>
      <c r="O24" s="176">
        <f t="shared" si="0"/>
        <v>338738</v>
      </c>
    </row>
    <row r="25" spans="1:15" s="177" customFormat="1">
      <c r="B25" s="177" t="s">
        <v>20</v>
      </c>
      <c r="C25" s="177">
        <v>124456</v>
      </c>
      <c r="I25" s="178"/>
      <c r="O25" s="173">
        <f t="shared" si="0"/>
        <v>124456</v>
      </c>
    </row>
    <row r="26" spans="1:15" s="177" customFormat="1">
      <c r="B26" s="177" t="s">
        <v>21</v>
      </c>
      <c r="I26" s="178"/>
      <c r="O26" s="173">
        <f t="shared" si="0"/>
        <v>0</v>
      </c>
    </row>
    <row r="27" spans="1:15" s="177" customFormat="1">
      <c r="B27" s="177" t="s">
        <v>22</v>
      </c>
      <c r="C27" s="177">
        <v>41261</v>
      </c>
      <c r="I27" s="178"/>
      <c r="O27" s="173">
        <f t="shared" si="0"/>
        <v>41261</v>
      </c>
    </row>
    <row r="28" spans="1:15" s="177" customFormat="1">
      <c r="B28" s="177" t="s">
        <v>23</v>
      </c>
      <c r="C28" s="177">
        <v>62422</v>
      </c>
      <c r="I28" s="178"/>
      <c r="O28" s="173">
        <f t="shared" si="0"/>
        <v>62422</v>
      </c>
    </row>
    <row r="29" spans="1:15" s="177" customFormat="1">
      <c r="B29" s="177" t="s">
        <v>24</v>
      </c>
      <c r="C29" s="177">
        <v>659468</v>
      </c>
      <c r="I29" s="178"/>
      <c r="O29" s="173">
        <f t="shared" si="0"/>
        <v>659468</v>
      </c>
    </row>
    <row r="30" spans="1:15" s="177" customFormat="1">
      <c r="B30" s="177" t="s">
        <v>25</v>
      </c>
      <c r="I30" s="178"/>
      <c r="O30" s="173">
        <f t="shared" si="0"/>
        <v>0</v>
      </c>
    </row>
    <row r="31" spans="1:15" s="177" customFormat="1">
      <c r="B31" s="177" t="s">
        <v>26</v>
      </c>
      <c r="C31" s="177">
        <v>207018</v>
      </c>
      <c r="I31" s="178"/>
      <c r="O31" s="173">
        <f t="shared" si="0"/>
        <v>207018</v>
      </c>
    </row>
    <row r="32" spans="1:15" s="177" customFormat="1">
      <c r="B32" s="177" t="s">
        <v>27</v>
      </c>
      <c r="C32" s="177">
        <v>49700</v>
      </c>
      <c r="I32" s="178"/>
      <c r="O32" s="173">
        <f t="shared" si="0"/>
        <v>49700</v>
      </c>
    </row>
    <row r="33" spans="1:15" s="177" customFormat="1">
      <c r="B33" s="177" t="s">
        <v>28</v>
      </c>
      <c r="C33" s="177">
        <v>1295661</v>
      </c>
      <c r="I33" s="178"/>
      <c r="O33" s="173">
        <f t="shared" si="0"/>
        <v>1295661</v>
      </c>
    </row>
    <row r="34" spans="1:15" s="177" customFormat="1">
      <c r="B34" s="177" t="s">
        <v>29</v>
      </c>
      <c r="C34" s="177">
        <v>30000</v>
      </c>
      <c r="I34" s="178"/>
      <c r="O34" s="173">
        <f t="shared" si="0"/>
        <v>30000</v>
      </c>
    </row>
    <row r="35" spans="1:15" s="177" customFormat="1">
      <c r="B35" s="177" t="s">
        <v>30</v>
      </c>
      <c r="C35" s="177">
        <v>28375</v>
      </c>
      <c r="I35" s="178"/>
      <c r="O35" s="173">
        <f t="shared" si="0"/>
        <v>28375</v>
      </c>
    </row>
    <row r="36" spans="1:15" s="177" customFormat="1">
      <c r="B36" s="177" t="s">
        <v>31</v>
      </c>
      <c r="C36" s="177">
        <v>124000</v>
      </c>
      <c r="I36" s="178"/>
      <c r="O36" s="173">
        <f t="shared" si="0"/>
        <v>124000</v>
      </c>
    </row>
    <row r="37" spans="1:15" s="177" customFormat="1">
      <c r="B37" s="177" t="s">
        <v>32</v>
      </c>
      <c r="C37" s="177">
        <v>208468</v>
      </c>
      <c r="I37" s="178"/>
      <c r="O37" s="173">
        <f t="shared" si="0"/>
        <v>208468</v>
      </c>
    </row>
    <row r="38" spans="1:15" s="177" customFormat="1">
      <c r="B38" s="177" t="s">
        <v>193</v>
      </c>
      <c r="C38" s="177">
        <v>7273</v>
      </c>
      <c r="I38" s="178"/>
      <c r="O38" s="173">
        <f t="shared" si="0"/>
        <v>7273</v>
      </c>
    </row>
    <row r="39" spans="1:15" s="177" customFormat="1">
      <c r="B39" s="177" t="s">
        <v>33</v>
      </c>
      <c r="I39" s="178"/>
      <c r="O39" s="173">
        <f t="shared" si="0"/>
        <v>0</v>
      </c>
    </row>
    <row r="40" spans="1:15" s="177" customFormat="1">
      <c r="B40" s="177" t="s">
        <v>34</v>
      </c>
      <c r="C40" s="177">
        <v>749954</v>
      </c>
      <c r="I40" s="178"/>
      <c r="O40" s="173">
        <f t="shared" si="0"/>
        <v>749954</v>
      </c>
    </row>
    <row r="41" spans="1:15">
      <c r="B41" s="2" t="s">
        <v>35</v>
      </c>
      <c r="C41" s="2">
        <v>74929</v>
      </c>
      <c r="I41" s="123"/>
      <c r="O41" s="118">
        <f t="shared" si="0"/>
        <v>74929</v>
      </c>
    </row>
    <row r="42" spans="1:15">
      <c r="B42" s="2" t="s">
        <v>36</v>
      </c>
      <c r="C42" s="2">
        <v>70000</v>
      </c>
      <c r="I42" s="123"/>
      <c r="O42" s="118">
        <f t="shared" si="0"/>
        <v>70000</v>
      </c>
    </row>
    <row r="43" spans="1:15" s="177" customFormat="1">
      <c r="B43" s="177" t="s">
        <v>186</v>
      </c>
      <c r="I43" s="178"/>
      <c r="O43" s="173">
        <f t="shared" si="0"/>
        <v>0</v>
      </c>
    </row>
    <row r="44" spans="1:15" s="114" customFormat="1">
      <c r="A44" s="114" t="s">
        <v>37</v>
      </c>
      <c r="C44" s="115">
        <f>+SUM(C18:C43)</f>
        <v>6195861</v>
      </c>
      <c r="D44" s="115">
        <f t="shared" ref="D44:M44" si="6">+SUM(D18:D43)</f>
        <v>0</v>
      </c>
      <c r="E44" s="115">
        <f t="shared" si="6"/>
        <v>0</v>
      </c>
      <c r="F44" s="115">
        <f t="shared" si="6"/>
        <v>0</v>
      </c>
      <c r="G44" s="115">
        <f t="shared" si="6"/>
        <v>0</v>
      </c>
      <c r="H44" s="115">
        <f t="shared" si="6"/>
        <v>0</v>
      </c>
      <c r="I44" s="115">
        <f t="shared" si="6"/>
        <v>0</v>
      </c>
      <c r="J44" s="115">
        <f t="shared" si="6"/>
        <v>0</v>
      </c>
      <c r="K44" s="115">
        <f t="shared" si="6"/>
        <v>0</v>
      </c>
      <c r="L44" s="115">
        <f t="shared" si="6"/>
        <v>0</v>
      </c>
      <c r="M44" s="115">
        <f t="shared" si="6"/>
        <v>0</v>
      </c>
      <c r="N44" s="115">
        <f t="shared" ref="N44" si="7">+SUM(N18:N43)</f>
        <v>0</v>
      </c>
      <c r="O44" s="119">
        <f t="shared" si="0"/>
        <v>6195861</v>
      </c>
    </row>
    <row r="45" spans="1:15" s="116" customFormat="1" ht="16.899999999999999" thickBot="1">
      <c r="A45" s="116" t="s">
        <v>38</v>
      </c>
      <c r="C45" s="117">
        <f>+C16-C44</f>
        <v>414148</v>
      </c>
      <c r="D45" s="117">
        <f t="shared" ref="D45:M45" si="8">+D16-D44</f>
        <v>0</v>
      </c>
      <c r="E45" s="117">
        <f t="shared" si="8"/>
        <v>0</v>
      </c>
      <c r="F45" s="117">
        <f t="shared" si="8"/>
        <v>0</v>
      </c>
      <c r="G45" s="117">
        <f t="shared" si="8"/>
        <v>0</v>
      </c>
      <c r="H45" s="117">
        <f t="shared" si="8"/>
        <v>0</v>
      </c>
      <c r="I45" s="117">
        <f t="shared" si="8"/>
        <v>0</v>
      </c>
      <c r="J45" s="117">
        <f t="shared" si="8"/>
        <v>0</v>
      </c>
      <c r="K45" s="117">
        <f t="shared" si="8"/>
        <v>0</v>
      </c>
      <c r="L45" s="117">
        <f t="shared" si="8"/>
        <v>0</v>
      </c>
      <c r="M45" s="117">
        <f t="shared" si="8"/>
        <v>0</v>
      </c>
      <c r="N45" s="117">
        <f t="shared" ref="N45" si="9">+N16-N44</f>
        <v>0</v>
      </c>
      <c r="O45" s="120">
        <f t="shared" si="0"/>
        <v>414148</v>
      </c>
    </row>
    <row r="46" spans="1:15" ht="16.899999999999999" thickTop="1">
      <c r="A46" s="2" t="s">
        <v>39</v>
      </c>
      <c r="O46" s="118">
        <f t="shared" si="0"/>
        <v>0</v>
      </c>
    </row>
    <row r="47" spans="1:15">
      <c r="B47" s="2" t="s">
        <v>40</v>
      </c>
      <c r="O47" s="118">
        <f t="shared" si="0"/>
        <v>0</v>
      </c>
    </row>
    <row r="48" spans="1:15">
      <c r="B48" s="2" t="s">
        <v>196</v>
      </c>
      <c r="O48" s="118">
        <f t="shared" si="0"/>
        <v>0</v>
      </c>
    </row>
    <row r="49" spans="1:15">
      <c r="B49" s="2" t="s">
        <v>41</v>
      </c>
      <c r="O49" s="118">
        <f t="shared" si="0"/>
        <v>0</v>
      </c>
    </row>
    <row r="50" spans="1:15" s="114" customFormat="1">
      <c r="A50" s="114" t="s">
        <v>42</v>
      </c>
      <c r="O50" s="119">
        <f t="shared" si="0"/>
        <v>0</v>
      </c>
    </row>
    <row r="51" spans="1:15">
      <c r="A51" s="2" t="s">
        <v>43</v>
      </c>
      <c r="O51" s="118">
        <f t="shared" si="0"/>
        <v>0</v>
      </c>
    </row>
    <row r="52" spans="1:15">
      <c r="B52" s="2" t="s">
        <v>44</v>
      </c>
      <c r="C52" s="2">
        <v>146486</v>
      </c>
      <c r="O52" s="118">
        <f t="shared" si="0"/>
        <v>146486</v>
      </c>
    </row>
    <row r="53" spans="1:15">
      <c r="B53" s="2" t="s">
        <v>45</v>
      </c>
      <c r="O53" s="118">
        <f t="shared" si="0"/>
        <v>0</v>
      </c>
    </row>
    <row r="54" spans="1:15">
      <c r="B54" s="2" t="s">
        <v>46</v>
      </c>
      <c r="O54" s="118">
        <f t="shared" si="0"/>
        <v>0</v>
      </c>
    </row>
    <row r="55" spans="1:15" s="114" customFormat="1">
      <c r="A55" s="114" t="s">
        <v>47</v>
      </c>
      <c r="C55" s="114">
        <v>146486</v>
      </c>
      <c r="O55" s="119">
        <f t="shared" si="0"/>
        <v>146486</v>
      </c>
    </row>
    <row r="56" spans="1:15" s="116" customFormat="1" ht="16.899999999999999" thickBot="1">
      <c r="A56" s="116" t="s">
        <v>48</v>
      </c>
      <c r="C56" s="117">
        <f>+C45+C50-C55</f>
        <v>267662</v>
      </c>
      <c r="D56" s="117">
        <f t="shared" ref="D56:N56" si="10">+D45+D50-D55</f>
        <v>0</v>
      </c>
      <c r="E56" s="117">
        <f t="shared" si="10"/>
        <v>0</v>
      </c>
      <c r="F56" s="117">
        <f t="shared" si="10"/>
        <v>0</v>
      </c>
      <c r="G56" s="117">
        <f t="shared" si="10"/>
        <v>0</v>
      </c>
      <c r="H56" s="117">
        <f t="shared" si="10"/>
        <v>0</v>
      </c>
      <c r="I56" s="117">
        <f t="shared" si="10"/>
        <v>0</v>
      </c>
      <c r="J56" s="117">
        <f t="shared" si="10"/>
        <v>0</v>
      </c>
      <c r="K56" s="117">
        <f t="shared" si="10"/>
        <v>0</v>
      </c>
      <c r="L56" s="117">
        <f t="shared" si="10"/>
        <v>0</v>
      </c>
      <c r="M56" s="117">
        <f t="shared" si="10"/>
        <v>0</v>
      </c>
      <c r="N56" s="117">
        <f t="shared" si="10"/>
        <v>0</v>
      </c>
      <c r="O56" s="120">
        <f t="shared" si="0"/>
        <v>267662</v>
      </c>
    </row>
    <row r="57" spans="1:15" ht="16.899999999999999" thickTop="1">
      <c r="A57" s="2" t="s">
        <v>49</v>
      </c>
      <c r="O57" s="118">
        <f t="shared" si="0"/>
        <v>0</v>
      </c>
    </row>
    <row r="58" spans="1:15" s="114" customFormat="1">
      <c r="A58" s="114" t="s">
        <v>50</v>
      </c>
      <c r="O58" s="119">
        <f t="shared" si="0"/>
        <v>0</v>
      </c>
    </row>
    <row r="59" spans="1:15">
      <c r="A59" s="2" t="s">
        <v>51</v>
      </c>
      <c r="O59" s="118">
        <f t="shared" si="0"/>
        <v>0</v>
      </c>
    </row>
    <row r="60" spans="1:15" s="114" customFormat="1">
      <c r="A60" s="114" t="s">
        <v>52</v>
      </c>
      <c r="O60" s="119">
        <f t="shared" si="0"/>
        <v>0</v>
      </c>
    </row>
    <row r="61" spans="1:15">
      <c r="A61" s="2" t="s">
        <v>53</v>
      </c>
      <c r="O61" s="118">
        <f t="shared" si="0"/>
        <v>0</v>
      </c>
    </row>
    <row r="62" spans="1:15" s="116" customFormat="1" ht="16.899999999999999" thickBot="1">
      <c r="A62" s="116" t="s">
        <v>54</v>
      </c>
      <c r="C62" s="117">
        <f>+C56+C58-C60</f>
        <v>267662</v>
      </c>
      <c r="D62" s="117">
        <f t="shared" ref="D62:M62" si="11">+D56+D58-D60</f>
        <v>0</v>
      </c>
      <c r="E62" s="117">
        <f t="shared" si="11"/>
        <v>0</v>
      </c>
      <c r="F62" s="117">
        <f t="shared" si="11"/>
        <v>0</v>
      </c>
      <c r="G62" s="117">
        <f t="shared" si="11"/>
        <v>0</v>
      </c>
      <c r="H62" s="117">
        <f t="shared" si="11"/>
        <v>0</v>
      </c>
      <c r="I62" s="117">
        <f t="shared" si="11"/>
        <v>0</v>
      </c>
      <c r="J62" s="117">
        <f t="shared" si="11"/>
        <v>0</v>
      </c>
      <c r="K62" s="117">
        <f t="shared" si="11"/>
        <v>0</v>
      </c>
      <c r="L62" s="117">
        <f t="shared" si="11"/>
        <v>0</v>
      </c>
      <c r="M62" s="117">
        <f t="shared" si="11"/>
        <v>0</v>
      </c>
      <c r="N62" s="117">
        <f t="shared" ref="N62" si="12">+N56+N58-N60</f>
        <v>0</v>
      </c>
      <c r="O62" s="120">
        <f t="shared" si="0"/>
        <v>267662</v>
      </c>
    </row>
    <row r="63" spans="1:15" ht="16.899999999999999" thickTop="1">
      <c r="B63" s="2" t="s">
        <v>197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N63" s="121"/>
      <c r="O63" s="118">
        <f t="shared" si="0"/>
        <v>0</v>
      </c>
    </row>
    <row r="64" spans="1:15" s="116" customFormat="1" ht="16.899999999999999" thickBot="1">
      <c r="A64" s="116" t="s">
        <v>55</v>
      </c>
      <c r="C64" s="117">
        <f>+C62-C63</f>
        <v>267662</v>
      </c>
      <c r="D64" s="117">
        <f t="shared" ref="D64:M64" si="13">+D62-D63</f>
        <v>0</v>
      </c>
      <c r="E64" s="117">
        <f t="shared" si="13"/>
        <v>0</v>
      </c>
      <c r="F64" s="117">
        <f t="shared" si="13"/>
        <v>0</v>
      </c>
      <c r="G64" s="117">
        <f t="shared" si="13"/>
        <v>0</v>
      </c>
      <c r="H64" s="117">
        <f t="shared" si="13"/>
        <v>0</v>
      </c>
      <c r="I64" s="117">
        <f t="shared" si="13"/>
        <v>0</v>
      </c>
      <c r="J64" s="117">
        <f t="shared" si="13"/>
        <v>0</v>
      </c>
      <c r="K64" s="117">
        <f t="shared" si="13"/>
        <v>0</v>
      </c>
      <c r="L64" s="117">
        <f t="shared" si="13"/>
        <v>0</v>
      </c>
      <c r="M64" s="117">
        <f t="shared" si="13"/>
        <v>0</v>
      </c>
      <c r="N64" s="117">
        <f t="shared" ref="N64" si="14">+N62-N63</f>
        <v>0</v>
      </c>
      <c r="O64" s="120">
        <f t="shared" si="0"/>
        <v>267662</v>
      </c>
    </row>
    <row r="6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AL94"/>
  <sheetViews>
    <sheetView tabSelected="1" topLeftCell="B2" workbookViewId="0">
      <pane xSplit="2" ySplit="8" topLeftCell="D10" activePane="bottomRight" state="frozen"/>
      <selection activeCell="B2" sqref="B2"/>
      <selection pane="topRight" activeCell="D2" sqref="D2"/>
      <selection pane="bottomLeft" activeCell="B5" sqref="B5"/>
      <selection pane="bottomRight" activeCell="AD50" sqref="AD50"/>
    </sheetView>
  </sheetViews>
  <sheetFormatPr defaultColWidth="9" defaultRowHeight="16.5" outlineLevelCol="1"/>
  <cols>
    <col min="1" max="1" width="4.625" style="1" customWidth="1"/>
    <col min="2" max="2" width="5.625" style="1" customWidth="1"/>
    <col min="3" max="3" width="12.625" style="1" customWidth="1"/>
    <col min="4" max="11" width="10.625" style="2" customWidth="1"/>
    <col min="12" max="19" width="10.625" style="2" hidden="1" customWidth="1" outlineLevel="1"/>
    <col min="20" max="20" width="10.625" style="70" hidden="1" customWidth="1" outlineLevel="1"/>
    <col min="21" max="21" width="10.625" style="2" hidden="1" customWidth="1" outlineLevel="1"/>
    <col min="22" max="22" width="10.625" style="70" hidden="1" customWidth="1" outlineLevel="1"/>
    <col min="23" max="23" width="10.625" style="2" hidden="1" customWidth="1" outlineLevel="1"/>
    <col min="24" max="24" width="10.625" style="70" hidden="1" customWidth="1" outlineLevel="1"/>
    <col min="25" max="25" width="10.625" style="2" hidden="1" customWidth="1" outlineLevel="1"/>
    <col min="26" max="26" width="10.625" style="70" hidden="1" customWidth="1" outlineLevel="1"/>
    <col min="27" max="27" width="10.625" style="2" hidden="1" customWidth="1" outlineLevel="1"/>
    <col min="28" max="28" width="9" style="1" collapsed="1"/>
    <col min="29" max="16384" width="9" style="1"/>
  </cols>
  <sheetData>
    <row r="2" spans="1:38" s="194" customFormat="1" ht="12.75">
      <c r="B2" s="194" t="s">
        <v>249</v>
      </c>
      <c r="C2" s="194" t="s">
        <v>139</v>
      </c>
      <c r="D2" s="195" t="str">
        <f>IF(D10&lt;&gt;0,IF(D10=月次PL!C8/1000,"OK",PL推移!D10-月次PL!C8/1000),"nd")</f>
        <v>OK</v>
      </c>
      <c r="E2" s="195"/>
      <c r="F2" s="195" t="str">
        <f>IF(F10&lt;&gt;0,IF(月次PL!D8/1000=PL推移!F10,"OK",PL推移!F10-月次PL!D8/1000),"nd")</f>
        <v>nd</v>
      </c>
      <c r="G2" s="195"/>
      <c r="H2" s="195" t="str">
        <f>IF(H10&lt;&gt;0,IF(月次PL!E8/1000=PL推移!H10,"OK",PL推移!H10-月次PL!E8/1000),"nd")</f>
        <v>nd</v>
      </c>
      <c r="I2" s="195"/>
      <c r="J2" s="195" t="str">
        <f>IF(J10&lt;&gt;0,IF(月次PL!F8/1000=PL推移!J10,"OK",PL推移!J10-月次PL!F8/1000),"nd")</f>
        <v>nd</v>
      </c>
      <c r="K2" s="195"/>
      <c r="L2" s="195" t="str">
        <f>IF(L10&lt;&gt;0,IF(月次PL!G8/1000=PL推移!L10,"OK",PL推移!L10-月次PL!G8/1000),"nd")</f>
        <v>nd</v>
      </c>
      <c r="M2" s="195"/>
      <c r="N2" s="195" t="str">
        <f>IF(N10&lt;&gt;0,IF(月次PL!H8/1000=PL推移!N10,"OK",PL推移!N10-月次PL!H8/1000),"nd")</f>
        <v>nd</v>
      </c>
      <c r="O2" s="195"/>
      <c r="P2" s="195" t="str">
        <f>IF(P10&lt;&gt;0,IF(月次PL!I8/1000=PL推移!P10,"OK",PL推移!P10-月次PL!I8/1000),"nd")</f>
        <v>nd</v>
      </c>
      <c r="Q2" s="195"/>
      <c r="R2" s="195" t="str">
        <f>IF(R10&lt;&gt;0,IF(月次PL!J8/1000=PL推移!R10,"OK",PL推移!R10-月次PL!J8/1000),"nd")</f>
        <v>nd</v>
      </c>
      <c r="S2" s="195"/>
      <c r="T2" s="195">
        <f>IF(T10&lt;&gt;0,IF(月次PL!K8/1000=PL推移!T10,"OK",PL推移!T10-月次PL!K8/1000),"nd")</f>
        <v>350</v>
      </c>
      <c r="U2" s="195"/>
      <c r="V2" s="195">
        <f>IF(V10&lt;&gt;0,IF(月次PL!L8/1000=PL推移!V10,"OK",PL推移!V10-月次PL!L8/1000),"nd")</f>
        <v>8454</v>
      </c>
      <c r="W2" s="195"/>
      <c r="X2" s="195">
        <f>IF(X10&lt;&gt;0,IF(月次PL!M8/1000=PL推移!X10,"OK",PL推移!X10-月次PL!M8/1000),"nd")</f>
        <v>9017</v>
      </c>
      <c r="Y2" s="195"/>
      <c r="Z2" s="195">
        <f>IF(Z10&lt;&gt;0,IF(月次PL!N8/1000=PL推移!Z10,"OK",PL推移!Z10-月次PL!N8/1000),"nd")</f>
        <v>8610</v>
      </c>
      <c r="AA2" s="195"/>
    </row>
    <row r="3" spans="1:38" s="194" customFormat="1" ht="12.75">
      <c r="C3" s="194" t="s">
        <v>143</v>
      </c>
      <c r="D3" s="195" t="str">
        <f>IF(D22&lt;&gt;0,IF(D22=月次PL!C16/1000,"OK",PL推移!D22-月次PL!C16/1000),"nd")</f>
        <v>OK</v>
      </c>
      <c r="E3" s="195"/>
      <c r="F3" s="195" t="str">
        <f>IF(F22&lt;&gt;0,IF(F22=月次PL!D16/1000,"OK",PL推移!F22-月次PL!D16/1000),"nd")</f>
        <v>nd</v>
      </c>
      <c r="G3" s="195"/>
      <c r="H3" s="195" t="str">
        <f>IF(H22&lt;&gt;0,IF(H22=月次PL!E16/1000,"OK",PL推移!H22-月次PL!E16/1000),"nd")</f>
        <v>nd</v>
      </c>
      <c r="I3" s="195"/>
      <c r="J3" s="195" t="str">
        <f>IF(J22&lt;&gt;0,IF(J22=月次PL!F16/1000,"OK",PL推移!J22-月次PL!F16/1000),"nd")</f>
        <v>nd</v>
      </c>
      <c r="K3" s="195"/>
      <c r="L3" s="195" t="str">
        <f>IF(L22&lt;&gt;0,IF(L22=月次PL!G16/1000,"OK",PL推移!L22-月次PL!G16/1000),"nd")</f>
        <v>nd</v>
      </c>
      <c r="M3" s="195"/>
      <c r="N3" s="195" t="str">
        <f>IF(N22&lt;&gt;0,IF(N22=月次PL!H16/1000,"OK",PL推移!N22-月次PL!H16/1000),"nd")</f>
        <v>nd</v>
      </c>
      <c r="O3" s="195"/>
      <c r="P3" s="195" t="str">
        <f>IF(P22&lt;&gt;0,IF(P22=月次PL!I16/1000,"OK",PL推移!P22-月次PL!I16/1000),"nd")</f>
        <v>nd</v>
      </c>
      <c r="Q3" s="195"/>
      <c r="R3" s="195" t="str">
        <f>IF(R22&lt;&gt;0,IF(R22=月次PL!J16/1000,"OK",PL推移!R22-月次PL!J16/1000),"nd")</f>
        <v>nd</v>
      </c>
      <c r="S3" s="195"/>
      <c r="T3" s="195">
        <f>IF(T22&lt;&gt;0,IF(T22=月次PL!K16/1000,"OK",PL推移!T22-月次PL!K16/1000),"nd")</f>
        <v>350</v>
      </c>
      <c r="U3" s="195"/>
      <c r="V3" s="195">
        <f>IF(V22&lt;&gt;0,IF(V22=月次PL!L16/1000,"OK",PL推移!V22-月次PL!L16/1000),"nd")</f>
        <v>8454</v>
      </c>
      <c r="W3" s="195"/>
      <c r="X3" s="195">
        <f>IF(X22&lt;&gt;0,IF(X22=月次PL!M16/1000,"OK",PL推移!X22-月次PL!M16/1000),"nd")</f>
        <v>9017</v>
      </c>
      <c r="Y3" s="195"/>
      <c r="Z3" s="195">
        <f>IF(Z22&lt;&gt;0,IF(Z22=月次PL!N16/1000,"OK",PL推移!Z22-月次PL!N16/1000),"nd")</f>
        <v>8610</v>
      </c>
      <c r="AA3" s="195"/>
    </row>
    <row r="4" spans="1:38" s="194" customFormat="1" ht="12.75">
      <c r="C4" s="194" t="s">
        <v>250</v>
      </c>
      <c r="D4" s="195" t="str">
        <f>IF(D28&lt;&gt;0,IF(D28=月次PL!C44/1000,"OK",PL推移!D28-月次PL!C44/1000),"nd")</f>
        <v>OK</v>
      </c>
      <c r="E4" s="195"/>
      <c r="F4" s="195" t="str">
        <f>IF(F28&lt;&gt;0,IF(F28=月次PL!D44/1000,"OK",PL推移!F28-月次PL!D44/1000),"nd")</f>
        <v>nd</v>
      </c>
      <c r="G4" s="195"/>
      <c r="H4" s="195" t="str">
        <f>IF(H28&lt;&gt;0,IF(H28=月次PL!E44/1000,"OK",PL推移!H28-月次PL!E44/1000),"nd")</f>
        <v>nd</v>
      </c>
      <c r="I4" s="195"/>
      <c r="J4" s="195" t="str">
        <f>IF(J28&lt;&gt;0,IF(J28=月次PL!F44/1000,"OK",PL推移!J28-月次PL!F44/1000),"nd")</f>
        <v>nd</v>
      </c>
      <c r="K4" s="195"/>
      <c r="L4" s="195" t="str">
        <f>IF(L28&lt;&gt;0,IF(L28=月次PL!G44/1000,"OK",PL推移!L28-月次PL!G44/1000),"nd")</f>
        <v>nd</v>
      </c>
      <c r="M4" s="195"/>
      <c r="N4" s="195" t="str">
        <f>IF(N28&lt;&gt;0,IF(N28=月次PL!H44/1000,"OK",PL推移!N28-月次PL!H44/1000),"nd")</f>
        <v>nd</v>
      </c>
      <c r="O4" s="195"/>
      <c r="P4" s="195" t="str">
        <f>IF(P28&lt;&gt;0,IF(P28=月次PL!I44/1000,"OK",PL推移!P28-月次PL!I44/1000),"nd")</f>
        <v>nd</v>
      </c>
      <c r="Q4" s="195"/>
      <c r="R4" s="195" t="str">
        <f>IF(R28&lt;&gt;0,IF(R28=月次PL!J44/1000,"OK",PL推移!R28-月次PL!J44/1000),"nd")</f>
        <v>nd</v>
      </c>
      <c r="S4" s="195"/>
      <c r="T4" s="195" t="str">
        <f>IF(T28&lt;&gt;0,IF(T28=月次PL!K44/1000,"OK",PL推移!T28-月次PL!K44/1000),"nd")</f>
        <v>nd</v>
      </c>
      <c r="U4" s="195"/>
      <c r="V4" s="195" t="str">
        <f>IF(V28&lt;&gt;0,IF(V28=月次PL!L44/1000,"OK",PL推移!V28-月次PL!L44/1000),"nd")</f>
        <v>nd</v>
      </c>
      <c r="W4" s="195"/>
      <c r="X4" s="195" t="str">
        <f>IF(X28&lt;&gt;0,IF(X28=月次PL!M44/1000,"OK",PL推移!X28-月次PL!M44/1000),"nd")</f>
        <v>nd</v>
      </c>
      <c r="Y4" s="195"/>
      <c r="Z4" s="195" t="str">
        <f>IF(Z28&lt;&gt;0,IF(Z28=月次PL!N44/1000,"OK",PL推移!Z28-月次PL!N44/1000),"nd")</f>
        <v>nd</v>
      </c>
      <c r="AA4" s="195"/>
    </row>
    <row r="5" spans="1:38" s="194" customFormat="1" ht="12.75">
      <c r="C5" s="194" t="s">
        <v>198</v>
      </c>
      <c r="D5" s="195" t="str">
        <f>IF(D50&lt;&gt;0,IF(D50=月次PL!C45/1000,"OK",PL推移!D50-月次PL!C45/1000),"nd")</f>
        <v>OK</v>
      </c>
      <c r="E5" s="195"/>
      <c r="F5" s="195" t="str">
        <f>IF(F50&lt;&gt;0,IF(F50=月次PL!D45/1000,"OK",PL推移!F50-月次PL!D45/1000),"nd")</f>
        <v>nd</v>
      </c>
      <c r="G5" s="195"/>
      <c r="H5" s="195" t="str">
        <f>IF(H50&lt;&gt;0,IF(H50=月次PL!E45/1000,"OK",PL推移!H50-月次PL!E45/1000),"nd")</f>
        <v>nd</v>
      </c>
      <c r="I5" s="195"/>
      <c r="J5" s="195" t="str">
        <f>IF(J50&lt;&gt;0,IF(J50=月次PL!F45/1000,"OK",PL推移!J50-月次PL!F45/1000),"nd")</f>
        <v>nd</v>
      </c>
      <c r="K5" s="195"/>
      <c r="L5" s="195" t="str">
        <f>IF(L50&lt;&gt;0,IF(L50=月次PL!G45/1000,"OK",PL推移!L50-月次PL!G45/1000),"nd")</f>
        <v>nd</v>
      </c>
      <c r="M5" s="195"/>
      <c r="N5" s="195" t="str">
        <f>IF(N50&lt;&gt;0,IF(N50=月次PL!H45/1000,"OK",PL推移!N50-月次PL!H45/1000),"nd")</f>
        <v>nd</v>
      </c>
      <c r="O5" s="195"/>
      <c r="P5" s="195" t="str">
        <f>IF(P50&lt;&gt;0,IF(P50=月次PL!I45/1000,"OK",PL推移!P50-月次PL!I45/1000),"nd")</f>
        <v>nd</v>
      </c>
      <c r="Q5" s="195"/>
      <c r="R5" s="195" t="str">
        <f>IF(R50&lt;&gt;0,IF(R50=月次PL!J45/1000,"OK",PL推移!R50-月次PL!J45/1000),"nd")</f>
        <v>nd</v>
      </c>
      <c r="S5" s="195"/>
      <c r="T5" s="195">
        <f>IF(T50&lt;&gt;0,IF(T50=月次PL!K45/1000,"OK",PL推移!T50-月次PL!K45/1000),"nd")</f>
        <v>350</v>
      </c>
      <c r="U5" s="195"/>
      <c r="V5" s="195">
        <f>IF(V50&lt;&gt;0,IF(V50=月次PL!L45/1000,"OK",PL推移!V50-月次PL!L45/1000),"nd")</f>
        <v>8454</v>
      </c>
      <c r="W5" s="195"/>
      <c r="X5" s="195">
        <f>IF(X50&lt;&gt;0,IF(X50=月次PL!M45/1000,"OK",PL推移!X50-月次PL!M45/1000),"nd")</f>
        <v>9017</v>
      </c>
      <c r="Y5" s="195"/>
      <c r="Z5" s="195">
        <f>IF(Z50&lt;&gt;0,IF(Z50=月次PL!N45/1000,"OK",PL推移!Z50-月次PL!N45/1000),"nd")</f>
        <v>8610</v>
      </c>
      <c r="AA5" s="195"/>
    </row>
    <row r="6" spans="1:38" s="194" customFormat="1" ht="13.15" thickBot="1">
      <c r="C6" s="194" t="s">
        <v>217</v>
      </c>
      <c r="D6" s="195" t="str">
        <f>IF(D54&lt;&gt;0,IF(D54=月次PL!C56/1000,"OK",PL推移!D54-月次PL!C56/1000),"nd")</f>
        <v>OK</v>
      </c>
      <c r="E6" s="195"/>
      <c r="F6" s="195" t="str">
        <f>IF(F54&lt;&gt;0,IF(F54=月次PL!D56/1000,"OK",PL推移!F54-月次PL!D56/1000),"nd")</f>
        <v>nd</v>
      </c>
      <c r="G6" s="195"/>
      <c r="H6" s="195" t="str">
        <f>IF(H54&lt;&gt;0,IF(H54=月次PL!E56/1000,"OK",PL推移!H54-月次PL!E56/1000),"nd")</f>
        <v>nd</v>
      </c>
      <c r="I6" s="195"/>
      <c r="J6" s="195" t="str">
        <f>IF(J54&lt;&gt;0,IF(J54=月次PL!F56/1000,"OK",PL推移!J54-月次PL!F56/1000),"nd")</f>
        <v>nd</v>
      </c>
      <c r="K6" s="195"/>
      <c r="L6" s="195" t="str">
        <f>IF(L54&lt;&gt;0,IF(L54=月次PL!G56/1000,"OK",PL推移!L54-月次PL!G56/1000),"nd")</f>
        <v>nd</v>
      </c>
      <c r="M6" s="195"/>
      <c r="N6" s="195" t="str">
        <f>IF(N54&lt;&gt;0,IF(N54=月次PL!H56/1000,"OK",PL推移!N54-月次PL!H56/1000),"nd")</f>
        <v>nd</v>
      </c>
      <c r="O6" s="195"/>
      <c r="P6" s="195" t="str">
        <f>IF(P54&lt;&gt;0,IF(P54=月次PL!I56/1000,"OK",PL推移!P54-月次PL!I56/1000),"nd")</f>
        <v>nd</v>
      </c>
      <c r="Q6" s="195"/>
      <c r="R6" s="195" t="str">
        <f>IF(R54&lt;&gt;0,IF(R54=月次PL!J56/1000,"OK",PL推移!R54-月次PL!J56/1000),"nd")</f>
        <v>nd</v>
      </c>
      <c r="S6" s="195"/>
      <c r="T6" s="195">
        <f>IF(T54&lt;&gt;0,IF(T54=月次PL!K56/1000,"OK",PL推移!T54-月次PL!K56/1000),"nd")</f>
        <v>350</v>
      </c>
      <c r="U6" s="195"/>
      <c r="V6" s="195">
        <f>IF(V54&lt;&gt;0,IF(V54=月次PL!L56/1000,"OK",PL推移!V54-月次PL!L56/1000),"nd")</f>
        <v>8454</v>
      </c>
      <c r="W6" s="195"/>
      <c r="X6" s="195">
        <f>IF(X54&lt;&gt;0,IF(X54=月次PL!M56/1000,"OK",PL推移!X54-月次PL!M56/1000),"nd")</f>
        <v>9017</v>
      </c>
      <c r="Y6" s="195"/>
      <c r="Z6" s="195">
        <f>IF(Z54&lt;&gt;0,IF(Z54=月次PL!N56/1000,"OK",PL推移!Z54-月次PL!N56/1000),"nd")</f>
        <v>8610</v>
      </c>
      <c r="AA6" s="195"/>
    </row>
    <row r="7" spans="1:38" ht="20.25" thickBot="1">
      <c r="B7" s="56" t="s">
        <v>160</v>
      </c>
      <c r="C7" s="47"/>
      <c r="D7" s="12" t="s">
        <v>154</v>
      </c>
      <c r="T7" s="2"/>
      <c r="V7" s="2"/>
      <c r="X7" s="2"/>
      <c r="Z7" s="2"/>
      <c r="AH7" s="17" t="s">
        <v>158</v>
      </c>
      <c r="AI7" s="14" t="s">
        <v>155</v>
      </c>
      <c r="AJ7" s="15" t="s">
        <v>156</v>
      </c>
      <c r="AK7" s="16" t="s">
        <v>157</v>
      </c>
      <c r="AL7" s="122" t="s">
        <v>215</v>
      </c>
    </row>
    <row r="8" spans="1:38" ht="16.899999999999999" thickBot="1">
      <c r="B8" s="47">
        <v>2026</v>
      </c>
      <c r="C8" s="47" t="s">
        <v>151</v>
      </c>
      <c r="D8" s="2" t="s">
        <v>153</v>
      </c>
      <c r="F8" s="17" t="s">
        <v>158</v>
      </c>
      <c r="G8" s="14" t="s">
        <v>155</v>
      </c>
      <c r="H8" s="15" t="s">
        <v>156</v>
      </c>
      <c r="I8" s="16" t="s">
        <v>157</v>
      </c>
      <c r="J8" s="305" t="s">
        <v>215</v>
      </c>
      <c r="T8" s="2"/>
      <c r="V8" s="2"/>
      <c r="X8" s="2"/>
      <c r="Z8" s="2"/>
    </row>
    <row r="9" spans="1:38" s="197" customFormat="1" ht="19.5" customHeight="1" thickBot="1">
      <c r="A9" s="196"/>
      <c r="B9" s="534" t="s">
        <v>152</v>
      </c>
      <c r="C9" s="534"/>
      <c r="D9" s="535" t="str">
        <f>+月次PL!C1</f>
        <v>7月</v>
      </c>
      <c r="E9" s="536"/>
      <c r="F9" s="537" t="str">
        <f>+月次PL!D1</f>
        <v>8月</v>
      </c>
      <c r="G9" s="536"/>
      <c r="H9" s="537" t="str">
        <f>+月次PL!E1</f>
        <v>9月</v>
      </c>
      <c r="I9" s="536"/>
      <c r="J9" s="537" t="str">
        <f>+月次PL!F1</f>
        <v>10月</v>
      </c>
      <c r="K9" s="536"/>
      <c r="L9" s="537" t="str">
        <f>+月次PL!G1</f>
        <v>11月</v>
      </c>
      <c r="M9" s="536"/>
      <c r="N9" s="537" t="str">
        <f>+月次PL!H1</f>
        <v>12月</v>
      </c>
      <c r="O9" s="536"/>
      <c r="P9" s="537" t="str">
        <f>+月次PL!I1</f>
        <v>1月</v>
      </c>
      <c r="Q9" s="536"/>
      <c r="R9" s="537" t="str">
        <f>+月次PL!J1</f>
        <v>2月</v>
      </c>
      <c r="S9" s="536"/>
      <c r="T9" s="537">
        <f>+月次PL!K1</f>
        <v>3</v>
      </c>
      <c r="U9" s="536"/>
      <c r="V9" s="537">
        <f>+月次PL!L1</f>
        <v>4</v>
      </c>
      <c r="W9" s="536"/>
      <c r="X9" s="537" t="str">
        <f>+月次PL!M1</f>
        <v>5月</v>
      </c>
      <c r="Y9" s="536"/>
      <c r="Z9" s="537" t="str">
        <f>+月次PL!N1</f>
        <v>6月</v>
      </c>
      <c r="AA9" s="536"/>
    </row>
    <row r="10" spans="1:38" s="47" customFormat="1" ht="16.899999999999999" thickTop="1">
      <c r="B10" s="47" t="s">
        <v>139</v>
      </c>
      <c r="D10" s="150">
        <f>+月次PL!C8/1000</f>
        <v>8631.2849999999999</v>
      </c>
      <c r="E10" s="72">
        <f>IF(D$10&lt;&gt;0,D10/D$10,0)</f>
        <v>1</v>
      </c>
      <c r="F10" s="71">
        <f>+月次PL!D8/1000</f>
        <v>0</v>
      </c>
      <c r="G10" s="72">
        <f>IF(F$10&lt;&gt;0,F10/F$10,0)</f>
        <v>0</v>
      </c>
      <c r="H10" s="71">
        <f>+月次PL!E8/1000</f>
        <v>0</v>
      </c>
      <c r="I10" s="72">
        <f>IF(H$10&lt;&gt;0,H10/H$10,0)</f>
        <v>0</v>
      </c>
      <c r="J10" s="71">
        <f>+月次PL!F8/1000</f>
        <v>0</v>
      </c>
      <c r="K10" s="72">
        <f>IF(J$10&lt;&gt;0,J10/J$10,0)</f>
        <v>0</v>
      </c>
      <c r="L10" s="71">
        <f>SUM(L11:L15)</f>
        <v>0</v>
      </c>
      <c r="M10" s="72">
        <f>IF(L$10&lt;&gt;0,L10/L$10,0)</f>
        <v>0</v>
      </c>
      <c r="N10" s="71">
        <f>SUM(N11:N15)</f>
        <v>0</v>
      </c>
      <c r="O10" s="72">
        <f>IF(N$10&lt;&gt;0,N10/N$10,0)</f>
        <v>0</v>
      </c>
      <c r="P10" s="71">
        <f>+月次PL!I8/1000</f>
        <v>0</v>
      </c>
      <c r="Q10" s="72">
        <f>IF(P$10&lt;&gt;0,P10/P$10,0)</f>
        <v>0</v>
      </c>
      <c r="R10" s="71">
        <f>+月次PL!J8/1000</f>
        <v>0</v>
      </c>
      <c r="S10" s="72">
        <f>IF(R$10&lt;&gt;0,R10/R$10,0)</f>
        <v>0</v>
      </c>
      <c r="T10" s="71">
        <f>SUM(T11:T15)+350</f>
        <v>350</v>
      </c>
      <c r="U10" s="72">
        <f>IF(T$10&lt;&gt;0,T10/T$10,0)</f>
        <v>1</v>
      </c>
      <c r="V10" s="71">
        <f>SUM(V11:V15)+350</f>
        <v>8454</v>
      </c>
      <c r="W10" s="72">
        <f>IF(V$10&lt;&gt;0,V10/V$10,0)</f>
        <v>1</v>
      </c>
      <c r="X10" s="71">
        <f>SUM(X11:X15)+350</f>
        <v>9017</v>
      </c>
      <c r="Y10" s="72">
        <f>IF(X$10&lt;&gt;0,X10/X$10,0)</f>
        <v>1</v>
      </c>
      <c r="Z10" s="71">
        <v>8610</v>
      </c>
      <c r="AA10" s="72">
        <f>IF(Z$10&lt;&gt;0,Z10/Z$10,0)</f>
        <v>1</v>
      </c>
    </row>
    <row r="11" spans="1:38" s="179" customFormat="1">
      <c r="C11" s="183" t="s">
        <v>227</v>
      </c>
      <c r="D11" s="184">
        <v>6425</v>
      </c>
      <c r="E11" s="185">
        <f>IF(D$10&lt;&gt;0,D11/D$10,0)</f>
        <v>0.7443851060415686</v>
      </c>
      <c r="F11" s="186"/>
      <c r="G11" s="185">
        <f>IF(F$10&lt;&gt;0,F11/F$10,0)</f>
        <v>0</v>
      </c>
      <c r="H11" s="186"/>
      <c r="I11" s="185">
        <f>IF(H$10&lt;&gt;0,H11/H$10,0)</f>
        <v>0</v>
      </c>
      <c r="J11" s="186"/>
      <c r="K11" s="185">
        <f>IF(J$10&lt;&gt;0,J11/J$10,0)</f>
        <v>0</v>
      </c>
      <c r="L11" s="186"/>
      <c r="M11" s="185">
        <f>IF(L$10&lt;&gt;0,L11/L$10,0)</f>
        <v>0</v>
      </c>
      <c r="N11" s="186"/>
      <c r="O11" s="185">
        <f>IF(N$10&lt;&gt;0,N11/N$10,0)</f>
        <v>0</v>
      </c>
      <c r="P11" s="186"/>
      <c r="Q11" s="185">
        <f>IF(P$10&lt;&gt;0,P11/P$10,0)</f>
        <v>0</v>
      </c>
      <c r="R11" s="186"/>
      <c r="S11" s="185">
        <f>IF(R$10&lt;&gt;0,R11/R$10,0)</f>
        <v>0</v>
      </c>
      <c r="T11" s="186"/>
      <c r="U11" s="185">
        <f>IF(T$10&lt;&gt;0,T11/T$10,0)</f>
        <v>0</v>
      </c>
      <c r="V11" s="186">
        <v>6013</v>
      </c>
      <c r="W11" s="185">
        <f>IF(V$10&lt;&gt;0,V11/V$10,0)</f>
        <v>0.71126094156612252</v>
      </c>
      <c r="X11" s="186">
        <v>6855</v>
      </c>
      <c r="Y11" s="185">
        <f>IF(X$10&lt;&gt;0,X11/X$10,0)</f>
        <v>0.76023067539092826</v>
      </c>
      <c r="Z11" s="186">
        <v>6185</v>
      </c>
      <c r="AA11" s="185">
        <f>IF(Z$10&lt;&gt;0,Z11/Z$10,0)</f>
        <v>0.71835075493612077</v>
      </c>
    </row>
    <row r="12" spans="1:38" s="179" customFormat="1">
      <c r="C12" s="187" t="s">
        <v>140</v>
      </c>
      <c r="D12" s="188">
        <v>646</v>
      </c>
      <c r="E12" s="40">
        <f>IF(D$10&lt;&gt;0,D12/D$10,0)</f>
        <v>7.4844012218342928E-2</v>
      </c>
      <c r="F12" s="189"/>
      <c r="G12" s="40">
        <f>IF(F$10&lt;&gt;0,F12/F$10,0)</f>
        <v>0</v>
      </c>
      <c r="H12" s="189"/>
      <c r="I12" s="40">
        <f>IF(H$10&lt;&gt;0,H12/H$10,0)</f>
        <v>0</v>
      </c>
      <c r="J12" s="189"/>
      <c r="K12" s="40">
        <f>IF(J$10&lt;&gt;0,J12/J$10,0)</f>
        <v>0</v>
      </c>
      <c r="L12" s="189"/>
      <c r="M12" s="40">
        <f>IF(L$10&lt;&gt;0,L12/L$10,0)</f>
        <v>0</v>
      </c>
      <c r="N12" s="189"/>
      <c r="O12" s="40">
        <f>IF(N$10&lt;&gt;0,N12/N$10,0)</f>
        <v>0</v>
      </c>
      <c r="P12" s="189"/>
      <c r="Q12" s="40">
        <f>IF(P$10&lt;&gt;0,P12/P$10,0)</f>
        <v>0</v>
      </c>
      <c r="R12" s="189"/>
      <c r="S12" s="40">
        <f>IF(R$10&lt;&gt;0,R12/R$10,0)</f>
        <v>0</v>
      </c>
      <c r="T12" s="189"/>
      <c r="U12" s="40">
        <f>IF(T$10&lt;&gt;0,T12/T$10,0)</f>
        <v>0</v>
      </c>
      <c r="V12" s="189">
        <v>791</v>
      </c>
      <c r="W12" s="40">
        <f>IF(V$10&lt;&gt;0,V12/V$10,0)</f>
        <v>9.3565176247929968E-2</v>
      </c>
      <c r="X12" s="189">
        <f>+月次PL!M6/1000</f>
        <v>0</v>
      </c>
      <c r="Y12" s="40">
        <f>IF(X$10&lt;&gt;0,X12/X$10,0)</f>
        <v>0</v>
      </c>
      <c r="Z12" s="189">
        <f>+月次PL!N6/1000</f>
        <v>0</v>
      </c>
      <c r="AA12" s="40">
        <f>IF(Z$10&lt;&gt;0,Z12/Z$10,0)</f>
        <v>0</v>
      </c>
    </row>
    <row r="13" spans="1:38" s="179" customFormat="1">
      <c r="C13" s="180" t="s">
        <v>228</v>
      </c>
      <c r="D13" s="181">
        <v>525</v>
      </c>
      <c r="E13" s="149">
        <f t="shared" ref="E13:E15" si="0">IF(D$10&lt;&gt;0,D13/D$10,0)</f>
        <v>6.0825242127910274E-2</v>
      </c>
      <c r="F13" s="182"/>
      <c r="G13" s="149">
        <f t="shared" ref="G13:I13" si="1">IF(F$10&lt;&gt;0,F13/F$10,0)</f>
        <v>0</v>
      </c>
      <c r="H13" s="182"/>
      <c r="I13" s="149">
        <f t="shared" si="1"/>
        <v>0</v>
      </c>
      <c r="J13" s="182"/>
      <c r="K13" s="149">
        <f t="shared" ref="K13" si="2">IF(J$10&lt;&gt;0,J13/J$10,0)</f>
        <v>0</v>
      </c>
      <c r="L13" s="182"/>
      <c r="M13" s="149">
        <f t="shared" ref="M13" si="3">IF(L$10&lt;&gt;0,L13/L$10,0)</f>
        <v>0</v>
      </c>
      <c r="N13" s="182"/>
      <c r="O13" s="149">
        <f t="shared" ref="O13" si="4">IF(N$10&lt;&gt;0,N13/N$10,0)</f>
        <v>0</v>
      </c>
      <c r="P13" s="182"/>
      <c r="Q13" s="149">
        <f t="shared" ref="Q13" si="5">IF(P$10&lt;&gt;0,P13/P$10,0)</f>
        <v>0</v>
      </c>
      <c r="R13" s="182"/>
      <c r="S13" s="149">
        <f t="shared" ref="S13" si="6">IF(R$10&lt;&gt;0,R13/R$10,0)</f>
        <v>0</v>
      </c>
      <c r="T13" s="182"/>
      <c r="U13" s="149">
        <f t="shared" ref="U13" si="7">IF(T$10&lt;&gt;0,T13/T$10,0)</f>
        <v>0</v>
      </c>
      <c r="V13" s="182">
        <v>360</v>
      </c>
      <c r="W13" s="149">
        <f t="shared" ref="W13" si="8">IF(V$10&lt;&gt;0,V13/V$10,0)</f>
        <v>4.2583392476933997E-2</v>
      </c>
      <c r="X13" s="182">
        <v>375</v>
      </c>
      <c r="Y13" s="149">
        <f t="shared" ref="Y13" si="9">IF(X$10&lt;&gt;0,X13/X$10,0)</f>
        <v>4.1588111345236774E-2</v>
      </c>
      <c r="Z13" s="182">
        <v>405</v>
      </c>
      <c r="AA13" s="149">
        <f t="shared" ref="AA13" si="10">IF(Z$10&lt;&gt;0,Z13/Z$10,0)</f>
        <v>4.7038327526132406E-2</v>
      </c>
    </row>
    <row r="14" spans="1:38" s="179" customFormat="1">
      <c r="B14" s="298"/>
      <c r="C14" s="187" t="s">
        <v>367</v>
      </c>
      <c r="D14" s="188">
        <v>63</v>
      </c>
      <c r="E14" s="40">
        <f>IF(D$10&lt;&gt;0,D14/D$10,0)</f>
        <v>7.2990290553492324E-3</v>
      </c>
      <c r="F14" s="189"/>
      <c r="G14" s="40">
        <f>IF(F$10&lt;&gt;0,F14/F$10,0)</f>
        <v>0</v>
      </c>
      <c r="H14" s="189"/>
      <c r="I14" s="40">
        <f>IF(H$10&lt;&gt;0,H14/H$10,0)</f>
        <v>0</v>
      </c>
      <c r="J14" s="189"/>
      <c r="K14" s="40">
        <f>IF(J$10&lt;&gt;0,J14/J$10,0)</f>
        <v>0</v>
      </c>
      <c r="L14" s="189"/>
      <c r="M14" s="40">
        <f>IF(L$10&lt;&gt;0,L14/L$10,0)</f>
        <v>0</v>
      </c>
      <c r="N14" s="189"/>
      <c r="O14" s="40">
        <f>IF(N$10&lt;&gt;0,N14/N$10,0)</f>
        <v>0</v>
      </c>
      <c r="P14" s="189"/>
      <c r="Q14" s="40">
        <f>IF(P$10&lt;&gt;0,P14/P$10,0)</f>
        <v>0</v>
      </c>
      <c r="R14" s="189"/>
      <c r="S14" s="40">
        <f>IF(R$10&lt;&gt;0,R14/R$10,0)</f>
        <v>0</v>
      </c>
      <c r="T14" s="189"/>
      <c r="U14" s="40">
        <f>IF(T$10&lt;&gt;0,T14/T$10,0)</f>
        <v>0</v>
      </c>
      <c r="V14" s="189">
        <v>128</v>
      </c>
      <c r="W14" s="40">
        <f>IF(V$10&lt;&gt;0,V14/V$10,0)</f>
        <v>1.5140761769576532E-2</v>
      </c>
      <c r="X14" s="189">
        <v>108</v>
      </c>
      <c r="Y14" s="40">
        <f>IF(X$10&lt;&gt;0,X14/X$10,0)</f>
        <v>1.1977376067428191E-2</v>
      </c>
      <c r="Z14" s="189">
        <v>122</v>
      </c>
      <c r="AA14" s="40">
        <f>IF(Z$10&lt;&gt;0,Z14/Z$10,0)</f>
        <v>1.4169570267131244E-2</v>
      </c>
    </row>
    <row r="15" spans="1:38" s="190" customFormat="1">
      <c r="C15" s="299" t="s">
        <v>229</v>
      </c>
      <c r="D15" s="300">
        <v>973</v>
      </c>
      <c r="E15" s="301">
        <f t="shared" si="0"/>
        <v>0.11272944874372703</v>
      </c>
      <c r="F15" s="302"/>
      <c r="G15" s="301">
        <f t="shared" ref="G15:I15" si="11">IF(F$10&lt;&gt;0,F15/F$10,0)</f>
        <v>0</v>
      </c>
      <c r="H15" s="302"/>
      <c r="I15" s="301">
        <f t="shared" si="11"/>
        <v>0</v>
      </c>
      <c r="J15" s="302"/>
      <c r="K15" s="301">
        <f t="shared" ref="K15" si="12">IF(J$10&lt;&gt;0,J15/J$10,0)</f>
        <v>0</v>
      </c>
      <c r="L15" s="302"/>
      <c r="M15" s="301">
        <f t="shared" ref="M15" si="13">IF(L$10&lt;&gt;0,L15/L$10,0)</f>
        <v>0</v>
      </c>
      <c r="N15" s="302"/>
      <c r="O15" s="301">
        <f t="shared" ref="O15" si="14">IF(N$10&lt;&gt;0,N15/N$10,0)</f>
        <v>0</v>
      </c>
      <c r="P15" s="302"/>
      <c r="Q15" s="301">
        <f t="shared" ref="Q15" si="15">IF(P$10&lt;&gt;0,P15/P$10,0)</f>
        <v>0</v>
      </c>
      <c r="R15" s="302"/>
      <c r="S15" s="301">
        <f t="shared" ref="S15" si="16">IF(R$10&lt;&gt;0,R15/R$10,0)</f>
        <v>0</v>
      </c>
      <c r="T15" s="302"/>
      <c r="U15" s="301">
        <f t="shared" ref="U15" si="17">IF(T$10&lt;&gt;0,T15/T$10,0)</f>
        <v>0</v>
      </c>
      <c r="V15" s="302">
        <v>812</v>
      </c>
      <c r="W15" s="301">
        <f t="shared" ref="W15" si="18">IF(V$10&lt;&gt;0,V15/V$10,0)</f>
        <v>9.604920747575113E-2</v>
      </c>
      <c r="X15" s="302">
        <v>1329</v>
      </c>
      <c r="Y15" s="301">
        <f t="shared" ref="Y15" si="19">IF(X$10&lt;&gt;0,X15/X$10,0)</f>
        <v>0.14738826660751914</v>
      </c>
      <c r="Z15" s="302">
        <v>892</v>
      </c>
      <c r="AA15" s="301">
        <f t="shared" ref="AA15" si="20">IF(Z$10&lt;&gt;0,Z15/Z$10,0)</f>
        <v>0.10360046457607433</v>
      </c>
    </row>
    <row r="16" spans="1:38" s="47" customFormat="1">
      <c r="B16" s="47" t="s">
        <v>142</v>
      </c>
      <c r="D16" s="150">
        <f>+月次PL!C15/1000</f>
        <v>2021.2760000000001</v>
      </c>
      <c r="E16" s="72">
        <f>IF(D$10&lt;&gt;0,D16/D$10,0)</f>
        <v>0.23418019449015995</v>
      </c>
      <c r="F16" s="71">
        <f>+月次PL!D15/1000</f>
        <v>0</v>
      </c>
      <c r="G16" s="72">
        <f>IF(F$10&lt;&gt;0,F16/F$10,0)</f>
        <v>0</v>
      </c>
      <c r="H16" s="71">
        <f>+月次PL!E15/1000</f>
        <v>0</v>
      </c>
      <c r="I16" s="72">
        <f>IF(H$10&lt;&gt;0,H16/H$10,0)</f>
        <v>0</v>
      </c>
      <c r="J16" s="71">
        <f>+月次PL!F15/1000</f>
        <v>0</v>
      </c>
      <c r="K16" s="72">
        <f>IF(J$10&lt;&gt;0,J16/J$10,0)</f>
        <v>0</v>
      </c>
      <c r="L16" s="71">
        <f>+月次PL!G15/1000</f>
        <v>0</v>
      </c>
      <c r="M16" s="72">
        <f>IF(L$10&lt;&gt;0,L16/L$10,0)</f>
        <v>0</v>
      </c>
      <c r="N16" s="71">
        <f>+月次PL!H15/1000</f>
        <v>0</v>
      </c>
      <c r="O16" s="72">
        <f>IF(N$10&lt;&gt;0,N16/N$10,0)</f>
        <v>0</v>
      </c>
      <c r="P16" s="71">
        <f>+月次PL!I15/1000</f>
        <v>0</v>
      </c>
      <c r="Q16" s="72">
        <f>IF(P$10&lt;&gt;0,P16/P$10,0)</f>
        <v>0</v>
      </c>
      <c r="R16" s="71">
        <f>+月次PL!J15/1000</f>
        <v>0</v>
      </c>
      <c r="S16" s="72">
        <f>IF(R$10&lt;&gt;0,R16/R$10,0)</f>
        <v>0</v>
      </c>
      <c r="T16" s="71">
        <f>+月次PL!K15/1000</f>
        <v>0</v>
      </c>
      <c r="U16" s="72">
        <f>IF(T$10&lt;&gt;0,T16/T$10,0)</f>
        <v>0</v>
      </c>
      <c r="V16" s="71">
        <f>+月次PL!L15/1000</f>
        <v>0</v>
      </c>
      <c r="W16" s="72">
        <f>IF(V$10&lt;&gt;0,V16/V$10,0)</f>
        <v>0</v>
      </c>
      <c r="X16" s="71">
        <f>+月次PL!M15/1000</f>
        <v>0</v>
      </c>
      <c r="Y16" s="72">
        <f>IF(X$10&lt;&gt;0,X16/X$10,0)</f>
        <v>0</v>
      </c>
      <c r="Z16" s="71">
        <f>+月次PL!N15/1000</f>
        <v>0</v>
      </c>
      <c r="AA16" s="72">
        <f>IF(Z$10&lt;&gt;0,Z16/Z$10,0)</f>
        <v>0</v>
      </c>
    </row>
    <row r="17" spans="2:28" s="179" customFormat="1">
      <c r="C17" s="191" t="str">
        <f>+C11</f>
        <v>恵愛</v>
      </c>
      <c r="D17" s="192">
        <v>1728</v>
      </c>
      <c r="E17" s="79">
        <f>IF(D11&lt;&gt;0,D17/D11,0)</f>
        <v>0.26894941634241243</v>
      </c>
      <c r="F17" s="193"/>
      <c r="G17" s="79">
        <f>IF(F11&lt;&gt;0,F17/F11,0)</f>
        <v>0</v>
      </c>
      <c r="H17" s="193"/>
      <c r="I17" s="79">
        <f>IF(H11&lt;&gt;0,H17/H11,0)</f>
        <v>0</v>
      </c>
      <c r="J17" s="193"/>
      <c r="K17" s="79">
        <f>IF(J11&lt;&gt;0,J17/J11,0)</f>
        <v>0</v>
      </c>
      <c r="L17" s="193"/>
      <c r="M17" s="79">
        <f>IF(L11&lt;&gt;0,L17/L11,0)</f>
        <v>0</v>
      </c>
      <c r="N17" s="193"/>
      <c r="O17" s="79">
        <f>IF(N11&lt;&gt;0,N17/N11,0)</f>
        <v>0</v>
      </c>
      <c r="P17" s="193"/>
      <c r="Q17" s="79">
        <f>IF(P11&lt;&gt;0,P17/P11,0)</f>
        <v>0</v>
      </c>
      <c r="R17" s="193">
        <v>1634</v>
      </c>
      <c r="S17" s="79">
        <f>IF(R11&lt;&gt;0,R17/R11,0)</f>
        <v>0</v>
      </c>
      <c r="T17" s="193">
        <v>1864</v>
      </c>
      <c r="U17" s="79">
        <f>IF(T11&lt;&gt;0,T17/T11,0)</f>
        <v>0</v>
      </c>
      <c r="V17" s="193">
        <v>1607</v>
      </c>
      <c r="W17" s="79">
        <f>IF(V11&lt;&gt;0,V17/V11,0)</f>
        <v>0.26725428238815901</v>
      </c>
      <c r="X17" s="193">
        <v>1751</v>
      </c>
      <c r="Y17" s="79">
        <f>IF(X11&lt;&gt;0,X17/X11,0)</f>
        <v>0.25543398978847559</v>
      </c>
      <c r="Z17" s="193">
        <v>1643</v>
      </c>
      <c r="AA17" s="79">
        <f>IF(Z11&lt;&gt;0,Z17/Z11,0)</f>
        <v>0.26564268391269202</v>
      </c>
    </row>
    <row r="18" spans="2:28" s="179" customFormat="1">
      <c r="C18" s="187" t="str">
        <f>+C12</f>
        <v>村</v>
      </c>
      <c r="D18" s="188">
        <v>122</v>
      </c>
      <c r="E18" s="40">
        <f>IF(D12&lt;&gt;0,D18/D12,0)</f>
        <v>0.18885448916408668</v>
      </c>
      <c r="F18" s="189"/>
      <c r="G18" s="40">
        <f>IF(F12&lt;&gt;0,F18/F12,0)</f>
        <v>0</v>
      </c>
      <c r="H18" s="189"/>
      <c r="I18" s="40">
        <f>IF(H12&lt;&gt;0,H18/H12,0)</f>
        <v>0</v>
      </c>
      <c r="J18" s="189"/>
      <c r="K18" s="40">
        <f>IF(J12&lt;&gt;0,J18/J12,0)</f>
        <v>0</v>
      </c>
      <c r="L18" s="189"/>
      <c r="M18" s="40">
        <f>IF(L12&lt;&gt;0,L18/L12,0)</f>
        <v>0</v>
      </c>
      <c r="N18" s="189"/>
      <c r="O18" s="40">
        <f>IF(N12&lt;&gt;0,N18/N12,0)</f>
        <v>0</v>
      </c>
      <c r="P18" s="189"/>
      <c r="Q18" s="40">
        <f>IF(P12&lt;&gt;0,P18/P12,0)</f>
        <v>0</v>
      </c>
      <c r="R18" s="189">
        <v>92</v>
      </c>
      <c r="S18" s="40">
        <f>IF(R12&lt;&gt;0,R18/R12,0)</f>
        <v>0</v>
      </c>
      <c r="T18" s="189">
        <v>143</v>
      </c>
      <c r="U18" s="40">
        <f>IF(T12&lt;&gt;0,T18/T12,0)</f>
        <v>0</v>
      </c>
      <c r="V18" s="189">
        <v>82</v>
      </c>
      <c r="W18" s="40">
        <f>IF(V12&lt;&gt;0,V18/V12,0)</f>
        <v>0.10366624525916561</v>
      </c>
      <c r="X18" s="189">
        <v>115</v>
      </c>
      <c r="Y18" s="40">
        <f>IF(X12&lt;&gt;0,X18/X12,0)</f>
        <v>0</v>
      </c>
      <c r="Z18" s="189">
        <v>120</v>
      </c>
      <c r="AA18" s="40">
        <f>IF(Z12&lt;&gt;0,Z18/Z12,0)</f>
        <v>0</v>
      </c>
    </row>
    <row r="19" spans="2:28" s="179" customFormat="1">
      <c r="C19" s="180" t="str">
        <f>+C13</f>
        <v>弁当</v>
      </c>
      <c r="D19" s="181">
        <v>126</v>
      </c>
      <c r="E19" s="40">
        <f>IF(D13&lt;&gt;0,D19/D13,0)</f>
        <v>0.24</v>
      </c>
      <c r="F19" s="182"/>
      <c r="G19" s="40">
        <f>IF(F13&lt;&gt;0,F19/F13,0)</f>
        <v>0</v>
      </c>
      <c r="H19" s="182"/>
      <c r="I19" s="40">
        <f>IF(H13&lt;&gt;0,H19/H13,0)</f>
        <v>0</v>
      </c>
      <c r="J19" s="182"/>
      <c r="K19" s="40">
        <f>IF(J13&lt;&gt;0,J19/J13,0)</f>
        <v>0</v>
      </c>
      <c r="L19" s="182"/>
      <c r="M19" s="40">
        <f>IF(L13&lt;&gt;0,L19/L13,0)</f>
        <v>0</v>
      </c>
      <c r="N19" s="182"/>
      <c r="O19" s="40">
        <f>IF(N13&lt;&gt;0,N19/N13,0)</f>
        <v>0</v>
      </c>
      <c r="P19" s="182"/>
      <c r="Q19" s="40">
        <f>IF(P13&lt;&gt;0,P19/P13,0)</f>
        <v>0</v>
      </c>
      <c r="R19" s="182">
        <v>87</v>
      </c>
      <c r="S19" s="40">
        <f>IF(R13&lt;&gt;0,R19/R13,0)</f>
        <v>0</v>
      </c>
      <c r="T19" s="182">
        <v>154</v>
      </c>
      <c r="U19" s="40">
        <f>IF(T13&lt;&gt;0,T19/T13,0)</f>
        <v>0</v>
      </c>
      <c r="V19" s="182">
        <v>151</v>
      </c>
      <c r="W19" s="40">
        <f>IF(V13&lt;&gt;0,V19/V13,0)</f>
        <v>0.41944444444444445</v>
      </c>
      <c r="X19" s="182">
        <v>167</v>
      </c>
      <c r="Y19" s="40">
        <f>IF(X13&lt;&gt;0,X19/X13,0)</f>
        <v>0.44533333333333336</v>
      </c>
      <c r="Z19" s="182">
        <v>184</v>
      </c>
      <c r="AA19" s="40">
        <f>IF(Z13&lt;&gt;0,Z19/Z13,0)</f>
        <v>0.454320987654321</v>
      </c>
    </row>
    <row r="20" spans="2:28" s="179" customFormat="1">
      <c r="B20" s="298"/>
      <c r="C20" s="187" t="str">
        <f>+C14</f>
        <v>シェア</v>
      </c>
      <c r="D20" s="188">
        <v>19</v>
      </c>
      <c r="E20" s="40">
        <f>IF(D14&lt;&gt;0,D20/D14,0)</f>
        <v>0.30158730158730157</v>
      </c>
      <c r="F20" s="189"/>
      <c r="G20" s="40">
        <f>IF(F14&lt;&gt;0,F20/F14,0)</f>
        <v>0</v>
      </c>
      <c r="H20" s="189"/>
      <c r="I20" s="40">
        <f>IF(H14&lt;&gt;0,H20/H14,0)</f>
        <v>0</v>
      </c>
      <c r="J20" s="189"/>
      <c r="K20" s="40">
        <f>IF(J14&lt;&gt;0,J20/J14,0)</f>
        <v>0</v>
      </c>
      <c r="L20" s="189"/>
      <c r="M20" s="40">
        <f>IF(L14&lt;&gt;0,L20/L14,0)</f>
        <v>0</v>
      </c>
      <c r="N20" s="189"/>
      <c r="O20" s="40">
        <f>IF(N14&lt;&gt;0,N20/N14,0)</f>
        <v>0</v>
      </c>
      <c r="P20" s="189"/>
      <c r="Q20" s="40">
        <f>IF(P14&lt;&gt;0,P20/P14,0)</f>
        <v>0</v>
      </c>
      <c r="R20" s="189">
        <v>25</v>
      </c>
      <c r="S20" s="40">
        <f>IF(R14&lt;&gt;0,R20/R14,0)</f>
        <v>0</v>
      </c>
      <c r="T20" s="189">
        <v>73</v>
      </c>
      <c r="U20" s="40">
        <f>IF(T14&lt;&gt;0,T20/T14,0)</f>
        <v>0</v>
      </c>
      <c r="V20" s="189">
        <v>38</v>
      </c>
      <c r="W20" s="40">
        <f>IF(V14&lt;&gt;0,V20/V14,0)</f>
        <v>0.296875</v>
      </c>
      <c r="X20" s="189">
        <v>32</v>
      </c>
      <c r="Y20" s="40">
        <f>IF(X14&lt;&gt;0,X20/X14,0)</f>
        <v>0.29629629629629628</v>
      </c>
      <c r="Z20" s="189">
        <v>37</v>
      </c>
      <c r="AA20" s="40">
        <f>IF(Z14&lt;&gt;0,Z20/Z14,0)</f>
        <v>0.30327868852459017</v>
      </c>
    </row>
    <row r="21" spans="2:28" s="190" customFormat="1">
      <c r="C21" s="299" t="str">
        <f>+C15</f>
        <v>サウナ</v>
      </c>
      <c r="D21" s="300">
        <v>27</v>
      </c>
      <c r="E21" s="301">
        <f>IF(D15&lt;&gt;0,D21/D15,0)</f>
        <v>2.7749229188078109E-2</v>
      </c>
      <c r="F21" s="302"/>
      <c r="G21" s="301">
        <f>IF(F15&lt;&gt;0,F21/F15,0)</f>
        <v>0</v>
      </c>
      <c r="H21" s="302"/>
      <c r="I21" s="301">
        <f>IF(H15&lt;&gt;0,H21/H15,0)</f>
        <v>0</v>
      </c>
      <c r="J21" s="302"/>
      <c r="K21" s="301">
        <f>IF(J15&lt;&gt;0,J21/J15,0)</f>
        <v>0</v>
      </c>
      <c r="L21" s="302"/>
      <c r="M21" s="301">
        <f>IF(L15&lt;&gt;0,L21/L15,0)</f>
        <v>0</v>
      </c>
      <c r="N21" s="302"/>
      <c r="O21" s="301">
        <f>IF(N15&lt;&gt;0,N21/N15,0)</f>
        <v>0</v>
      </c>
      <c r="P21" s="302"/>
      <c r="Q21" s="301">
        <f>IF(P15&lt;&gt;0,P21/P15,0)</f>
        <v>0</v>
      </c>
      <c r="R21" s="302">
        <v>62</v>
      </c>
      <c r="S21" s="301">
        <f>IF(R15&lt;&gt;0,R21/R15,0)</f>
        <v>0</v>
      </c>
      <c r="T21" s="302">
        <v>32</v>
      </c>
      <c r="U21" s="301">
        <f>IF(T15&lt;&gt;0,T21/T15,0)</f>
        <v>0</v>
      </c>
      <c r="V21" s="302">
        <v>33</v>
      </c>
      <c r="W21" s="301">
        <f>IF(V15&lt;&gt;0,V21/V15,0)</f>
        <v>4.064039408866995E-2</v>
      </c>
      <c r="X21" s="302">
        <v>52</v>
      </c>
      <c r="Y21" s="301">
        <f>IF(X15&lt;&gt;0,X21/X15,0)</f>
        <v>3.9127163280662153E-2</v>
      </c>
      <c r="Z21" s="302">
        <v>23</v>
      </c>
      <c r="AA21" s="301">
        <f>IF(Z15&lt;&gt;0,Z21/Z15,0)</f>
        <v>2.5784753363228701E-2</v>
      </c>
    </row>
    <row r="22" spans="2:28" s="47" customFormat="1">
      <c r="B22" s="47" t="s">
        <v>143</v>
      </c>
      <c r="D22" s="150">
        <f t="shared" ref="D22:D27" si="21">+D10-D16</f>
        <v>6610.009</v>
      </c>
      <c r="E22" s="72">
        <f>IF(D$10&lt;&gt;0,D22/D$10,0)</f>
        <v>0.76581980550984008</v>
      </c>
      <c r="F22" s="71">
        <f t="shared" ref="F22:F27" si="22">+F10-F16</f>
        <v>0</v>
      </c>
      <c r="G22" s="72">
        <f>IF(F$10&lt;&gt;0,F22/F$10,0)</f>
        <v>0</v>
      </c>
      <c r="H22" s="71">
        <f t="shared" ref="H22:H27" si="23">+H10-H16</f>
        <v>0</v>
      </c>
      <c r="I22" s="72">
        <f>IF(H$10&lt;&gt;0,H22/H$10,0)</f>
        <v>0</v>
      </c>
      <c r="J22" s="71">
        <f t="shared" ref="J22:J27" si="24">+J10-J16</f>
        <v>0</v>
      </c>
      <c r="K22" s="72">
        <f>IF(J$10&lt;&gt;0,J22/J$10,0)</f>
        <v>0</v>
      </c>
      <c r="L22" s="71">
        <f t="shared" ref="L22:L27" si="25">+L10-L16</f>
        <v>0</v>
      </c>
      <c r="M22" s="72">
        <f>IF(L$10&lt;&gt;0,L22/L$10,0)</f>
        <v>0</v>
      </c>
      <c r="N22" s="71">
        <f t="shared" ref="N22:N27" si="26">+N10-N16</f>
        <v>0</v>
      </c>
      <c r="O22" s="72">
        <f>IF(N$10&lt;&gt;0,N22/N$10,0)</f>
        <v>0</v>
      </c>
      <c r="P22" s="71">
        <f t="shared" ref="P22:P27" si="27">+P10-P16</f>
        <v>0</v>
      </c>
      <c r="Q22" s="72">
        <f>IF(P$10&lt;&gt;0,P22/P$10,0)</f>
        <v>0</v>
      </c>
      <c r="R22" s="71">
        <f t="shared" ref="R22:R27" si="28">+R10-R16</f>
        <v>0</v>
      </c>
      <c r="S22" s="72">
        <f>IF(R$10&lt;&gt;0,R22/R$10,0)</f>
        <v>0</v>
      </c>
      <c r="T22" s="71">
        <f t="shared" ref="T22:T27" si="29">+T10-T16</f>
        <v>350</v>
      </c>
      <c r="U22" s="72">
        <f>IF(T$10&lt;&gt;0,T22/T$10,0)</f>
        <v>1</v>
      </c>
      <c r="V22" s="71">
        <f t="shared" ref="V22:V27" si="30">+V10-V16</f>
        <v>8454</v>
      </c>
      <c r="W22" s="72">
        <f>IF(V$10&lt;&gt;0,V22/V$10,0)</f>
        <v>1</v>
      </c>
      <c r="X22" s="71">
        <f t="shared" ref="X22:X27" si="31">+X10-X16</f>
        <v>9017</v>
      </c>
      <c r="Y22" s="72">
        <f>IF(X$10&lt;&gt;0,X22/X$10,0)</f>
        <v>1</v>
      </c>
      <c r="Z22" s="71">
        <f t="shared" ref="Z22:Z27" si="32">+Z10-Z16</f>
        <v>8610</v>
      </c>
      <c r="AA22" s="72">
        <f>IF(Z$10&lt;&gt;0,Z22/Z$10,0)</f>
        <v>1</v>
      </c>
    </row>
    <row r="23" spans="2:28" s="179" customFormat="1">
      <c r="C23" s="191" t="str">
        <f>+C17</f>
        <v>恵愛</v>
      </c>
      <c r="D23" s="192">
        <f t="shared" si="21"/>
        <v>4697</v>
      </c>
      <c r="E23" s="79">
        <f>IF(D11&lt;&gt;0,D23/D11,0)</f>
        <v>0.73105058365758757</v>
      </c>
      <c r="F23" s="193">
        <f t="shared" si="22"/>
        <v>0</v>
      </c>
      <c r="G23" s="79">
        <f>IF(F11&lt;&gt;0,F23/F11,0)</f>
        <v>0</v>
      </c>
      <c r="H23" s="193">
        <f>+H11-H17</f>
        <v>0</v>
      </c>
      <c r="I23" s="79">
        <f>IF(H11&lt;&gt;0,H23/H11,0)</f>
        <v>0</v>
      </c>
      <c r="J23" s="193">
        <f t="shared" si="24"/>
        <v>0</v>
      </c>
      <c r="K23" s="79">
        <f>IF(J11&lt;&gt;0,J23/J11,0)</f>
        <v>0</v>
      </c>
      <c r="L23" s="193">
        <f t="shared" si="25"/>
        <v>0</v>
      </c>
      <c r="M23" s="79">
        <f>IF(L11&lt;&gt;0,L23/L11,0)</f>
        <v>0</v>
      </c>
      <c r="N23" s="193">
        <f t="shared" si="26"/>
        <v>0</v>
      </c>
      <c r="O23" s="79">
        <f>IF(N11&lt;&gt;0,N23/N11,0)</f>
        <v>0</v>
      </c>
      <c r="P23" s="193">
        <f t="shared" si="27"/>
        <v>0</v>
      </c>
      <c r="Q23" s="79">
        <f>IF(P11&lt;&gt;0,P23/P11,0)</f>
        <v>0</v>
      </c>
      <c r="R23" s="193">
        <f t="shared" si="28"/>
        <v>-1634</v>
      </c>
      <c r="S23" s="79">
        <f>IF(R11&lt;&gt;0,R23/R11,0)</f>
        <v>0</v>
      </c>
      <c r="T23" s="193">
        <f t="shared" si="29"/>
        <v>-1864</v>
      </c>
      <c r="U23" s="79">
        <f>IF(T11&lt;&gt;0,T23/T11,0)</f>
        <v>0</v>
      </c>
      <c r="V23" s="193">
        <f t="shared" si="30"/>
        <v>4406</v>
      </c>
      <c r="W23" s="79">
        <f>IF(V11&lt;&gt;0,V23/V11,0)</f>
        <v>0.73274571761184104</v>
      </c>
      <c r="X23" s="193">
        <f t="shared" si="31"/>
        <v>5104</v>
      </c>
      <c r="Y23" s="79">
        <f>IF(X11&lt;&gt;0,X23/X11,0)</f>
        <v>0.74456601021152446</v>
      </c>
      <c r="Z23" s="193">
        <f t="shared" si="32"/>
        <v>4542</v>
      </c>
      <c r="AA23" s="79">
        <f>IF(Z11&lt;&gt;0,Z23/Z11,0)</f>
        <v>0.73435731608730803</v>
      </c>
    </row>
    <row r="24" spans="2:28" s="179" customFormat="1">
      <c r="C24" s="187" t="str">
        <f>+C18</f>
        <v>村</v>
      </c>
      <c r="D24" s="188">
        <f t="shared" si="21"/>
        <v>524</v>
      </c>
      <c r="E24" s="40">
        <f>IF(D12&lt;&gt;0,D24/D12,0)</f>
        <v>0.81114551083591335</v>
      </c>
      <c r="F24" s="189">
        <f t="shared" si="22"/>
        <v>0</v>
      </c>
      <c r="G24" s="40">
        <f>IF(F12&lt;&gt;0,F24/F12,0)</f>
        <v>0</v>
      </c>
      <c r="H24" s="189">
        <f t="shared" si="23"/>
        <v>0</v>
      </c>
      <c r="I24" s="40">
        <f>IF(H12&lt;&gt;0,H24/H12,0)</f>
        <v>0</v>
      </c>
      <c r="J24" s="189">
        <f t="shared" si="24"/>
        <v>0</v>
      </c>
      <c r="K24" s="40">
        <f>IF(J12&lt;&gt;0,J24/J12,0)</f>
        <v>0</v>
      </c>
      <c r="L24" s="189">
        <f t="shared" si="25"/>
        <v>0</v>
      </c>
      <c r="M24" s="40">
        <f>IF(L12&lt;&gt;0,L24/L12,0)</f>
        <v>0</v>
      </c>
      <c r="N24" s="189">
        <f t="shared" si="26"/>
        <v>0</v>
      </c>
      <c r="O24" s="40">
        <f>IF(N12&lt;&gt;0,N24/N12,0)</f>
        <v>0</v>
      </c>
      <c r="P24" s="189">
        <f t="shared" si="27"/>
        <v>0</v>
      </c>
      <c r="Q24" s="40">
        <f>IF(P12&lt;&gt;0,P24/P12,0)</f>
        <v>0</v>
      </c>
      <c r="R24" s="189">
        <f t="shared" si="28"/>
        <v>-92</v>
      </c>
      <c r="S24" s="40">
        <f>IF(R12&lt;&gt;0,R24/R12,0)</f>
        <v>0</v>
      </c>
      <c r="T24" s="189">
        <f t="shared" si="29"/>
        <v>-143</v>
      </c>
      <c r="U24" s="40">
        <f>IF(T12&lt;&gt;0,T24/T12,0)</f>
        <v>0</v>
      </c>
      <c r="V24" s="189">
        <f t="shared" si="30"/>
        <v>709</v>
      </c>
      <c r="W24" s="40">
        <f>IF(V12&lt;&gt;0,V24/V12,0)</f>
        <v>0.89633375474083443</v>
      </c>
      <c r="X24" s="189">
        <f t="shared" si="31"/>
        <v>-115</v>
      </c>
      <c r="Y24" s="40">
        <f>IF(X12&lt;&gt;0,X24/X12,0)</f>
        <v>0</v>
      </c>
      <c r="Z24" s="189">
        <f t="shared" si="32"/>
        <v>-120</v>
      </c>
      <c r="AA24" s="40">
        <f>IF(Z12&lt;&gt;0,Z24/Z12,0)</f>
        <v>0</v>
      </c>
    </row>
    <row r="25" spans="2:28" s="179" customFormat="1">
      <c r="C25" s="187" t="str">
        <f>+C19</f>
        <v>弁当</v>
      </c>
      <c r="D25" s="188">
        <f t="shared" si="21"/>
        <v>399</v>
      </c>
      <c r="E25" s="40">
        <f>IF(D13&lt;&gt;0,D25/D13,0)</f>
        <v>0.76</v>
      </c>
      <c r="F25" s="189">
        <f t="shared" si="22"/>
        <v>0</v>
      </c>
      <c r="G25" s="40">
        <f>IF(F13&lt;&gt;0,F25/F13,0)</f>
        <v>0</v>
      </c>
      <c r="H25" s="189">
        <f t="shared" si="23"/>
        <v>0</v>
      </c>
      <c r="I25" s="40">
        <f>IF(H13&lt;&gt;0,H25/H13,0)</f>
        <v>0</v>
      </c>
      <c r="J25" s="189">
        <f t="shared" si="24"/>
        <v>0</v>
      </c>
      <c r="K25" s="40">
        <f>IF(J13&lt;&gt;0,J25/J13,0)</f>
        <v>0</v>
      </c>
      <c r="L25" s="189">
        <f t="shared" si="25"/>
        <v>0</v>
      </c>
      <c r="M25" s="40">
        <f>IF(L13&lt;&gt;0,L25/L13,0)</f>
        <v>0</v>
      </c>
      <c r="N25" s="189">
        <f t="shared" si="26"/>
        <v>0</v>
      </c>
      <c r="O25" s="40">
        <f>IF(N13&lt;&gt;0,N25/N13,0)</f>
        <v>0</v>
      </c>
      <c r="P25" s="189">
        <f t="shared" si="27"/>
        <v>0</v>
      </c>
      <c r="Q25" s="40">
        <f>IF(P13&lt;&gt;0,P25/P13,0)</f>
        <v>0</v>
      </c>
      <c r="R25" s="189">
        <f t="shared" si="28"/>
        <v>-87</v>
      </c>
      <c r="S25" s="40">
        <f>IF(R13&lt;&gt;0,R25/R13,0)</f>
        <v>0</v>
      </c>
      <c r="T25" s="189">
        <f t="shared" si="29"/>
        <v>-154</v>
      </c>
      <c r="U25" s="40">
        <f>IF(T13&lt;&gt;0,T25/T13,0)</f>
        <v>0</v>
      </c>
      <c r="V25" s="189">
        <f t="shared" si="30"/>
        <v>209</v>
      </c>
      <c r="W25" s="40">
        <f>IF(V13&lt;&gt;0,V25/V13,0)</f>
        <v>0.5805555555555556</v>
      </c>
      <c r="X25" s="189">
        <f t="shared" si="31"/>
        <v>208</v>
      </c>
      <c r="Y25" s="40">
        <f>IF(X13&lt;&gt;0,X25/X13,0)</f>
        <v>0.55466666666666664</v>
      </c>
      <c r="Z25" s="189">
        <f t="shared" si="32"/>
        <v>221</v>
      </c>
      <c r="AA25" s="40">
        <f>IF(Z13&lt;&gt;0,Z25/Z13,0)</f>
        <v>0.54567901234567906</v>
      </c>
    </row>
    <row r="26" spans="2:28" s="179" customFormat="1">
      <c r="B26" s="298"/>
      <c r="C26" s="187" t="str">
        <f>+C20</f>
        <v>シェア</v>
      </c>
      <c r="D26" s="188">
        <f t="shared" si="21"/>
        <v>44</v>
      </c>
      <c r="E26" s="40">
        <f>IF(D14&lt;&gt;0,D26/D14,0)</f>
        <v>0.69841269841269837</v>
      </c>
      <c r="F26" s="189">
        <f t="shared" si="22"/>
        <v>0</v>
      </c>
      <c r="G26" s="40">
        <f>IF(F14&lt;&gt;0,F26/F14,0)</f>
        <v>0</v>
      </c>
      <c r="H26" s="189">
        <f t="shared" si="23"/>
        <v>0</v>
      </c>
      <c r="I26" s="40">
        <f>IF(H14&lt;&gt;0,H26/H14,0)</f>
        <v>0</v>
      </c>
      <c r="J26" s="189">
        <f t="shared" si="24"/>
        <v>0</v>
      </c>
      <c r="K26" s="40">
        <f>IF(J14&lt;&gt;0,J26/J14,0)</f>
        <v>0</v>
      </c>
      <c r="L26" s="189">
        <f t="shared" si="25"/>
        <v>0</v>
      </c>
      <c r="M26" s="40">
        <f>IF(L14&lt;&gt;0,L26/L14,0)</f>
        <v>0</v>
      </c>
      <c r="N26" s="189">
        <f t="shared" si="26"/>
        <v>0</v>
      </c>
      <c r="O26" s="40">
        <f>IF(N14&lt;&gt;0,N26/N14,0)</f>
        <v>0</v>
      </c>
      <c r="P26" s="189">
        <f t="shared" si="27"/>
        <v>0</v>
      </c>
      <c r="Q26" s="40">
        <f>IF(P14&lt;&gt;0,P26/P14,0)</f>
        <v>0</v>
      </c>
      <c r="R26" s="189">
        <f t="shared" si="28"/>
        <v>-25</v>
      </c>
      <c r="S26" s="40">
        <f>IF(R14&lt;&gt;0,R26/R14,0)</f>
        <v>0</v>
      </c>
      <c r="T26" s="189">
        <f t="shared" si="29"/>
        <v>-73</v>
      </c>
      <c r="U26" s="40">
        <f>IF(T14&lt;&gt;0,T26/T14,0)</f>
        <v>0</v>
      </c>
      <c r="V26" s="189">
        <f t="shared" si="30"/>
        <v>90</v>
      </c>
      <c r="W26" s="40">
        <f>IF(V14&lt;&gt;0,V26/V14,0)</f>
        <v>0.703125</v>
      </c>
      <c r="X26" s="189">
        <f t="shared" si="31"/>
        <v>76</v>
      </c>
      <c r="Y26" s="40">
        <f>IF(X14&lt;&gt;0,X26/X14,0)</f>
        <v>0.70370370370370372</v>
      </c>
      <c r="Z26" s="189">
        <f t="shared" si="32"/>
        <v>85</v>
      </c>
      <c r="AA26" s="40">
        <f>IF(Z14&lt;&gt;0,Z26/Z14,0)</f>
        <v>0.69672131147540983</v>
      </c>
      <c r="AB26" s="303"/>
    </row>
    <row r="27" spans="2:28" s="190" customFormat="1">
      <c r="C27" s="299" t="str">
        <f t="shared" ref="C27" si="33">+C21</f>
        <v>サウナ</v>
      </c>
      <c r="D27" s="300">
        <f t="shared" si="21"/>
        <v>946</v>
      </c>
      <c r="E27" s="301">
        <f>IF(D15&lt;&gt;0,D27/D15,0)</f>
        <v>0.9722507708119219</v>
      </c>
      <c r="F27" s="302">
        <f t="shared" si="22"/>
        <v>0</v>
      </c>
      <c r="G27" s="301">
        <f>IF(F15&lt;&gt;0,F27/F15,0)</f>
        <v>0</v>
      </c>
      <c r="H27" s="302">
        <f t="shared" si="23"/>
        <v>0</v>
      </c>
      <c r="I27" s="301">
        <f>IF(H15&lt;&gt;0,H27/H15,0)</f>
        <v>0</v>
      </c>
      <c r="J27" s="302">
        <f t="shared" si="24"/>
        <v>0</v>
      </c>
      <c r="K27" s="301">
        <f>IF(J15&lt;&gt;0,J27/J15,0)</f>
        <v>0</v>
      </c>
      <c r="L27" s="302">
        <f t="shared" si="25"/>
        <v>0</v>
      </c>
      <c r="M27" s="301">
        <f>IF(L15&lt;&gt;0,L27/L15,0)</f>
        <v>0</v>
      </c>
      <c r="N27" s="302">
        <f t="shared" si="26"/>
        <v>0</v>
      </c>
      <c r="O27" s="301">
        <f>IF(N15&lt;&gt;0,N27/N15,0)</f>
        <v>0</v>
      </c>
      <c r="P27" s="302">
        <f t="shared" si="27"/>
        <v>0</v>
      </c>
      <c r="Q27" s="301">
        <f>IF(P15&lt;&gt;0,P27/P15,0)</f>
        <v>0</v>
      </c>
      <c r="R27" s="302">
        <f t="shared" si="28"/>
        <v>-62</v>
      </c>
      <c r="S27" s="301">
        <f>IF(R15&lt;&gt;0,R27/R15,0)</f>
        <v>0</v>
      </c>
      <c r="T27" s="302">
        <f t="shared" si="29"/>
        <v>-32</v>
      </c>
      <c r="U27" s="301">
        <f>IF(T15&lt;&gt;0,T27/T15,0)</f>
        <v>0</v>
      </c>
      <c r="V27" s="302">
        <f t="shared" si="30"/>
        <v>779</v>
      </c>
      <c r="W27" s="301">
        <f>IF(V15&lt;&gt;0,V27/V15,0)</f>
        <v>0.95935960591133007</v>
      </c>
      <c r="X27" s="302">
        <f t="shared" si="31"/>
        <v>1277</v>
      </c>
      <c r="Y27" s="301">
        <f>IF(X15&lt;&gt;0,X27/X15,0)</f>
        <v>0.96087283671933787</v>
      </c>
      <c r="Z27" s="302">
        <f t="shared" si="32"/>
        <v>869</v>
      </c>
      <c r="AA27" s="301">
        <f>IF(Z15&lt;&gt;0,Z27/Z15,0)</f>
        <v>0.97421524663677128</v>
      </c>
    </row>
    <row r="28" spans="2:28" s="47" customFormat="1">
      <c r="B28" s="47" t="s">
        <v>144</v>
      </c>
      <c r="D28" s="150">
        <f>SUM(D29:D49)</f>
        <v>6195.8609999999999</v>
      </c>
      <c r="E28" s="72">
        <f t="shared" ref="E28:E50" si="34">IF(D$10&lt;&gt;0,D28/D$10,0)</f>
        <v>0.71783761050643091</v>
      </c>
      <c r="F28" s="71">
        <f>SUM(F29:F49)</f>
        <v>0</v>
      </c>
      <c r="G28" s="72">
        <f t="shared" ref="G28:G50" si="35">IF(F$10&lt;&gt;0,F28/F$10,0)</f>
        <v>0</v>
      </c>
      <c r="H28" s="71">
        <f t="shared" ref="H28:Z28" si="36">SUM(H29:H49)</f>
        <v>0</v>
      </c>
      <c r="I28" s="72">
        <f t="shared" ref="I28:I50" si="37">IF(H$10&lt;&gt;0,H28/H$10,0)</f>
        <v>0</v>
      </c>
      <c r="J28" s="71">
        <f t="shared" si="36"/>
        <v>0</v>
      </c>
      <c r="K28" s="72">
        <f t="shared" ref="K28:K50" si="38">IF(J$10&lt;&gt;0,J28/J$10,0)</f>
        <v>0</v>
      </c>
      <c r="L28" s="71">
        <f t="shared" si="36"/>
        <v>0</v>
      </c>
      <c r="M28" s="72">
        <f t="shared" ref="M28:M50" si="39">IF(L$10&lt;&gt;0,L28/L$10,0)</f>
        <v>0</v>
      </c>
      <c r="N28" s="71">
        <f t="shared" si="36"/>
        <v>0</v>
      </c>
      <c r="O28" s="72">
        <f t="shared" ref="O28:O50" si="40">IF(N$10&lt;&gt;0,N28/N$10,0)</f>
        <v>0</v>
      </c>
      <c r="P28" s="71">
        <f t="shared" si="36"/>
        <v>0</v>
      </c>
      <c r="Q28" s="72">
        <f t="shared" ref="Q28:Q50" si="41">IF(P$10&lt;&gt;0,P28/P$10,0)</f>
        <v>0</v>
      </c>
      <c r="R28" s="71">
        <f t="shared" si="36"/>
        <v>0</v>
      </c>
      <c r="S28" s="72">
        <f t="shared" ref="S28:S50" si="42">IF(R$10&lt;&gt;0,R28/R$10,0)</f>
        <v>0</v>
      </c>
      <c r="T28" s="71">
        <f t="shared" si="36"/>
        <v>0</v>
      </c>
      <c r="U28" s="72">
        <f t="shared" ref="U28:U50" si="43">IF(T$10&lt;&gt;0,T28/T$10,0)</f>
        <v>0</v>
      </c>
      <c r="V28" s="71">
        <f t="shared" si="36"/>
        <v>0</v>
      </c>
      <c r="W28" s="72">
        <f t="shared" ref="W28:W50" si="44">IF(V$10&lt;&gt;0,V28/V$10,0)</f>
        <v>0</v>
      </c>
      <c r="X28" s="71">
        <f t="shared" si="36"/>
        <v>0</v>
      </c>
      <c r="Y28" s="72">
        <f t="shared" ref="Y28:Y50" si="45">IF(X$10&lt;&gt;0,X28/X$10,0)</f>
        <v>0</v>
      </c>
      <c r="Z28" s="71">
        <f t="shared" si="36"/>
        <v>0</v>
      </c>
      <c r="AA28" s="72">
        <f t="shared" ref="AA28:AA50" si="46">IF(Z$10&lt;&gt;0,Z28/Z$10,0)</f>
        <v>0</v>
      </c>
    </row>
    <row r="29" spans="2:28">
      <c r="C29" s="8" t="s">
        <v>145</v>
      </c>
      <c r="D29" s="154">
        <f>SUM(月次PL!C18:C24)/1000</f>
        <v>2462.8760000000002</v>
      </c>
      <c r="E29" s="80">
        <f t="shared" si="34"/>
        <v>0.28534291244003646</v>
      </c>
      <c r="F29" s="78">
        <f>SUM(月次PL!D18:D24)/1000</f>
        <v>0</v>
      </c>
      <c r="G29" s="80">
        <f t="shared" si="35"/>
        <v>0</v>
      </c>
      <c r="H29" s="78">
        <f>SUM(月次PL!E18:E24)/1000</f>
        <v>0</v>
      </c>
      <c r="I29" s="80">
        <f t="shared" si="37"/>
        <v>0</v>
      </c>
      <c r="J29" s="78">
        <f>SUM(月次PL!F18:F24)/1000</f>
        <v>0</v>
      </c>
      <c r="K29" s="80">
        <f t="shared" si="38"/>
        <v>0</v>
      </c>
      <c r="L29" s="78">
        <f>SUM(月次PL!G18:G24)/1000</f>
        <v>0</v>
      </c>
      <c r="M29" s="80">
        <f t="shared" si="39"/>
        <v>0</v>
      </c>
      <c r="N29" s="78">
        <f>SUM(月次PL!H18:H24)/1000</f>
        <v>0</v>
      </c>
      <c r="O29" s="80">
        <f t="shared" si="40"/>
        <v>0</v>
      </c>
      <c r="P29" s="78">
        <f>SUM(月次PL!I18:I24)/1000</f>
        <v>0</v>
      </c>
      <c r="Q29" s="80">
        <f t="shared" si="41"/>
        <v>0</v>
      </c>
      <c r="R29" s="78">
        <f>SUM(月次PL!J18:J24)/1000</f>
        <v>0</v>
      </c>
      <c r="S29" s="80">
        <f t="shared" si="42"/>
        <v>0</v>
      </c>
      <c r="T29" s="78">
        <f>SUM(月次PL!K18:K24)/1000</f>
        <v>0</v>
      </c>
      <c r="U29" s="80">
        <f t="shared" si="43"/>
        <v>0</v>
      </c>
      <c r="V29" s="78">
        <f>SUM(月次PL!L18:L24)/1000</f>
        <v>0</v>
      </c>
      <c r="W29" s="80">
        <f t="shared" si="44"/>
        <v>0</v>
      </c>
      <c r="X29" s="78">
        <f>SUM(月次PL!M18:M24)/1000</f>
        <v>0</v>
      </c>
      <c r="Y29" s="80">
        <f t="shared" si="45"/>
        <v>0</v>
      </c>
      <c r="Z29" s="78">
        <f>SUM(月次PL!N18:N24)/1000</f>
        <v>0</v>
      </c>
      <c r="AA29" s="80">
        <f t="shared" si="46"/>
        <v>0</v>
      </c>
    </row>
    <row r="30" spans="2:28">
      <c r="C30" s="5" t="s">
        <v>230</v>
      </c>
      <c r="D30" s="151">
        <f>+月次PL!C27/1000</f>
        <v>41.261000000000003</v>
      </c>
      <c r="E30" s="75">
        <f t="shared" si="34"/>
        <v>4.7804006008375349E-3</v>
      </c>
      <c r="F30" s="39">
        <f>+月次PL!D27/1000</f>
        <v>0</v>
      </c>
      <c r="G30" s="75">
        <f t="shared" si="35"/>
        <v>0</v>
      </c>
      <c r="H30" s="39">
        <f>+月次PL!E27/1000</f>
        <v>0</v>
      </c>
      <c r="I30" s="75">
        <f t="shared" si="37"/>
        <v>0</v>
      </c>
      <c r="J30" s="39">
        <f>+月次PL!F27/1000</f>
        <v>0</v>
      </c>
      <c r="K30" s="75">
        <f t="shared" si="38"/>
        <v>0</v>
      </c>
      <c r="L30" s="39">
        <f>+月次PL!G27/1000</f>
        <v>0</v>
      </c>
      <c r="M30" s="75">
        <f t="shared" si="39"/>
        <v>0</v>
      </c>
      <c r="N30" s="39">
        <f>+月次PL!H27/1000</f>
        <v>0</v>
      </c>
      <c r="O30" s="75">
        <f t="shared" si="40"/>
        <v>0</v>
      </c>
      <c r="P30" s="39">
        <f>+月次PL!I27/1000</f>
        <v>0</v>
      </c>
      <c r="Q30" s="75">
        <f t="shared" si="41"/>
        <v>0</v>
      </c>
      <c r="R30" s="39">
        <f>+月次PL!J27/1000</f>
        <v>0</v>
      </c>
      <c r="S30" s="75">
        <f t="shared" si="42"/>
        <v>0</v>
      </c>
      <c r="T30" s="39">
        <f>+月次PL!K27/1000</f>
        <v>0</v>
      </c>
      <c r="U30" s="75">
        <f t="shared" si="43"/>
        <v>0</v>
      </c>
      <c r="V30" s="39">
        <f>+月次PL!L27/1000</f>
        <v>0</v>
      </c>
      <c r="W30" s="75">
        <f t="shared" si="44"/>
        <v>0</v>
      </c>
      <c r="X30" s="39">
        <f>+月次PL!M27/1000</f>
        <v>0</v>
      </c>
      <c r="Y30" s="75">
        <f t="shared" si="45"/>
        <v>0</v>
      </c>
      <c r="Z30" s="39">
        <f>+月次PL!N27/1000</f>
        <v>0</v>
      </c>
      <c r="AA30" s="75">
        <f t="shared" si="46"/>
        <v>0</v>
      </c>
    </row>
    <row r="31" spans="2:28">
      <c r="C31" s="5" t="s">
        <v>231</v>
      </c>
      <c r="D31" s="151">
        <f>+月次PL!C28/1000</f>
        <v>62.421999999999997</v>
      </c>
      <c r="E31" s="75">
        <f t="shared" si="34"/>
        <v>7.2320633602065048E-3</v>
      </c>
      <c r="F31" s="39">
        <f>+月次PL!D28/1000</f>
        <v>0</v>
      </c>
      <c r="G31" s="75">
        <f t="shared" si="35"/>
        <v>0</v>
      </c>
      <c r="H31" s="39">
        <f>+月次PL!E28/1000</f>
        <v>0</v>
      </c>
      <c r="I31" s="75">
        <f t="shared" si="37"/>
        <v>0</v>
      </c>
      <c r="J31" s="39">
        <f>+月次PL!F28/1000</f>
        <v>0</v>
      </c>
      <c r="K31" s="75">
        <f t="shared" si="38"/>
        <v>0</v>
      </c>
      <c r="L31" s="39">
        <f>+月次PL!G28/1000</f>
        <v>0</v>
      </c>
      <c r="M31" s="75">
        <f t="shared" si="39"/>
        <v>0</v>
      </c>
      <c r="N31" s="39">
        <f>+月次PL!H28/1000</f>
        <v>0</v>
      </c>
      <c r="O31" s="75">
        <f t="shared" si="40"/>
        <v>0</v>
      </c>
      <c r="P31" s="39">
        <f>+月次PL!I28/1000</f>
        <v>0</v>
      </c>
      <c r="Q31" s="75">
        <f t="shared" si="41"/>
        <v>0</v>
      </c>
      <c r="R31" s="39">
        <f>+月次PL!J28/1000</f>
        <v>0</v>
      </c>
      <c r="S31" s="75">
        <f t="shared" si="42"/>
        <v>0</v>
      </c>
      <c r="T31" s="39">
        <f>+月次PL!K28/1000</f>
        <v>0</v>
      </c>
      <c r="U31" s="75">
        <f t="shared" si="43"/>
        <v>0</v>
      </c>
      <c r="V31" s="39">
        <f>+月次PL!L28/1000</f>
        <v>0</v>
      </c>
      <c r="W31" s="75">
        <f t="shared" si="44"/>
        <v>0</v>
      </c>
      <c r="X31" s="39">
        <f>+月次PL!M28/1000</f>
        <v>0</v>
      </c>
      <c r="Y31" s="75">
        <f t="shared" si="45"/>
        <v>0</v>
      </c>
      <c r="Z31" s="39">
        <f>+月次PL!N28/1000</f>
        <v>0</v>
      </c>
      <c r="AA31" s="75">
        <f t="shared" si="46"/>
        <v>0</v>
      </c>
    </row>
    <row r="32" spans="2:28">
      <c r="C32" s="5" t="s">
        <v>232</v>
      </c>
      <c r="D32" s="151">
        <f>+月次PL!C43/1000</f>
        <v>0</v>
      </c>
      <c r="E32" s="75">
        <f t="shared" si="34"/>
        <v>0</v>
      </c>
      <c r="F32" s="39">
        <f>+月次PL!D43/1000</f>
        <v>0</v>
      </c>
      <c r="G32" s="75">
        <f t="shared" si="35"/>
        <v>0</v>
      </c>
      <c r="H32" s="39">
        <f>+月次PL!E43/1000</f>
        <v>0</v>
      </c>
      <c r="I32" s="75">
        <f t="shared" si="37"/>
        <v>0</v>
      </c>
      <c r="J32" s="39">
        <f>+月次PL!F43/1000</f>
        <v>0</v>
      </c>
      <c r="K32" s="75">
        <f t="shared" si="38"/>
        <v>0</v>
      </c>
      <c r="L32" s="39">
        <f>+月次PL!G43/1000</f>
        <v>0</v>
      </c>
      <c r="M32" s="75">
        <f t="shared" si="39"/>
        <v>0</v>
      </c>
      <c r="N32" s="39">
        <f>+月次PL!H43/1000</f>
        <v>0</v>
      </c>
      <c r="O32" s="75">
        <f t="shared" si="40"/>
        <v>0</v>
      </c>
      <c r="P32" s="39">
        <f>+月次PL!I43/1000</f>
        <v>0</v>
      </c>
      <c r="Q32" s="75">
        <f t="shared" si="41"/>
        <v>0</v>
      </c>
      <c r="R32" s="39">
        <f>+月次PL!J43/1000</f>
        <v>0</v>
      </c>
      <c r="S32" s="75">
        <f t="shared" si="42"/>
        <v>0</v>
      </c>
      <c r="T32" s="39">
        <f>+月次PL!K43/1000</f>
        <v>0</v>
      </c>
      <c r="U32" s="75">
        <f t="shared" si="43"/>
        <v>0</v>
      </c>
      <c r="V32" s="39">
        <f>+月次PL!L43/1000</f>
        <v>0</v>
      </c>
      <c r="W32" s="75">
        <f t="shared" si="44"/>
        <v>0</v>
      </c>
      <c r="X32" s="39">
        <f>+月次PL!M43/1000</f>
        <v>0</v>
      </c>
      <c r="Y32" s="75">
        <f t="shared" si="45"/>
        <v>0</v>
      </c>
      <c r="Z32" s="39">
        <f>+月次PL!N43/1000</f>
        <v>0</v>
      </c>
      <c r="AA32" s="75">
        <f t="shared" si="46"/>
        <v>0</v>
      </c>
    </row>
    <row r="33" spans="3:27">
      <c r="C33" s="5" t="s">
        <v>233</v>
      </c>
      <c r="D33" s="151">
        <f>+月次PL!C26/1000</f>
        <v>0</v>
      </c>
      <c r="E33" s="75">
        <f t="shared" si="34"/>
        <v>0</v>
      </c>
      <c r="F33" s="39">
        <f>+月次PL!D26/1000</f>
        <v>0</v>
      </c>
      <c r="G33" s="75">
        <f t="shared" si="35"/>
        <v>0</v>
      </c>
      <c r="H33" s="39">
        <f>+月次PL!E26/1000</f>
        <v>0</v>
      </c>
      <c r="I33" s="75">
        <f t="shared" si="37"/>
        <v>0</v>
      </c>
      <c r="J33" s="39">
        <f>+月次PL!F26/1000</f>
        <v>0</v>
      </c>
      <c r="K33" s="75">
        <f t="shared" si="38"/>
        <v>0</v>
      </c>
      <c r="L33" s="39">
        <f>+月次PL!G26/1000</f>
        <v>0</v>
      </c>
      <c r="M33" s="75">
        <f t="shared" si="39"/>
        <v>0</v>
      </c>
      <c r="N33" s="39">
        <f>+月次PL!H26/1000</f>
        <v>0</v>
      </c>
      <c r="O33" s="75">
        <f t="shared" si="40"/>
        <v>0</v>
      </c>
      <c r="P33" s="39">
        <f>+月次PL!I26/1000</f>
        <v>0</v>
      </c>
      <c r="Q33" s="75">
        <f t="shared" si="41"/>
        <v>0</v>
      </c>
      <c r="R33" s="39">
        <f>+月次PL!J26/1000</f>
        <v>0</v>
      </c>
      <c r="S33" s="75">
        <f t="shared" si="42"/>
        <v>0</v>
      </c>
      <c r="T33" s="39">
        <f>+月次PL!K26/1000</f>
        <v>0</v>
      </c>
      <c r="U33" s="75">
        <f t="shared" si="43"/>
        <v>0</v>
      </c>
      <c r="V33" s="39">
        <f>+月次PL!L26/1000</f>
        <v>0</v>
      </c>
      <c r="W33" s="75">
        <f t="shared" si="44"/>
        <v>0</v>
      </c>
      <c r="X33" s="39">
        <f>+月次PL!M26/1000</f>
        <v>0</v>
      </c>
      <c r="Y33" s="75">
        <f t="shared" si="45"/>
        <v>0</v>
      </c>
      <c r="Z33" s="39">
        <f>+月次PL!N26/1000</f>
        <v>0</v>
      </c>
      <c r="AA33" s="75">
        <f t="shared" si="46"/>
        <v>0</v>
      </c>
    </row>
    <row r="34" spans="3:27">
      <c r="C34" s="5" t="s">
        <v>234</v>
      </c>
      <c r="D34" s="151">
        <f>+月次PL!C38/1000</f>
        <v>7.2729999999999997</v>
      </c>
      <c r="E34" s="75">
        <f t="shared" si="34"/>
        <v>8.4263235427865031E-4</v>
      </c>
      <c r="F34" s="39">
        <f>+月次PL!D38/1000</f>
        <v>0</v>
      </c>
      <c r="G34" s="75">
        <f t="shared" si="35"/>
        <v>0</v>
      </c>
      <c r="H34" s="39">
        <f>+月次PL!E38/1000</f>
        <v>0</v>
      </c>
      <c r="I34" s="75">
        <f t="shared" si="37"/>
        <v>0</v>
      </c>
      <c r="J34" s="39">
        <f>+月次PL!F38/1000</f>
        <v>0</v>
      </c>
      <c r="K34" s="75">
        <f t="shared" si="38"/>
        <v>0</v>
      </c>
      <c r="L34" s="39">
        <f>+月次PL!G38/1000</f>
        <v>0</v>
      </c>
      <c r="M34" s="75">
        <f t="shared" si="39"/>
        <v>0</v>
      </c>
      <c r="N34" s="39">
        <f>+月次PL!H38/1000</f>
        <v>0</v>
      </c>
      <c r="O34" s="75">
        <f t="shared" si="40"/>
        <v>0</v>
      </c>
      <c r="P34" s="39">
        <f>+月次PL!I38/1000</f>
        <v>0</v>
      </c>
      <c r="Q34" s="75">
        <f t="shared" si="41"/>
        <v>0</v>
      </c>
      <c r="R34" s="39">
        <f>+月次PL!J38/1000</f>
        <v>0</v>
      </c>
      <c r="S34" s="75">
        <f t="shared" si="42"/>
        <v>0</v>
      </c>
      <c r="T34" s="39">
        <f>+月次PL!K38/1000</f>
        <v>0</v>
      </c>
      <c r="U34" s="75">
        <f t="shared" si="43"/>
        <v>0</v>
      </c>
      <c r="V34" s="39">
        <f>+月次PL!L38/1000</f>
        <v>0</v>
      </c>
      <c r="W34" s="75">
        <f t="shared" si="44"/>
        <v>0</v>
      </c>
      <c r="X34" s="39">
        <f>+月次PL!M38/1000</f>
        <v>0</v>
      </c>
      <c r="Y34" s="75">
        <f t="shared" si="45"/>
        <v>0</v>
      </c>
      <c r="Z34" s="39">
        <f>+月次PL!N38/1000</f>
        <v>0</v>
      </c>
      <c r="AA34" s="75">
        <f t="shared" si="46"/>
        <v>0</v>
      </c>
    </row>
    <row r="35" spans="3:27">
      <c r="C35" s="5" t="s">
        <v>235</v>
      </c>
      <c r="D35" s="151">
        <f>+月次PL!C40/1000</f>
        <v>749.95399999999995</v>
      </c>
      <c r="E35" s="75">
        <f t="shared" si="34"/>
        <v>8.688787359008536E-2</v>
      </c>
      <c r="F35" s="39">
        <f>+月次PL!D40/1000</f>
        <v>0</v>
      </c>
      <c r="G35" s="75">
        <f t="shared" si="35"/>
        <v>0</v>
      </c>
      <c r="H35" s="39">
        <f>+月次PL!E40/1000</f>
        <v>0</v>
      </c>
      <c r="I35" s="75">
        <f t="shared" si="37"/>
        <v>0</v>
      </c>
      <c r="J35" s="39">
        <f>+月次PL!F40/1000</f>
        <v>0</v>
      </c>
      <c r="K35" s="75">
        <f t="shared" si="38"/>
        <v>0</v>
      </c>
      <c r="L35" s="39">
        <f>+月次PL!G40/1000</f>
        <v>0</v>
      </c>
      <c r="M35" s="75">
        <f t="shared" si="39"/>
        <v>0</v>
      </c>
      <c r="N35" s="39">
        <f>+月次PL!H40/1000</f>
        <v>0</v>
      </c>
      <c r="O35" s="75">
        <f t="shared" si="40"/>
        <v>0</v>
      </c>
      <c r="P35" s="39">
        <f>+月次PL!I40/1000</f>
        <v>0</v>
      </c>
      <c r="Q35" s="75">
        <f t="shared" si="41"/>
        <v>0</v>
      </c>
      <c r="R35" s="39">
        <f>+月次PL!J40/1000</f>
        <v>0</v>
      </c>
      <c r="S35" s="75">
        <f t="shared" si="42"/>
        <v>0</v>
      </c>
      <c r="T35" s="39">
        <f>+月次PL!K40/1000</f>
        <v>0</v>
      </c>
      <c r="U35" s="75">
        <f t="shared" si="43"/>
        <v>0</v>
      </c>
      <c r="V35" s="39">
        <f>+月次PL!L40/1000</f>
        <v>0</v>
      </c>
      <c r="W35" s="75">
        <f t="shared" si="44"/>
        <v>0</v>
      </c>
      <c r="X35" s="39">
        <f>+月次PL!M40/1000</f>
        <v>0</v>
      </c>
      <c r="Y35" s="75">
        <f t="shared" si="45"/>
        <v>0</v>
      </c>
      <c r="Z35" s="39">
        <f>+月次PL!N40/1000</f>
        <v>0</v>
      </c>
      <c r="AA35" s="75">
        <f t="shared" si="46"/>
        <v>0</v>
      </c>
    </row>
    <row r="36" spans="3:27">
      <c r="C36" s="5" t="s">
        <v>236</v>
      </c>
      <c r="D36" s="151">
        <f>+月次PL!C34/1000</f>
        <v>30</v>
      </c>
      <c r="E36" s="75">
        <f t="shared" si="34"/>
        <v>3.4757281215948726E-3</v>
      </c>
      <c r="F36" s="39">
        <f>+月次PL!D34/1000</f>
        <v>0</v>
      </c>
      <c r="G36" s="75">
        <f t="shared" si="35"/>
        <v>0</v>
      </c>
      <c r="H36" s="39">
        <f>+月次PL!E34/1000</f>
        <v>0</v>
      </c>
      <c r="I36" s="75">
        <f t="shared" si="37"/>
        <v>0</v>
      </c>
      <c r="J36" s="39">
        <f>+月次PL!F34/1000</f>
        <v>0</v>
      </c>
      <c r="K36" s="75">
        <f t="shared" si="38"/>
        <v>0</v>
      </c>
      <c r="L36" s="39">
        <f>+月次PL!G34/1000</f>
        <v>0</v>
      </c>
      <c r="M36" s="75">
        <f t="shared" si="39"/>
        <v>0</v>
      </c>
      <c r="N36" s="39">
        <f>+月次PL!H34/1000</f>
        <v>0</v>
      </c>
      <c r="O36" s="75">
        <f t="shared" si="40"/>
        <v>0</v>
      </c>
      <c r="P36" s="39">
        <f>+月次PL!I34/1000</f>
        <v>0</v>
      </c>
      <c r="Q36" s="75">
        <f t="shared" si="41"/>
        <v>0</v>
      </c>
      <c r="R36" s="39">
        <f>+月次PL!J34/1000</f>
        <v>0</v>
      </c>
      <c r="S36" s="75">
        <f t="shared" si="42"/>
        <v>0</v>
      </c>
      <c r="T36" s="39">
        <f>+月次PL!K34/1000</f>
        <v>0</v>
      </c>
      <c r="U36" s="75">
        <f t="shared" si="43"/>
        <v>0</v>
      </c>
      <c r="V36" s="39">
        <f>+月次PL!L34/1000</f>
        <v>0</v>
      </c>
      <c r="W36" s="75">
        <f t="shared" si="44"/>
        <v>0</v>
      </c>
      <c r="X36" s="39">
        <f>+月次PL!M34/1000</f>
        <v>0</v>
      </c>
      <c r="Y36" s="75">
        <f t="shared" si="45"/>
        <v>0</v>
      </c>
      <c r="Z36" s="39">
        <f>+月次PL!N34/1000</f>
        <v>0</v>
      </c>
      <c r="AA36" s="75">
        <f t="shared" si="46"/>
        <v>0</v>
      </c>
    </row>
    <row r="37" spans="3:27">
      <c r="C37" s="5" t="s">
        <v>237</v>
      </c>
      <c r="D37" s="151">
        <f>+月次PL!C33/1000</f>
        <v>1295.6610000000001</v>
      </c>
      <c r="E37" s="75">
        <f t="shared" si="34"/>
        <v>0.15011217912512448</v>
      </c>
      <c r="F37" s="39">
        <f>+月次PL!D33/1000</f>
        <v>0</v>
      </c>
      <c r="G37" s="75">
        <f t="shared" si="35"/>
        <v>0</v>
      </c>
      <c r="H37" s="39">
        <f>+月次PL!E33/1000</f>
        <v>0</v>
      </c>
      <c r="I37" s="75">
        <f t="shared" si="37"/>
        <v>0</v>
      </c>
      <c r="J37" s="39">
        <f>+月次PL!F33/1000</f>
        <v>0</v>
      </c>
      <c r="K37" s="75">
        <f t="shared" si="38"/>
        <v>0</v>
      </c>
      <c r="L37" s="39">
        <f>+月次PL!G33/1000</f>
        <v>0</v>
      </c>
      <c r="M37" s="75">
        <f t="shared" si="39"/>
        <v>0</v>
      </c>
      <c r="N37" s="39">
        <f>+月次PL!H33/1000</f>
        <v>0</v>
      </c>
      <c r="O37" s="75">
        <f t="shared" si="40"/>
        <v>0</v>
      </c>
      <c r="P37" s="39">
        <f>+月次PL!I33/1000</f>
        <v>0</v>
      </c>
      <c r="Q37" s="75">
        <f t="shared" si="41"/>
        <v>0</v>
      </c>
      <c r="R37" s="39">
        <f>+月次PL!J33/1000</f>
        <v>0</v>
      </c>
      <c r="S37" s="75">
        <f t="shared" si="42"/>
        <v>0</v>
      </c>
      <c r="T37" s="39">
        <f>+月次PL!K33/1000</f>
        <v>0</v>
      </c>
      <c r="U37" s="75">
        <f t="shared" si="43"/>
        <v>0</v>
      </c>
      <c r="V37" s="39">
        <f>+月次PL!L33/1000</f>
        <v>0</v>
      </c>
      <c r="W37" s="75">
        <f t="shared" si="44"/>
        <v>0</v>
      </c>
      <c r="X37" s="39">
        <f>+月次PL!M33/1000</f>
        <v>0</v>
      </c>
      <c r="Y37" s="75">
        <f t="shared" si="45"/>
        <v>0</v>
      </c>
      <c r="Z37" s="39">
        <f>+月次PL!N33/1000</f>
        <v>0</v>
      </c>
      <c r="AA37" s="75">
        <f t="shared" si="46"/>
        <v>0</v>
      </c>
    </row>
    <row r="38" spans="3:27">
      <c r="C38" s="5" t="s">
        <v>238</v>
      </c>
      <c r="D38" s="151">
        <f>+月次PL!C32/1000</f>
        <v>49.7</v>
      </c>
      <c r="E38" s="75">
        <f t="shared" si="34"/>
        <v>5.7581229214421726E-3</v>
      </c>
      <c r="F38" s="39">
        <f>+月次PL!D32/1000</f>
        <v>0</v>
      </c>
      <c r="G38" s="75">
        <f t="shared" si="35"/>
        <v>0</v>
      </c>
      <c r="H38" s="39">
        <f>+月次PL!E32/1000</f>
        <v>0</v>
      </c>
      <c r="I38" s="75">
        <f t="shared" si="37"/>
        <v>0</v>
      </c>
      <c r="J38" s="39">
        <f>+月次PL!F32/1000</f>
        <v>0</v>
      </c>
      <c r="K38" s="75">
        <f t="shared" si="38"/>
        <v>0</v>
      </c>
      <c r="L38" s="39">
        <f>+月次PL!G32/1000</f>
        <v>0</v>
      </c>
      <c r="M38" s="75">
        <f t="shared" si="39"/>
        <v>0</v>
      </c>
      <c r="N38" s="39">
        <f>+月次PL!H32/1000</f>
        <v>0</v>
      </c>
      <c r="O38" s="75">
        <f t="shared" si="40"/>
        <v>0</v>
      </c>
      <c r="P38" s="39">
        <f>+月次PL!I32/1000</f>
        <v>0</v>
      </c>
      <c r="Q38" s="75">
        <f t="shared" si="41"/>
        <v>0</v>
      </c>
      <c r="R38" s="39">
        <f>+月次PL!J32/1000</f>
        <v>0</v>
      </c>
      <c r="S38" s="75">
        <f t="shared" si="42"/>
        <v>0</v>
      </c>
      <c r="T38" s="39">
        <f>+月次PL!K32/1000</f>
        <v>0</v>
      </c>
      <c r="U38" s="75">
        <f t="shared" si="43"/>
        <v>0</v>
      </c>
      <c r="V38" s="39">
        <f>+月次PL!L32/1000</f>
        <v>0</v>
      </c>
      <c r="W38" s="75">
        <f t="shared" si="44"/>
        <v>0</v>
      </c>
      <c r="X38" s="39">
        <f>+月次PL!M32/1000</f>
        <v>0</v>
      </c>
      <c r="Y38" s="75">
        <f t="shared" si="45"/>
        <v>0</v>
      </c>
      <c r="Z38" s="39">
        <f>+月次PL!N32/1000</f>
        <v>0</v>
      </c>
      <c r="AA38" s="75">
        <f t="shared" si="46"/>
        <v>0</v>
      </c>
    </row>
    <row r="39" spans="3:27">
      <c r="C39" s="5" t="s">
        <v>239</v>
      </c>
      <c r="D39" s="151">
        <f>+月次PL!C30/1000</f>
        <v>0</v>
      </c>
      <c r="E39" s="75">
        <f t="shared" si="34"/>
        <v>0</v>
      </c>
      <c r="F39" s="39">
        <f>+月次PL!D30/1000</f>
        <v>0</v>
      </c>
      <c r="G39" s="75">
        <f t="shared" si="35"/>
        <v>0</v>
      </c>
      <c r="H39" s="39">
        <f>+月次PL!E30/1000</f>
        <v>0</v>
      </c>
      <c r="I39" s="75">
        <f t="shared" si="37"/>
        <v>0</v>
      </c>
      <c r="J39" s="39">
        <f>+月次PL!F30/1000</f>
        <v>0</v>
      </c>
      <c r="K39" s="75">
        <f t="shared" si="38"/>
        <v>0</v>
      </c>
      <c r="L39" s="39">
        <f>+月次PL!G30/1000</f>
        <v>0</v>
      </c>
      <c r="M39" s="75">
        <f t="shared" si="39"/>
        <v>0</v>
      </c>
      <c r="N39" s="39">
        <f>+月次PL!H30/1000</f>
        <v>0</v>
      </c>
      <c r="O39" s="75">
        <f t="shared" si="40"/>
        <v>0</v>
      </c>
      <c r="P39" s="39">
        <f>+月次PL!I30/1000</f>
        <v>0</v>
      </c>
      <c r="Q39" s="75">
        <f t="shared" si="41"/>
        <v>0</v>
      </c>
      <c r="R39" s="39">
        <f>+月次PL!J30/1000</f>
        <v>0</v>
      </c>
      <c r="S39" s="75">
        <f t="shared" si="42"/>
        <v>0</v>
      </c>
      <c r="T39" s="39">
        <f>+月次PL!K30/1000</f>
        <v>0</v>
      </c>
      <c r="U39" s="75">
        <f t="shared" si="43"/>
        <v>0</v>
      </c>
      <c r="V39" s="39">
        <f>+月次PL!L30/1000</f>
        <v>0</v>
      </c>
      <c r="W39" s="75">
        <f t="shared" si="44"/>
        <v>0</v>
      </c>
      <c r="X39" s="39">
        <f>+月次PL!M30/1000</f>
        <v>0</v>
      </c>
      <c r="Y39" s="75">
        <f t="shared" si="45"/>
        <v>0</v>
      </c>
      <c r="Z39" s="39">
        <f>+月次PL!N30/1000</f>
        <v>0</v>
      </c>
      <c r="AA39" s="75">
        <f t="shared" si="46"/>
        <v>0</v>
      </c>
    </row>
    <row r="40" spans="3:27">
      <c r="C40" s="5" t="s">
        <v>240</v>
      </c>
      <c r="D40" s="151">
        <f>+月次PL!C35/1000</f>
        <v>28.375</v>
      </c>
      <c r="E40" s="75">
        <f t="shared" si="34"/>
        <v>3.2874595150084837E-3</v>
      </c>
      <c r="F40" s="39">
        <f>+月次PL!D35/1000</f>
        <v>0</v>
      </c>
      <c r="G40" s="75">
        <f t="shared" si="35"/>
        <v>0</v>
      </c>
      <c r="H40" s="39">
        <f>+月次PL!E35/1000</f>
        <v>0</v>
      </c>
      <c r="I40" s="75">
        <f t="shared" si="37"/>
        <v>0</v>
      </c>
      <c r="J40" s="39">
        <f>+月次PL!F35/1000</f>
        <v>0</v>
      </c>
      <c r="K40" s="75">
        <f t="shared" si="38"/>
        <v>0</v>
      </c>
      <c r="L40" s="39">
        <f>+月次PL!G35/1000</f>
        <v>0</v>
      </c>
      <c r="M40" s="75">
        <f t="shared" si="39"/>
        <v>0</v>
      </c>
      <c r="N40" s="39">
        <f>+月次PL!H35/1000</f>
        <v>0</v>
      </c>
      <c r="O40" s="75">
        <f t="shared" si="40"/>
        <v>0</v>
      </c>
      <c r="P40" s="39">
        <f>+月次PL!I35/1000</f>
        <v>0</v>
      </c>
      <c r="Q40" s="75">
        <f t="shared" si="41"/>
        <v>0</v>
      </c>
      <c r="R40" s="39">
        <f>+月次PL!J35/1000</f>
        <v>0</v>
      </c>
      <c r="S40" s="75">
        <f t="shared" si="42"/>
        <v>0</v>
      </c>
      <c r="T40" s="39">
        <f>+月次PL!K35/1000</f>
        <v>0</v>
      </c>
      <c r="U40" s="75">
        <f t="shared" si="43"/>
        <v>0</v>
      </c>
      <c r="V40" s="39">
        <f>+月次PL!L35/1000</f>
        <v>0</v>
      </c>
      <c r="W40" s="75">
        <f t="shared" si="44"/>
        <v>0</v>
      </c>
      <c r="X40" s="39">
        <f>+月次PL!M35/1000</f>
        <v>0</v>
      </c>
      <c r="Y40" s="75">
        <f t="shared" si="45"/>
        <v>0</v>
      </c>
      <c r="Z40" s="39">
        <f>+月次PL!N35/1000</f>
        <v>0</v>
      </c>
      <c r="AA40" s="75">
        <f t="shared" si="46"/>
        <v>0</v>
      </c>
    </row>
    <row r="41" spans="3:27">
      <c r="C41" s="5" t="s">
        <v>241</v>
      </c>
      <c r="D41" s="151">
        <f>+月次PL!C29/1000</f>
        <v>659.46799999999996</v>
      </c>
      <c r="E41" s="75">
        <f t="shared" si="34"/>
        <v>7.640438242973091E-2</v>
      </c>
      <c r="F41" s="39">
        <f>+月次PL!D29/1000</f>
        <v>0</v>
      </c>
      <c r="G41" s="75">
        <f t="shared" si="35"/>
        <v>0</v>
      </c>
      <c r="H41" s="39">
        <f>+月次PL!E29/1000</f>
        <v>0</v>
      </c>
      <c r="I41" s="75">
        <f t="shared" si="37"/>
        <v>0</v>
      </c>
      <c r="J41" s="39">
        <f>+月次PL!F29/1000</f>
        <v>0</v>
      </c>
      <c r="K41" s="75">
        <f t="shared" si="38"/>
        <v>0</v>
      </c>
      <c r="L41" s="39">
        <f>+月次PL!G29/1000</f>
        <v>0</v>
      </c>
      <c r="M41" s="75">
        <f t="shared" si="39"/>
        <v>0</v>
      </c>
      <c r="N41" s="39">
        <f>+月次PL!H29/1000</f>
        <v>0</v>
      </c>
      <c r="O41" s="75">
        <f t="shared" si="40"/>
        <v>0</v>
      </c>
      <c r="P41" s="39">
        <f>+月次PL!I29/1000</f>
        <v>0</v>
      </c>
      <c r="Q41" s="75">
        <f t="shared" si="41"/>
        <v>0</v>
      </c>
      <c r="R41" s="39">
        <f>+月次PL!J29/1000</f>
        <v>0</v>
      </c>
      <c r="S41" s="75">
        <f t="shared" si="42"/>
        <v>0</v>
      </c>
      <c r="T41" s="39">
        <f>+月次PL!K29/1000</f>
        <v>0</v>
      </c>
      <c r="U41" s="75">
        <f t="shared" si="43"/>
        <v>0</v>
      </c>
      <c r="V41" s="39">
        <f>+月次PL!L29/1000</f>
        <v>0</v>
      </c>
      <c r="W41" s="75">
        <f t="shared" si="44"/>
        <v>0</v>
      </c>
      <c r="X41" s="39">
        <f>+月次PL!M29/1000</f>
        <v>0</v>
      </c>
      <c r="Y41" s="75">
        <f t="shared" si="45"/>
        <v>0</v>
      </c>
      <c r="Z41" s="39">
        <f>+月次PL!N29/1000</f>
        <v>0</v>
      </c>
      <c r="AA41" s="75">
        <f t="shared" si="46"/>
        <v>0</v>
      </c>
    </row>
    <row r="42" spans="3:27">
      <c r="C42" s="5" t="s">
        <v>242</v>
      </c>
      <c r="D42" s="151">
        <f>+月次PL!C31/1000</f>
        <v>207.018</v>
      </c>
      <c r="E42" s="75">
        <f t="shared" si="34"/>
        <v>2.3984609475877577E-2</v>
      </c>
      <c r="F42" s="39">
        <f>+月次PL!D31/1000</f>
        <v>0</v>
      </c>
      <c r="G42" s="75">
        <f t="shared" si="35"/>
        <v>0</v>
      </c>
      <c r="H42" s="39">
        <f>+月次PL!E31/1000</f>
        <v>0</v>
      </c>
      <c r="I42" s="75">
        <f t="shared" si="37"/>
        <v>0</v>
      </c>
      <c r="J42" s="39">
        <f>+月次PL!F31/1000</f>
        <v>0</v>
      </c>
      <c r="K42" s="75">
        <f t="shared" si="38"/>
        <v>0</v>
      </c>
      <c r="L42" s="39">
        <f>+月次PL!G31/1000</f>
        <v>0</v>
      </c>
      <c r="M42" s="75">
        <f t="shared" si="39"/>
        <v>0</v>
      </c>
      <c r="N42" s="39">
        <f>+月次PL!H31/1000</f>
        <v>0</v>
      </c>
      <c r="O42" s="75">
        <f t="shared" si="40"/>
        <v>0</v>
      </c>
      <c r="P42" s="39">
        <f>+月次PL!I31/1000</f>
        <v>0</v>
      </c>
      <c r="Q42" s="75">
        <f t="shared" si="41"/>
        <v>0</v>
      </c>
      <c r="R42" s="39">
        <f>+月次PL!J31/1000</f>
        <v>0</v>
      </c>
      <c r="S42" s="75">
        <f t="shared" si="42"/>
        <v>0</v>
      </c>
      <c r="T42" s="39">
        <f>+月次PL!K31/1000</f>
        <v>0</v>
      </c>
      <c r="U42" s="75">
        <f t="shared" si="43"/>
        <v>0</v>
      </c>
      <c r="V42" s="39">
        <f>+月次PL!L31/1000</f>
        <v>0</v>
      </c>
      <c r="W42" s="75">
        <f t="shared" si="44"/>
        <v>0</v>
      </c>
      <c r="X42" s="39">
        <f>+月次PL!M31/1000</f>
        <v>0</v>
      </c>
      <c r="Y42" s="75">
        <f t="shared" si="45"/>
        <v>0</v>
      </c>
      <c r="Z42" s="39">
        <f>+月次PL!N31/1000</f>
        <v>0</v>
      </c>
      <c r="AA42" s="75">
        <f t="shared" si="46"/>
        <v>0</v>
      </c>
    </row>
    <row r="43" spans="3:27">
      <c r="C43" s="5" t="s">
        <v>243</v>
      </c>
      <c r="D43" s="151">
        <f>+月次PL!C36/1000</f>
        <v>124</v>
      </c>
      <c r="E43" s="75">
        <f t="shared" si="34"/>
        <v>1.4366342902592141E-2</v>
      </c>
      <c r="F43" s="39">
        <f>+月次PL!D36/1000</f>
        <v>0</v>
      </c>
      <c r="G43" s="75">
        <f t="shared" si="35"/>
        <v>0</v>
      </c>
      <c r="H43" s="39">
        <f>+月次PL!E36/1000</f>
        <v>0</v>
      </c>
      <c r="I43" s="75">
        <f t="shared" si="37"/>
        <v>0</v>
      </c>
      <c r="J43" s="39">
        <f>+月次PL!F36/1000</f>
        <v>0</v>
      </c>
      <c r="K43" s="75">
        <f t="shared" si="38"/>
        <v>0</v>
      </c>
      <c r="L43" s="39">
        <f>+月次PL!G36/1000</f>
        <v>0</v>
      </c>
      <c r="M43" s="75">
        <f t="shared" si="39"/>
        <v>0</v>
      </c>
      <c r="N43" s="39">
        <f>+月次PL!H36/1000</f>
        <v>0</v>
      </c>
      <c r="O43" s="75">
        <f t="shared" si="40"/>
        <v>0</v>
      </c>
      <c r="P43" s="39">
        <f>+月次PL!I36/1000</f>
        <v>0</v>
      </c>
      <c r="Q43" s="75">
        <f t="shared" si="41"/>
        <v>0</v>
      </c>
      <c r="R43" s="39">
        <f>+月次PL!J36/1000</f>
        <v>0</v>
      </c>
      <c r="S43" s="75">
        <f t="shared" si="42"/>
        <v>0</v>
      </c>
      <c r="T43" s="39">
        <f>+月次PL!K36/1000</f>
        <v>0</v>
      </c>
      <c r="U43" s="75">
        <f t="shared" si="43"/>
        <v>0</v>
      </c>
      <c r="V43" s="39">
        <f>+月次PL!L36/1000</f>
        <v>0</v>
      </c>
      <c r="W43" s="75">
        <f t="shared" si="44"/>
        <v>0</v>
      </c>
      <c r="X43" s="39">
        <f>+月次PL!M36/1000</f>
        <v>0</v>
      </c>
      <c r="Y43" s="75">
        <f t="shared" si="45"/>
        <v>0</v>
      </c>
      <c r="Z43" s="39">
        <f>+月次PL!N36/1000</f>
        <v>0</v>
      </c>
      <c r="AA43" s="75">
        <f t="shared" si="46"/>
        <v>0</v>
      </c>
    </row>
    <row r="44" spans="3:27">
      <c r="C44" s="5" t="s">
        <v>244</v>
      </c>
      <c r="D44" s="151">
        <f>+月次PL!C25/1000</f>
        <v>124.456</v>
      </c>
      <c r="E44" s="75">
        <f t="shared" si="34"/>
        <v>1.4419173970040383E-2</v>
      </c>
      <c r="F44" s="39">
        <f>+月次PL!D25/1000</f>
        <v>0</v>
      </c>
      <c r="G44" s="75">
        <f t="shared" si="35"/>
        <v>0</v>
      </c>
      <c r="H44" s="39">
        <f>+月次PL!E25/1000</f>
        <v>0</v>
      </c>
      <c r="I44" s="75">
        <f t="shared" si="37"/>
        <v>0</v>
      </c>
      <c r="J44" s="39">
        <f>+月次PL!F25/1000</f>
        <v>0</v>
      </c>
      <c r="K44" s="75">
        <f t="shared" si="38"/>
        <v>0</v>
      </c>
      <c r="L44" s="39">
        <f>+月次PL!G25/1000</f>
        <v>0</v>
      </c>
      <c r="M44" s="75">
        <f t="shared" si="39"/>
        <v>0</v>
      </c>
      <c r="N44" s="39">
        <f>+月次PL!H25/1000</f>
        <v>0</v>
      </c>
      <c r="O44" s="75">
        <f t="shared" si="40"/>
        <v>0</v>
      </c>
      <c r="P44" s="39">
        <f>+月次PL!I25/1000</f>
        <v>0</v>
      </c>
      <c r="Q44" s="75">
        <f t="shared" si="41"/>
        <v>0</v>
      </c>
      <c r="R44" s="39">
        <f>+月次PL!J25/1000</f>
        <v>0</v>
      </c>
      <c r="S44" s="75">
        <f t="shared" si="42"/>
        <v>0</v>
      </c>
      <c r="T44" s="39">
        <f>+月次PL!K25/1000</f>
        <v>0</v>
      </c>
      <c r="U44" s="75">
        <f t="shared" si="43"/>
        <v>0</v>
      </c>
      <c r="V44" s="39">
        <f>+月次PL!L25/1000</f>
        <v>0</v>
      </c>
      <c r="W44" s="75">
        <f t="shared" si="44"/>
        <v>0</v>
      </c>
      <c r="X44" s="39">
        <f>+月次PL!M25/1000</f>
        <v>0</v>
      </c>
      <c r="Y44" s="75">
        <f t="shared" si="45"/>
        <v>0</v>
      </c>
      <c r="Z44" s="39">
        <f>+月次PL!N25/1000</f>
        <v>0</v>
      </c>
      <c r="AA44" s="75">
        <f t="shared" si="46"/>
        <v>0</v>
      </c>
    </row>
    <row r="45" spans="3:27">
      <c r="C45" s="5" t="s">
        <v>245</v>
      </c>
      <c r="D45" s="151">
        <f>+月次PL!C37/1000</f>
        <v>208.46799999999999</v>
      </c>
      <c r="E45" s="75">
        <f t="shared" si="34"/>
        <v>2.4152603001754664E-2</v>
      </c>
      <c r="F45" s="39">
        <f>+月次PL!D37/1000</f>
        <v>0</v>
      </c>
      <c r="G45" s="75">
        <f t="shared" si="35"/>
        <v>0</v>
      </c>
      <c r="H45" s="39">
        <f>+月次PL!E37/1000</f>
        <v>0</v>
      </c>
      <c r="I45" s="75">
        <f t="shared" si="37"/>
        <v>0</v>
      </c>
      <c r="J45" s="39">
        <f>+月次PL!F37/1000</f>
        <v>0</v>
      </c>
      <c r="K45" s="75">
        <f t="shared" si="38"/>
        <v>0</v>
      </c>
      <c r="L45" s="39">
        <f>+月次PL!G37/1000</f>
        <v>0</v>
      </c>
      <c r="M45" s="75">
        <f t="shared" si="39"/>
        <v>0</v>
      </c>
      <c r="N45" s="39">
        <f>+月次PL!H37/1000</f>
        <v>0</v>
      </c>
      <c r="O45" s="75">
        <f t="shared" si="40"/>
        <v>0</v>
      </c>
      <c r="P45" s="39">
        <f>+月次PL!I37/1000</f>
        <v>0</v>
      </c>
      <c r="Q45" s="75">
        <f t="shared" si="41"/>
        <v>0</v>
      </c>
      <c r="R45" s="39">
        <f>+月次PL!J37/1000</f>
        <v>0</v>
      </c>
      <c r="S45" s="75">
        <f t="shared" si="42"/>
        <v>0</v>
      </c>
      <c r="T45" s="39">
        <f>+月次PL!K37/1000</f>
        <v>0</v>
      </c>
      <c r="U45" s="75">
        <f t="shared" si="43"/>
        <v>0</v>
      </c>
      <c r="V45" s="39">
        <f>+月次PL!L37/1000</f>
        <v>0</v>
      </c>
      <c r="W45" s="75">
        <f t="shared" si="44"/>
        <v>0</v>
      </c>
      <c r="X45" s="39">
        <f>+月次PL!M37/1000</f>
        <v>0</v>
      </c>
      <c r="Y45" s="75">
        <f t="shared" si="45"/>
        <v>0</v>
      </c>
      <c r="Z45" s="39">
        <f>+月次PL!N37/1000</f>
        <v>0</v>
      </c>
      <c r="AA45" s="75">
        <f t="shared" si="46"/>
        <v>0</v>
      </c>
    </row>
    <row r="46" spans="3:27">
      <c r="C46" s="5" t="s">
        <v>246</v>
      </c>
      <c r="D46" s="151">
        <f>+月次PL!C39/1000</f>
        <v>0</v>
      </c>
      <c r="E46" s="75">
        <f t="shared" si="34"/>
        <v>0</v>
      </c>
      <c r="F46" s="39">
        <f>+月次PL!D39/1000</f>
        <v>0</v>
      </c>
      <c r="G46" s="75">
        <f t="shared" si="35"/>
        <v>0</v>
      </c>
      <c r="H46" s="39">
        <f>+月次PL!E39/1000</f>
        <v>0</v>
      </c>
      <c r="I46" s="75">
        <f t="shared" si="37"/>
        <v>0</v>
      </c>
      <c r="J46" s="39">
        <f>+月次PL!F39/1000</f>
        <v>0</v>
      </c>
      <c r="K46" s="75">
        <f t="shared" si="38"/>
        <v>0</v>
      </c>
      <c r="L46" s="39">
        <f>+月次PL!G39/1000</f>
        <v>0</v>
      </c>
      <c r="M46" s="75">
        <f t="shared" si="39"/>
        <v>0</v>
      </c>
      <c r="N46" s="39">
        <f>+月次PL!H39/1000</f>
        <v>0</v>
      </c>
      <c r="O46" s="75">
        <f t="shared" si="40"/>
        <v>0</v>
      </c>
      <c r="P46" s="39">
        <f>+月次PL!I39/1000</f>
        <v>0</v>
      </c>
      <c r="Q46" s="75">
        <f t="shared" si="41"/>
        <v>0</v>
      </c>
      <c r="R46" s="39">
        <f>+月次PL!J39/1000</f>
        <v>0</v>
      </c>
      <c r="S46" s="75">
        <f t="shared" si="42"/>
        <v>0</v>
      </c>
      <c r="T46" s="39">
        <f>+月次PL!K39/1000</f>
        <v>0</v>
      </c>
      <c r="U46" s="75">
        <f t="shared" si="43"/>
        <v>0</v>
      </c>
      <c r="V46" s="39">
        <f>+月次PL!L39/1000</f>
        <v>0</v>
      </c>
      <c r="W46" s="75">
        <f t="shared" si="44"/>
        <v>0</v>
      </c>
      <c r="X46" s="39">
        <f>+月次PL!M39/1000</f>
        <v>0</v>
      </c>
      <c r="Y46" s="75">
        <f t="shared" si="45"/>
        <v>0</v>
      </c>
      <c r="Z46" s="39">
        <f>+月次PL!N39/1000</f>
        <v>0</v>
      </c>
      <c r="AA46" s="75">
        <f t="shared" si="46"/>
        <v>0</v>
      </c>
    </row>
    <row r="47" spans="3:27">
      <c r="C47" s="5" t="s">
        <v>247</v>
      </c>
      <c r="D47" s="151">
        <f>+月次PL!C42/1000</f>
        <v>70</v>
      </c>
      <c r="E47" s="75">
        <f t="shared" si="34"/>
        <v>8.110032283721369E-3</v>
      </c>
      <c r="F47" s="39">
        <f>+月次PL!D42/1000</f>
        <v>0</v>
      </c>
      <c r="G47" s="75">
        <f t="shared" si="35"/>
        <v>0</v>
      </c>
      <c r="H47" s="39">
        <f>+月次PL!E42/1000</f>
        <v>0</v>
      </c>
      <c r="I47" s="75">
        <f t="shared" si="37"/>
        <v>0</v>
      </c>
      <c r="J47" s="39">
        <f>+月次PL!F42/1000</f>
        <v>0</v>
      </c>
      <c r="K47" s="75">
        <f t="shared" si="38"/>
        <v>0</v>
      </c>
      <c r="L47" s="39">
        <f>+月次PL!G42/1000</f>
        <v>0</v>
      </c>
      <c r="M47" s="75">
        <f t="shared" si="39"/>
        <v>0</v>
      </c>
      <c r="N47" s="39">
        <f>+月次PL!H42/1000</f>
        <v>0</v>
      </c>
      <c r="O47" s="75">
        <f t="shared" si="40"/>
        <v>0</v>
      </c>
      <c r="P47" s="39">
        <f>+月次PL!I42/1000</f>
        <v>0</v>
      </c>
      <c r="Q47" s="75">
        <f t="shared" si="41"/>
        <v>0</v>
      </c>
      <c r="R47" s="39">
        <f>+月次PL!J42/1000</f>
        <v>0</v>
      </c>
      <c r="S47" s="75">
        <f t="shared" si="42"/>
        <v>0</v>
      </c>
      <c r="T47" s="39">
        <f>+月次PL!K42/1000</f>
        <v>0</v>
      </c>
      <c r="U47" s="75">
        <f t="shared" si="43"/>
        <v>0</v>
      </c>
      <c r="V47" s="39">
        <f>+月次PL!L42/1000</f>
        <v>0</v>
      </c>
      <c r="W47" s="75">
        <f t="shared" si="44"/>
        <v>0</v>
      </c>
      <c r="X47" s="39">
        <f>+月次PL!M42/1000</f>
        <v>0</v>
      </c>
      <c r="Y47" s="75">
        <f t="shared" si="45"/>
        <v>0</v>
      </c>
      <c r="Z47" s="39">
        <f>+月次PL!N42/1000</f>
        <v>0</v>
      </c>
      <c r="AA47" s="75">
        <f t="shared" si="46"/>
        <v>0</v>
      </c>
    </row>
    <row r="48" spans="3:27">
      <c r="C48" s="5" t="s">
        <v>248</v>
      </c>
      <c r="D48" s="151">
        <f>+月次PL!C41/1000</f>
        <v>74.929000000000002</v>
      </c>
      <c r="E48" s="75">
        <f t="shared" si="34"/>
        <v>8.6810944140994079E-3</v>
      </c>
      <c r="F48" s="39">
        <f>+月次PL!D41/1000</f>
        <v>0</v>
      </c>
      <c r="G48" s="75">
        <f t="shared" si="35"/>
        <v>0</v>
      </c>
      <c r="H48" s="39">
        <f>+月次PL!E41/1000</f>
        <v>0</v>
      </c>
      <c r="I48" s="75">
        <f t="shared" si="37"/>
        <v>0</v>
      </c>
      <c r="J48" s="39">
        <f>+月次PL!F41/1000</f>
        <v>0</v>
      </c>
      <c r="K48" s="75">
        <f t="shared" si="38"/>
        <v>0</v>
      </c>
      <c r="L48" s="39">
        <f>+月次PL!G41/1000</f>
        <v>0</v>
      </c>
      <c r="M48" s="75">
        <f t="shared" si="39"/>
        <v>0</v>
      </c>
      <c r="N48" s="39">
        <f>+月次PL!H41/1000</f>
        <v>0</v>
      </c>
      <c r="O48" s="75">
        <f t="shared" si="40"/>
        <v>0</v>
      </c>
      <c r="P48" s="39">
        <f>+月次PL!I41/1000</f>
        <v>0</v>
      </c>
      <c r="Q48" s="75">
        <f t="shared" si="41"/>
        <v>0</v>
      </c>
      <c r="R48" s="39">
        <f>+月次PL!J41/1000</f>
        <v>0</v>
      </c>
      <c r="S48" s="75">
        <f t="shared" si="42"/>
        <v>0</v>
      </c>
      <c r="T48" s="39">
        <f>+月次PL!K41/1000</f>
        <v>0</v>
      </c>
      <c r="U48" s="75">
        <f t="shared" si="43"/>
        <v>0</v>
      </c>
      <c r="V48" s="39">
        <f>+月次PL!L41/1000</f>
        <v>0</v>
      </c>
      <c r="W48" s="75">
        <f t="shared" si="44"/>
        <v>0</v>
      </c>
      <c r="X48" s="39">
        <f>+月次PL!M41/1000</f>
        <v>0</v>
      </c>
      <c r="Y48" s="75">
        <f t="shared" si="45"/>
        <v>0</v>
      </c>
      <c r="Z48" s="39">
        <f>+月次PL!N41/1000</f>
        <v>0</v>
      </c>
      <c r="AA48" s="75">
        <f t="shared" si="46"/>
        <v>0</v>
      </c>
    </row>
    <row r="49" spans="2:27">
      <c r="C49" s="4"/>
      <c r="D49" s="153"/>
      <c r="E49" s="77">
        <f t="shared" si="34"/>
        <v>0</v>
      </c>
      <c r="F49" s="76"/>
      <c r="G49" s="77">
        <f t="shared" si="35"/>
        <v>0</v>
      </c>
      <c r="H49" s="76"/>
      <c r="I49" s="77">
        <f t="shared" si="37"/>
        <v>0</v>
      </c>
      <c r="J49" s="76"/>
      <c r="K49" s="77">
        <f t="shared" si="38"/>
        <v>0</v>
      </c>
      <c r="L49" s="76"/>
      <c r="M49" s="77">
        <f t="shared" si="39"/>
        <v>0</v>
      </c>
      <c r="N49" s="76"/>
      <c r="O49" s="77">
        <f t="shared" si="40"/>
        <v>0</v>
      </c>
      <c r="P49" s="76"/>
      <c r="Q49" s="77">
        <f t="shared" si="41"/>
        <v>0</v>
      </c>
      <c r="R49" s="76"/>
      <c r="S49" s="77">
        <f t="shared" si="42"/>
        <v>0</v>
      </c>
      <c r="T49" s="76"/>
      <c r="U49" s="77">
        <f t="shared" si="43"/>
        <v>0</v>
      </c>
      <c r="V49" s="76"/>
      <c r="W49" s="77">
        <f t="shared" si="44"/>
        <v>0</v>
      </c>
      <c r="X49" s="76"/>
      <c r="Y49" s="77">
        <f t="shared" si="45"/>
        <v>0</v>
      </c>
      <c r="Z49" s="76"/>
      <c r="AA49" s="77">
        <f t="shared" si="46"/>
        <v>0</v>
      </c>
    </row>
    <row r="50" spans="2:27" s="47" customFormat="1" ht="16.899999999999999" thickBot="1">
      <c r="B50" s="52" t="s">
        <v>150</v>
      </c>
      <c r="C50" s="52"/>
      <c r="D50" s="155">
        <f>+D22-D28</f>
        <v>414.14800000000014</v>
      </c>
      <c r="E50" s="82">
        <f t="shared" si="34"/>
        <v>4.7982195003409125E-2</v>
      </c>
      <c r="F50" s="81">
        <f>+F22-F28</f>
        <v>0</v>
      </c>
      <c r="G50" s="82">
        <f t="shared" si="35"/>
        <v>0</v>
      </c>
      <c r="H50" s="81">
        <f>+H22-H28</f>
        <v>0</v>
      </c>
      <c r="I50" s="82">
        <f t="shared" si="37"/>
        <v>0</v>
      </c>
      <c r="J50" s="81">
        <f>+J22-J28</f>
        <v>0</v>
      </c>
      <c r="K50" s="82">
        <f t="shared" si="38"/>
        <v>0</v>
      </c>
      <c r="L50" s="81">
        <f>+L22-L28</f>
        <v>0</v>
      </c>
      <c r="M50" s="82">
        <f t="shared" si="39"/>
        <v>0</v>
      </c>
      <c r="N50" s="81">
        <f>+N22-N28</f>
        <v>0</v>
      </c>
      <c r="O50" s="82">
        <f t="shared" si="40"/>
        <v>0</v>
      </c>
      <c r="P50" s="81">
        <f>+P22-P28</f>
        <v>0</v>
      </c>
      <c r="Q50" s="82">
        <f t="shared" si="41"/>
        <v>0</v>
      </c>
      <c r="R50" s="81">
        <f>+R22-R28</f>
        <v>0</v>
      </c>
      <c r="S50" s="82">
        <f t="shared" si="42"/>
        <v>0</v>
      </c>
      <c r="T50" s="81">
        <f>+T22-T28</f>
        <v>350</v>
      </c>
      <c r="U50" s="82">
        <f t="shared" si="43"/>
        <v>1</v>
      </c>
      <c r="V50" s="81">
        <f>+V22-V28</f>
        <v>8454</v>
      </c>
      <c r="W50" s="82">
        <f t="shared" si="44"/>
        <v>1</v>
      </c>
      <c r="X50" s="81">
        <f>+X22-X28</f>
        <v>9017</v>
      </c>
      <c r="Y50" s="82">
        <f t="shared" si="45"/>
        <v>1</v>
      </c>
      <c r="Z50" s="81">
        <f>+Z22-Z28</f>
        <v>8610</v>
      </c>
      <c r="AA50" s="82">
        <f t="shared" si="46"/>
        <v>1</v>
      </c>
    </row>
    <row r="51" spans="2:27" s="6" customFormat="1" ht="16.899999999999999" thickTop="1">
      <c r="B51" s="156"/>
      <c r="C51" s="156" t="s">
        <v>195</v>
      </c>
      <c r="D51" s="157">
        <f>+D50</f>
        <v>414.14800000000014</v>
      </c>
      <c r="E51" s="158"/>
      <c r="F51" s="108">
        <f>+D51+F50</f>
        <v>414.14800000000014</v>
      </c>
      <c r="G51" s="158"/>
      <c r="H51" s="108">
        <f>+F51+H50</f>
        <v>414.14800000000014</v>
      </c>
      <c r="I51" s="158"/>
      <c r="J51" s="108">
        <f>+H51+J50</f>
        <v>414.14800000000014</v>
      </c>
      <c r="K51" s="158"/>
      <c r="L51" s="108">
        <f>+J51+L50</f>
        <v>414.14800000000014</v>
      </c>
      <c r="M51" s="158"/>
      <c r="N51" s="108">
        <f>+L51+N50</f>
        <v>414.14800000000014</v>
      </c>
      <c r="O51" s="158"/>
      <c r="P51" s="108">
        <f>+N51+P50</f>
        <v>414.14800000000014</v>
      </c>
      <c r="Q51" s="158"/>
      <c r="R51" s="108">
        <f>+P51+R50</f>
        <v>414.14800000000014</v>
      </c>
      <c r="S51" s="158"/>
      <c r="T51" s="108">
        <f>+R51+T50</f>
        <v>764.14800000000014</v>
      </c>
      <c r="U51" s="158"/>
      <c r="V51" s="108">
        <f>+T51+V50</f>
        <v>9218.148000000001</v>
      </c>
      <c r="W51" s="158"/>
      <c r="X51" s="108">
        <f>+V51+X50</f>
        <v>18235.148000000001</v>
      </c>
      <c r="Y51" s="158"/>
      <c r="Z51" s="108">
        <f>+X51+Z50</f>
        <v>26845.148000000001</v>
      </c>
      <c r="AA51" s="461"/>
    </row>
    <row r="52" spans="2:27">
      <c r="B52" s="1" t="s">
        <v>147</v>
      </c>
      <c r="D52" s="153">
        <f>+月次PL!C50/1000</f>
        <v>0</v>
      </c>
      <c r="E52" s="77">
        <f>IF(D$10&lt;&gt;0,D52/D$10,0)</f>
        <v>0</v>
      </c>
      <c r="F52" s="76">
        <f>+月次PL!D50/1000</f>
        <v>0</v>
      </c>
      <c r="G52" s="77">
        <f>IF(F$10&lt;&gt;0,F52/F$10,0)</f>
        <v>0</v>
      </c>
      <c r="H52" s="76">
        <f>+月次PL!E50/1000</f>
        <v>0</v>
      </c>
      <c r="I52" s="77">
        <f>IF(H$10&lt;&gt;0,H52/H$10,0)</f>
        <v>0</v>
      </c>
      <c r="J52" s="76">
        <f>+月次PL!F50/1000</f>
        <v>0</v>
      </c>
      <c r="K52" s="77">
        <f>IF(J$10&lt;&gt;0,J52/J$10,0)</f>
        <v>0</v>
      </c>
      <c r="L52" s="76">
        <f>+月次PL!G50/1000</f>
        <v>0</v>
      </c>
      <c r="M52" s="77">
        <f>IF(L$10&lt;&gt;0,L52/L$10,0)</f>
        <v>0</v>
      </c>
      <c r="N52" s="76">
        <f>+月次PL!H50/1000</f>
        <v>0</v>
      </c>
      <c r="O52" s="77">
        <f>IF(N$10&lt;&gt;0,N52/N$10,0)</f>
        <v>0</v>
      </c>
      <c r="P52" s="76">
        <f>+月次PL!I50/1000</f>
        <v>0</v>
      </c>
      <c r="Q52" s="77">
        <f>IF(P$10&lt;&gt;0,P52/P$10,0)</f>
        <v>0</v>
      </c>
      <c r="R52" s="76">
        <f>+月次PL!J50/1000</f>
        <v>0</v>
      </c>
      <c r="S52" s="77">
        <f>IF(R$10&lt;&gt;0,R52/R$10,0)</f>
        <v>0</v>
      </c>
      <c r="T52" s="76">
        <f>+月次PL!K50/1000</f>
        <v>0</v>
      </c>
      <c r="U52" s="77">
        <f>IF(T$10&lt;&gt;0,T52/T$10,0)</f>
        <v>0</v>
      </c>
      <c r="V52" s="76">
        <f>+月次PL!L50/1000</f>
        <v>0</v>
      </c>
      <c r="W52" s="77">
        <f>IF(V$10&lt;&gt;0,V52/V$10,0)</f>
        <v>0</v>
      </c>
      <c r="X52" s="76">
        <f>+月次PL!M50/1000</f>
        <v>0</v>
      </c>
      <c r="Y52" s="77">
        <f>IF(X$10&lt;&gt;0,X52/X$10,0)</f>
        <v>0</v>
      </c>
      <c r="Z52" s="76">
        <f>+月次PL!N50/1000</f>
        <v>0</v>
      </c>
      <c r="AA52" s="77">
        <f>IF(Z$10&lt;&gt;0,Z52/Z$10,0)</f>
        <v>0</v>
      </c>
    </row>
    <row r="53" spans="2:27">
      <c r="B53" s="159" t="s">
        <v>148</v>
      </c>
      <c r="C53" s="159"/>
      <c r="D53" s="160">
        <f>+月次PL!C55/1000</f>
        <v>146.48599999999999</v>
      </c>
      <c r="E53" s="84">
        <f>IF(D$10&lt;&gt;0,D53/D$10,0)</f>
        <v>1.6971516987331549E-2</v>
      </c>
      <c r="F53" s="83">
        <f>+月次PL!D55/1000</f>
        <v>0</v>
      </c>
      <c r="G53" s="84">
        <f>IF(F$10&lt;&gt;0,F53/F$10,0)</f>
        <v>0</v>
      </c>
      <c r="H53" s="83">
        <f>+月次PL!E55/1000</f>
        <v>0</v>
      </c>
      <c r="I53" s="84">
        <f>IF(H$10&lt;&gt;0,H53/H$10,0)</f>
        <v>0</v>
      </c>
      <c r="J53" s="83">
        <f>+月次PL!F55/1000</f>
        <v>0</v>
      </c>
      <c r="K53" s="84">
        <f>IF(J$10&lt;&gt;0,J53/J$10,0)</f>
        <v>0</v>
      </c>
      <c r="L53" s="83">
        <f>+月次PL!G55/1000</f>
        <v>0</v>
      </c>
      <c r="M53" s="84">
        <f>IF(L$10&lt;&gt;0,L53/L$10,0)</f>
        <v>0</v>
      </c>
      <c r="N53" s="83">
        <f>+月次PL!H55/1000</f>
        <v>0</v>
      </c>
      <c r="O53" s="84">
        <f>IF(N$10&lt;&gt;0,N53/N$10,0)</f>
        <v>0</v>
      </c>
      <c r="P53" s="83">
        <f>+月次PL!I55/1000</f>
        <v>0</v>
      </c>
      <c r="Q53" s="84">
        <f>IF(P$10&lt;&gt;0,P53/P$10,0)</f>
        <v>0</v>
      </c>
      <c r="R53" s="83">
        <f>+月次PL!J55/1000</f>
        <v>0</v>
      </c>
      <c r="S53" s="84">
        <f>IF(R$10&lt;&gt;0,R53/R$10,0)</f>
        <v>0</v>
      </c>
      <c r="T53" s="83">
        <f>+月次PL!K55/1000</f>
        <v>0</v>
      </c>
      <c r="U53" s="84">
        <f>IF(T$10&lt;&gt;0,T53/T$10,0)</f>
        <v>0</v>
      </c>
      <c r="V53" s="83">
        <f>+月次PL!L55/1000</f>
        <v>0</v>
      </c>
      <c r="W53" s="84">
        <f>IF(V$10&lt;&gt;0,V53/V$10,0)</f>
        <v>0</v>
      </c>
      <c r="X53" s="83">
        <f>+月次PL!M55/1000</f>
        <v>0</v>
      </c>
      <c r="Y53" s="84">
        <f>IF(X$10&lt;&gt;0,X53/X$10,0)</f>
        <v>0</v>
      </c>
      <c r="Z53" s="83">
        <f>+月次PL!N55/1000</f>
        <v>0</v>
      </c>
      <c r="AA53" s="84">
        <f>IF(Z$10&lt;&gt;0,Z53/Z$10,0)</f>
        <v>0</v>
      </c>
    </row>
    <row r="54" spans="2:27" s="47" customFormat="1" ht="16.899999999999999" thickBot="1">
      <c r="B54" s="52" t="s">
        <v>149</v>
      </c>
      <c r="C54" s="52"/>
      <c r="D54" s="155">
        <f>+D50+D52-D53</f>
        <v>267.66200000000015</v>
      </c>
      <c r="E54" s="82">
        <f>IF(D$10&lt;&gt;0,D54/D$10,0)</f>
        <v>3.1010678016077577E-2</v>
      </c>
      <c r="F54" s="81">
        <f>+F50+F52-F53</f>
        <v>0</v>
      </c>
      <c r="G54" s="82">
        <f>IF(F$10&lt;&gt;0,F54/F$10,0)</f>
        <v>0</v>
      </c>
      <c r="H54" s="81">
        <f t="shared" ref="H54:Z54" si="47">+H50+H52-H53</f>
        <v>0</v>
      </c>
      <c r="I54" s="82">
        <f>IF(H$10&lt;&gt;0,H54/H$10,0)</f>
        <v>0</v>
      </c>
      <c r="J54" s="81">
        <f t="shared" si="47"/>
        <v>0</v>
      </c>
      <c r="K54" s="82">
        <f>IF(J$10&lt;&gt;0,J54/J$10,0)</f>
        <v>0</v>
      </c>
      <c r="L54" s="81">
        <f t="shared" si="47"/>
        <v>0</v>
      </c>
      <c r="M54" s="82">
        <f>IF(L$10&lt;&gt;0,L54/L$10,0)</f>
        <v>0</v>
      </c>
      <c r="N54" s="81">
        <f t="shared" si="47"/>
        <v>0</v>
      </c>
      <c r="O54" s="82">
        <f>IF(N$10&lt;&gt;0,N54/N$10,0)</f>
        <v>0</v>
      </c>
      <c r="P54" s="81">
        <f t="shared" si="47"/>
        <v>0</v>
      </c>
      <c r="Q54" s="82">
        <f>IF(P$10&lt;&gt;0,P54/P$10,0)</f>
        <v>0</v>
      </c>
      <c r="R54" s="81">
        <f t="shared" si="47"/>
        <v>0</v>
      </c>
      <c r="S54" s="82">
        <f>IF(R$10&lt;&gt;0,R54/R$10,0)</f>
        <v>0</v>
      </c>
      <c r="T54" s="81">
        <f t="shared" si="47"/>
        <v>350</v>
      </c>
      <c r="U54" s="82">
        <f>IF(T$10&lt;&gt;0,T54/T$10,0)</f>
        <v>1</v>
      </c>
      <c r="V54" s="81">
        <f t="shared" si="47"/>
        <v>8454</v>
      </c>
      <c r="W54" s="82">
        <f>IF(V$10&lt;&gt;0,V54/V$10,0)</f>
        <v>1</v>
      </c>
      <c r="X54" s="81">
        <f t="shared" si="47"/>
        <v>9017</v>
      </c>
      <c r="Y54" s="82">
        <f>IF(X$10&lt;&gt;0,X54/X$10,0)</f>
        <v>1</v>
      </c>
      <c r="Z54" s="81">
        <f t="shared" si="47"/>
        <v>8610</v>
      </c>
      <c r="AA54" s="82">
        <f>IF(Z$10&lt;&gt;0,Z54/Z$10,0)</f>
        <v>1</v>
      </c>
    </row>
    <row r="55" spans="2:27" ht="16.899999999999999" thickTop="1">
      <c r="B55" s="161"/>
      <c r="C55" s="161" t="s">
        <v>195</v>
      </c>
      <c r="D55" s="162">
        <f>+D54</f>
        <v>267.66200000000015</v>
      </c>
      <c r="E55" s="163"/>
      <c r="F55" s="85">
        <f>+D55+F54</f>
        <v>267.66200000000015</v>
      </c>
      <c r="G55" s="163"/>
      <c r="H55" s="85">
        <f>+F55+H54</f>
        <v>267.66200000000015</v>
      </c>
      <c r="I55" s="163"/>
      <c r="J55" s="85">
        <f>+H55+J54</f>
        <v>267.66200000000015</v>
      </c>
      <c r="K55" s="163"/>
      <c r="L55" s="85">
        <f>+J55+L54</f>
        <v>267.66200000000015</v>
      </c>
      <c r="M55" s="163"/>
      <c r="N55" s="85">
        <f>+L55+N54</f>
        <v>267.66200000000015</v>
      </c>
      <c r="O55" s="163"/>
      <c r="P55" s="85">
        <f>+N55+P54</f>
        <v>267.66200000000015</v>
      </c>
      <c r="Q55" s="163"/>
      <c r="R55" s="85">
        <f>+P55+R54</f>
        <v>267.66200000000015</v>
      </c>
      <c r="S55" s="163"/>
      <c r="T55" s="85">
        <f>+R55+T54</f>
        <v>617.66200000000015</v>
      </c>
      <c r="U55" s="163"/>
      <c r="V55" s="85">
        <f>+T55+V54</f>
        <v>9071.6620000000003</v>
      </c>
      <c r="W55" s="163"/>
      <c r="X55" s="85">
        <f>+V55+X54</f>
        <v>18088.662</v>
      </c>
      <c r="Y55" s="163"/>
      <c r="Z55" s="85">
        <f>+X55+Z54</f>
        <v>26698.662</v>
      </c>
      <c r="AA55" s="462"/>
    </row>
    <row r="56" spans="2:27" s="58" customFormat="1">
      <c r="B56" s="533" t="s">
        <v>206</v>
      </c>
      <c r="C56" s="533"/>
      <c r="D56" s="60">
        <f>+BS千円!D80</f>
        <v>-24246.799999999999</v>
      </c>
      <c r="E56" s="59">
        <f>+D56/BS千円!D93</f>
        <v>-0.19734615858183455</v>
      </c>
      <c r="F56" s="63">
        <f>+BS千円!E80</f>
        <v>0</v>
      </c>
      <c r="G56" s="59" t="e">
        <f>+F56/BS千円!E93</f>
        <v>#DIV/0!</v>
      </c>
      <c r="H56" s="63">
        <f>+BS千円!F80</f>
        <v>0</v>
      </c>
      <c r="I56" s="59" t="e">
        <f>+H56/BS千円!F93</f>
        <v>#DIV/0!</v>
      </c>
      <c r="J56" s="63">
        <f>+BS千円!G80</f>
        <v>0</v>
      </c>
      <c r="K56" s="59" t="e">
        <f>+J56/BS千円!G93</f>
        <v>#DIV/0!</v>
      </c>
      <c r="L56" s="63">
        <f>+BS千円!H80</f>
        <v>0</v>
      </c>
      <c r="M56" s="59" t="e">
        <f>+L56/BS千円!H93</f>
        <v>#DIV/0!</v>
      </c>
      <c r="N56" s="63">
        <f>+BS千円!I80</f>
        <v>0</v>
      </c>
      <c r="O56" s="59" t="e">
        <f>+N56/BS千円!I93</f>
        <v>#DIV/0!</v>
      </c>
      <c r="P56" s="63">
        <f>+BS千円!J80</f>
        <v>0</v>
      </c>
      <c r="Q56" s="59" t="e">
        <f>+P56/BS千円!J93</f>
        <v>#DIV/0!</v>
      </c>
      <c r="R56" s="63">
        <f>+BS千円!K80</f>
        <v>0</v>
      </c>
      <c r="S56" s="59" t="e">
        <f>+R56/BS千円!K93</f>
        <v>#DIV/0!</v>
      </c>
      <c r="T56" s="63">
        <f>+BS千円!L80</f>
        <v>0</v>
      </c>
      <c r="U56" s="59" t="e">
        <f>+T56/BS千円!L93</f>
        <v>#DIV/0!</v>
      </c>
      <c r="V56" s="63">
        <f>+BS千円!M80</f>
        <v>0</v>
      </c>
      <c r="W56" s="59" t="e">
        <f>+V56/BS千円!M93</f>
        <v>#DIV/0!</v>
      </c>
      <c r="X56" s="63">
        <f>+BS千円!N80</f>
        <v>0</v>
      </c>
      <c r="Y56" s="59" t="e">
        <f>+X56/BS千円!N93</f>
        <v>#DIV/0!</v>
      </c>
      <c r="Z56" s="63">
        <f>+BS千円!O80</f>
        <v>0</v>
      </c>
      <c r="AA56" s="463" t="e">
        <f>+Z56/BS千円!Z92</f>
        <v>#DIV/0!</v>
      </c>
    </row>
    <row r="57" spans="2:27">
      <c r="C57" s="28" t="s">
        <v>199</v>
      </c>
      <c r="D57" s="153">
        <f>+D16+D29</f>
        <v>4484.152</v>
      </c>
      <c r="E57" s="164">
        <f>+D57/D10</f>
        <v>0.51952310693019643</v>
      </c>
      <c r="F57" s="76">
        <f>+F16+F29</f>
        <v>0</v>
      </c>
      <c r="G57" s="164" t="e">
        <f>+F57/F10</f>
        <v>#DIV/0!</v>
      </c>
      <c r="H57" s="73">
        <f>+H16+H29</f>
        <v>0</v>
      </c>
      <c r="I57" s="74" t="e">
        <f>+H57/H10</f>
        <v>#DIV/0!</v>
      </c>
      <c r="J57" s="76">
        <f>+J16+J29</f>
        <v>0</v>
      </c>
      <c r="K57" s="164" t="e">
        <f>+J57/J10</f>
        <v>#DIV/0!</v>
      </c>
      <c r="L57" s="76">
        <f>+L16+L29</f>
        <v>0</v>
      </c>
      <c r="M57" s="164" t="e">
        <f>+L57/L10</f>
        <v>#DIV/0!</v>
      </c>
      <c r="N57" s="76">
        <f>+N16+N29</f>
        <v>0</v>
      </c>
      <c r="O57" s="164" t="e">
        <f>+N57/N10</f>
        <v>#DIV/0!</v>
      </c>
      <c r="P57" s="73">
        <f>+P16+P29</f>
        <v>0</v>
      </c>
      <c r="Q57" s="74" t="e">
        <f>+P57/P10</f>
        <v>#DIV/0!</v>
      </c>
      <c r="R57" s="76">
        <f>+R16+R29</f>
        <v>0</v>
      </c>
      <c r="S57" s="164" t="e">
        <f>+R57/R10</f>
        <v>#DIV/0!</v>
      </c>
      <c r="T57" s="76">
        <f>+T16+T29</f>
        <v>0</v>
      </c>
      <c r="U57" s="164">
        <f>+T57/T10</f>
        <v>0</v>
      </c>
      <c r="V57" s="76">
        <f>+V16+V29</f>
        <v>0</v>
      </c>
      <c r="W57" s="164">
        <f>+V57/V10</f>
        <v>0</v>
      </c>
      <c r="X57" s="76">
        <f>+X16+X29</f>
        <v>0</v>
      </c>
      <c r="Y57" s="164">
        <f>+X57/X10</f>
        <v>0</v>
      </c>
      <c r="Z57" s="76">
        <f>+Z16+Z29</f>
        <v>0</v>
      </c>
      <c r="AA57" s="77">
        <f>+Z57/Z10</f>
        <v>0</v>
      </c>
    </row>
    <row r="58" spans="2:27">
      <c r="C58" s="448" t="s">
        <v>415</v>
      </c>
      <c r="D58" s="9">
        <f>+D57-D21</f>
        <v>4457.152</v>
      </c>
      <c r="E58" s="449">
        <f>+D58/D59</f>
        <v>0.58200393430121755</v>
      </c>
      <c r="F58" s="10">
        <f>+F57-F21</f>
        <v>0</v>
      </c>
      <c r="G58" s="449" t="e">
        <f>+F58/F59</f>
        <v>#DIV/0!</v>
      </c>
      <c r="H58" s="10">
        <f>+H57-H21</f>
        <v>0</v>
      </c>
      <c r="I58" s="449" t="e">
        <f>+H58/H59</f>
        <v>#DIV/0!</v>
      </c>
      <c r="J58" s="10">
        <f>+J57-J21</f>
        <v>0</v>
      </c>
      <c r="K58" s="449">
        <f>+J58/J59</f>
        <v>0</v>
      </c>
      <c r="L58" s="10">
        <f>+L57-L21</f>
        <v>0</v>
      </c>
      <c r="M58" s="449">
        <f>+L58/L59</f>
        <v>0</v>
      </c>
      <c r="N58" s="10">
        <f>+N57-N21</f>
        <v>0</v>
      </c>
      <c r="O58" s="449">
        <f>+N58/N59</f>
        <v>0</v>
      </c>
      <c r="P58" s="10">
        <f>+P57-P21</f>
        <v>0</v>
      </c>
      <c r="Q58" s="449">
        <f>+P58/P59</f>
        <v>0</v>
      </c>
      <c r="R58" s="10">
        <f>+R57-R21</f>
        <v>-62</v>
      </c>
      <c r="S58" s="449">
        <f>+R58/R59</f>
        <v>0.17714285714285713</v>
      </c>
      <c r="T58" s="10">
        <f>+T57-T21</f>
        <v>-32</v>
      </c>
      <c r="U58" s="451" t="e">
        <f>+T58/T59</f>
        <v>#DIV/0!</v>
      </c>
      <c r="V58" s="10">
        <f>+V57-V21</f>
        <v>-33</v>
      </c>
      <c r="W58" s="451">
        <f>+V58/V59</f>
        <v>-4.5255074053757545E-3</v>
      </c>
      <c r="X58" s="10">
        <f>+X57-X21</f>
        <v>-52</v>
      </c>
      <c r="Y58" s="451">
        <f>+X58/X59</f>
        <v>-7.0863995639138732E-3</v>
      </c>
      <c r="Z58" s="10">
        <f>+Z57-Z21</f>
        <v>-23</v>
      </c>
      <c r="AA58" s="451">
        <f>+Z58/Z59</f>
        <v>-3.1216069489685126E-3</v>
      </c>
    </row>
    <row r="59" spans="2:27">
      <c r="C59" s="448" t="s">
        <v>416</v>
      </c>
      <c r="D59" s="9">
        <f>+D10-D15</f>
        <v>7658.2849999999999</v>
      </c>
      <c r="E59" s="57"/>
      <c r="F59" s="10">
        <f>+F10-F15</f>
        <v>0</v>
      </c>
      <c r="G59" s="57"/>
      <c r="H59" s="10">
        <f>+H10-H15</f>
        <v>0</v>
      </c>
      <c r="I59" s="57"/>
      <c r="J59" s="10">
        <f>+J10-200-J15</f>
        <v>-200</v>
      </c>
      <c r="K59" s="57"/>
      <c r="L59" s="10">
        <f>+L10-L15-350</f>
        <v>-350</v>
      </c>
      <c r="M59" s="57"/>
      <c r="N59" s="10">
        <f>+N10-N15-350</f>
        <v>-350</v>
      </c>
      <c r="O59" s="57"/>
      <c r="P59" s="10">
        <f>+P10-P15-350</f>
        <v>-350</v>
      </c>
      <c r="Q59" s="57"/>
      <c r="R59" s="10">
        <f>+R10-R15-350</f>
        <v>-350</v>
      </c>
      <c r="S59" s="57"/>
      <c r="T59" s="10">
        <f>+T10-T15-350</f>
        <v>0</v>
      </c>
      <c r="U59" s="57"/>
      <c r="V59" s="10">
        <f>+V10-V15-350</f>
        <v>7292</v>
      </c>
      <c r="W59" s="57"/>
      <c r="X59" s="10">
        <f>+X10-X15-350</f>
        <v>7338</v>
      </c>
      <c r="Y59" s="57"/>
      <c r="Z59" s="10">
        <f>+Z10-Z15-350</f>
        <v>7368</v>
      </c>
      <c r="AA59" s="57"/>
    </row>
    <row r="60" spans="2:27">
      <c r="D60" s="9"/>
      <c r="E60" s="57"/>
      <c r="F60" s="10"/>
      <c r="G60" s="57"/>
      <c r="H60" s="76"/>
      <c r="I60" s="86"/>
      <c r="J60" s="76"/>
      <c r="K60" s="165"/>
      <c r="L60" s="76"/>
      <c r="M60" s="165"/>
      <c r="N60" s="76"/>
      <c r="O60" s="165"/>
      <c r="P60" s="99"/>
      <c r="Q60" s="165"/>
      <c r="R60" s="99"/>
      <c r="S60" s="165"/>
      <c r="T60" s="99"/>
      <c r="U60" s="165"/>
      <c r="V60" s="99"/>
      <c r="W60" s="165"/>
      <c r="X60" s="100"/>
      <c r="Y60" s="165"/>
      <c r="Z60" s="130"/>
      <c r="AA60" s="86"/>
    </row>
    <row r="61" spans="2:27">
      <c r="D61" s="9"/>
      <c r="E61" s="57"/>
      <c r="F61" s="10"/>
      <c r="G61" s="57"/>
      <c r="H61" s="76"/>
      <c r="I61" s="86"/>
      <c r="J61" s="76"/>
      <c r="K61" s="165"/>
      <c r="L61" s="76"/>
      <c r="M61" s="165"/>
      <c r="N61" s="76"/>
      <c r="O61" s="165"/>
      <c r="P61" s="99"/>
      <c r="Q61" s="165"/>
      <c r="R61" s="124"/>
      <c r="S61" s="165"/>
      <c r="T61" s="124"/>
      <c r="U61" s="165"/>
      <c r="V61" s="124"/>
      <c r="W61" s="165"/>
      <c r="X61" s="99"/>
      <c r="Y61" s="165"/>
      <c r="Z61" s="99"/>
      <c r="AA61" s="86"/>
    </row>
    <row r="62" spans="2:27">
      <c r="D62" s="9"/>
      <c r="E62" s="57"/>
      <c r="F62" s="10"/>
      <c r="G62" s="57"/>
      <c r="H62" s="76"/>
      <c r="I62" s="86"/>
      <c r="J62" s="76"/>
      <c r="K62" s="165"/>
      <c r="L62" s="76"/>
      <c r="M62" s="165"/>
      <c r="N62" s="76"/>
      <c r="O62" s="165"/>
      <c r="P62" s="99"/>
      <c r="Q62" s="165"/>
      <c r="R62" s="124"/>
      <c r="S62" s="165"/>
      <c r="T62" s="124"/>
      <c r="U62" s="165"/>
      <c r="V62" s="124"/>
      <c r="W62" s="165"/>
      <c r="X62" s="124"/>
      <c r="Y62" s="165"/>
      <c r="Z62" s="124"/>
      <c r="AA62" s="86"/>
    </row>
    <row r="63" spans="2:27">
      <c r="D63" s="9"/>
      <c r="E63" s="57"/>
      <c r="F63" s="10"/>
      <c r="G63" s="57"/>
      <c r="H63" s="532"/>
      <c r="I63" s="86"/>
      <c r="J63" s="76"/>
      <c r="K63" s="165"/>
      <c r="L63" s="76"/>
      <c r="M63" s="165"/>
      <c r="N63" s="76"/>
      <c r="O63" s="165"/>
      <c r="P63" s="99"/>
      <c r="Q63" s="165"/>
      <c r="R63" s="99"/>
      <c r="S63" s="165"/>
      <c r="T63" s="99"/>
      <c r="U63" s="165"/>
      <c r="V63" s="99"/>
      <c r="W63" s="165"/>
      <c r="X63" s="124"/>
      <c r="Y63" s="165"/>
      <c r="Z63" s="124"/>
      <c r="AA63" s="86"/>
    </row>
    <row r="64" spans="2:27">
      <c r="D64" s="9"/>
      <c r="E64" s="57"/>
      <c r="F64" s="10"/>
      <c r="G64" s="57"/>
      <c r="H64" s="532"/>
      <c r="I64" s="86"/>
      <c r="J64" s="76"/>
      <c r="K64" s="165"/>
      <c r="L64" s="76"/>
      <c r="M64" s="165"/>
      <c r="N64" s="76"/>
      <c r="O64" s="165"/>
      <c r="P64" s="99"/>
      <c r="Q64" s="165"/>
      <c r="R64" s="124"/>
      <c r="S64" s="165"/>
      <c r="T64" s="124"/>
      <c r="U64" s="165"/>
      <c r="V64" s="124"/>
      <c r="W64" s="165"/>
      <c r="X64" s="124"/>
      <c r="Y64" s="165"/>
      <c r="Z64" s="124"/>
      <c r="AA64" s="86"/>
    </row>
    <row r="65" spans="4:27">
      <c r="D65" s="9"/>
      <c r="E65" s="57"/>
      <c r="F65" s="10"/>
      <c r="G65" s="57"/>
      <c r="H65" s="532"/>
      <c r="I65" s="86"/>
      <c r="J65" s="76"/>
      <c r="K65" s="165"/>
      <c r="L65" s="76"/>
      <c r="M65" s="165"/>
      <c r="N65" s="76"/>
      <c r="O65" s="165"/>
      <c r="P65" s="99"/>
      <c r="Q65" s="165"/>
      <c r="R65" s="124"/>
      <c r="S65" s="165"/>
      <c r="T65" s="124"/>
      <c r="U65" s="165"/>
      <c r="V65" s="124"/>
      <c r="W65" s="165"/>
      <c r="X65" s="99"/>
      <c r="Y65" s="165"/>
      <c r="Z65" s="99"/>
      <c r="AA65" s="86"/>
    </row>
    <row r="66" spans="4:27">
      <c r="D66" s="9"/>
      <c r="E66" s="57"/>
      <c r="F66" s="10"/>
      <c r="G66" s="57"/>
      <c r="H66" s="70"/>
      <c r="I66" s="165"/>
      <c r="J66" s="76"/>
      <c r="K66" s="165"/>
      <c r="L66" s="76"/>
      <c r="M66" s="165"/>
      <c r="N66" s="76"/>
      <c r="O66" s="165"/>
      <c r="P66" s="76"/>
      <c r="Q66" s="165"/>
      <c r="R66" s="124"/>
      <c r="S66" s="165"/>
      <c r="T66" s="124"/>
      <c r="U66" s="165"/>
      <c r="V66" s="124"/>
      <c r="W66" s="165"/>
      <c r="X66" s="124"/>
      <c r="Y66" s="165"/>
      <c r="Z66" s="124"/>
      <c r="AA66" s="86"/>
    </row>
    <row r="67" spans="4:27">
      <c r="D67" s="9"/>
      <c r="E67" s="57"/>
      <c r="F67" s="10"/>
      <c r="G67" s="57"/>
      <c r="H67" s="70"/>
      <c r="I67" s="165"/>
      <c r="J67" s="76"/>
      <c r="K67" s="165"/>
      <c r="L67" s="76"/>
      <c r="M67" s="165"/>
      <c r="N67" s="76"/>
      <c r="O67" s="165"/>
      <c r="P67" s="76"/>
      <c r="Q67" s="165"/>
      <c r="R67" s="124"/>
      <c r="S67" s="165"/>
      <c r="T67" s="124"/>
      <c r="U67" s="165"/>
      <c r="V67" s="87"/>
      <c r="W67" s="165"/>
      <c r="X67" s="124"/>
      <c r="Y67" s="165"/>
      <c r="Z67" s="124"/>
      <c r="AA67" s="86"/>
    </row>
    <row r="68" spans="4:27">
      <c r="D68" s="9"/>
      <c r="E68" s="57"/>
      <c r="F68" s="10"/>
      <c r="G68" s="57"/>
      <c r="H68" s="70"/>
      <c r="I68" s="165"/>
      <c r="J68" s="76"/>
      <c r="K68" s="165"/>
      <c r="L68" s="70"/>
      <c r="M68" s="165"/>
      <c r="N68" s="76"/>
      <c r="O68" s="165"/>
      <c r="P68" s="76"/>
      <c r="Q68" s="165"/>
      <c r="R68" s="76"/>
      <c r="S68" s="165"/>
      <c r="T68" s="126"/>
      <c r="U68" s="165"/>
      <c r="V68" s="124"/>
      <c r="W68" s="165"/>
      <c r="X68" s="124"/>
      <c r="Y68" s="165"/>
      <c r="Z68" s="124"/>
      <c r="AA68" s="86"/>
    </row>
    <row r="69" spans="4:27">
      <c r="D69" s="9"/>
      <c r="E69" s="57"/>
      <c r="F69" s="10"/>
      <c r="G69" s="57"/>
      <c r="H69" s="70"/>
      <c r="I69" s="165"/>
      <c r="J69" s="76"/>
      <c r="K69" s="165"/>
      <c r="L69" s="70"/>
      <c r="M69" s="165"/>
      <c r="N69" s="76"/>
      <c r="O69" s="165"/>
      <c r="P69" s="76"/>
      <c r="Q69" s="165"/>
      <c r="R69" s="76"/>
      <c r="S69" s="165"/>
      <c r="T69" s="76"/>
      <c r="U69" s="165"/>
      <c r="V69" s="126"/>
      <c r="W69" s="165"/>
      <c r="X69" s="124"/>
      <c r="Y69" s="165"/>
      <c r="Z69" s="124"/>
      <c r="AA69" s="86"/>
    </row>
    <row r="70" spans="4:27">
      <c r="D70" s="9"/>
      <c r="E70" s="57"/>
      <c r="F70" s="10"/>
      <c r="G70" s="57"/>
      <c r="H70" s="70"/>
      <c r="I70" s="165"/>
      <c r="J70" s="76"/>
      <c r="K70" s="165"/>
      <c r="L70" s="70"/>
      <c r="M70" s="165"/>
      <c r="N70" s="76"/>
      <c r="O70" s="165"/>
      <c r="P70" s="76"/>
      <c r="Q70" s="165"/>
      <c r="R70" s="76"/>
      <c r="S70" s="165"/>
      <c r="T70" s="76"/>
      <c r="U70" s="165"/>
      <c r="V70" s="126"/>
      <c r="W70" s="165"/>
      <c r="X70" s="87"/>
      <c r="Y70" s="165"/>
      <c r="Z70" s="76"/>
      <c r="AA70" s="86"/>
    </row>
    <row r="71" spans="4:27">
      <c r="D71" s="9"/>
      <c r="E71" s="57"/>
      <c r="F71" s="10"/>
      <c r="G71" s="57"/>
      <c r="H71" s="70"/>
      <c r="I71" s="165"/>
      <c r="J71" s="76"/>
      <c r="K71" s="165"/>
      <c r="L71" s="70"/>
      <c r="M71" s="165"/>
      <c r="N71" s="76"/>
      <c r="O71" s="165"/>
      <c r="P71" s="76"/>
      <c r="Q71" s="165"/>
      <c r="R71" s="76"/>
      <c r="S71" s="165"/>
      <c r="T71" s="76"/>
      <c r="U71" s="165"/>
      <c r="V71" s="76"/>
      <c r="W71" s="165"/>
      <c r="X71" s="124"/>
      <c r="Y71" s="165"/>
      <c r="Z71" s="76"/>
      <c r="AA71" s="86"/>
    </row>
    <row r="72" spans="4:27">
      <c r="D72" s="9"/>
      <c r="E72" s="57"/>
      <c r="F72" s="10"/>
      <c r="G72" s="57"/>
      <c r="H72" s="70"/>
      <c r="I72" s="165"/>
      <c r="J72" s="76"/>
      <c r="K72" s="165"/>
      <c r="L72" s="70"/>
      <c r="M72" s="165"/>
      <c r="N72" s="76"/>
      <c r="O72" s="165"/>
      <c r="P72" s="76"/>
      <c r="Q72" s="165"/>
      <c r="R72" s="76"/>
      <c r="S72" s="165"/>
      <c r="T72" s="76"/>
      <c r="U72" s="165"/>
      <c r="V72" s="76"/>
      <c r="W72" s="165"/>
      <c r="X72" s="126"/>
      <c r="Y72" s="165"/>
      <c r="Z72" s="76"/>
      <c r="AA72" s="86"/>
    </row>
    <row r="73" spans="4:27">
      <c r="D73" s="9"/>
      <c r="E73" s="57"/>
      <c r="F73" s="10"/>
      <c r="G73" s="57"/>
      <c r="H73" s="70"/>
      <c r="I73" s="165"/>
      <c r="J73" s="76"/>
      <c r="K73" s="165"/>
      <c r="L73" s="70"/>
      <c r="M73" s="165"/>
      <c r="N73" s="76"/>
      <c r="O73" s="165"/>
      <c r="P73" s="76"/>
      <c r="Q73" s="165"/>
      <c r="R73" s="76"/>
      <c r="S73" s="165"/>
      <c r="T73" s="76"/>
      <c r="U73" s="165"/>
      <c r="V73" s="76"/>
      <c r="W73" s="165"/>
      <c r="X73" s="126"/>
      <c r="Y73" s="165"/>
      <c r="Z73" s="76"/>
      <c r="AA73" s="86"/>
    </row>
    <row r="74" spans="4:27">
      <c r="D74" s="9"/>
      <c r="E74" s="57"/>
      <c r="F74" s="10"/>
      <c r="G74" s="57"/>
      <c r="H74" s="70"/>
      <c r="I74" s="165"/>
      <c r="J74" s="76"/>
      <c r="K74" s="165"/>
      <c r="L74" s="70"/>
      <c r="M74" s="165"/>
      <c r="N74" s="76"/>
      <c r="O74" s="165"/>
      <c r="P74" s="76"/>
      <c r="Q74" s="165"/>
      <c r="R74" s="76"/>
      <c r="S74" s="165"/>
      <c r="T74" s="76"/>
      <c r="U74" s="165"/>
      <c r="V74" s="76"/>
      <c r="W74" s="165"/>
      <c r="X74" s="76"/>
      <c r="Y74" s="165"/>
      <c r="Z74" s="76"/>
      <c r="AA74" s="86"/>
    </row>
    <row r="75" spans="4:27">
      <c r="D75" s="9"/>
      <c r="E75" s="57"/>
      <c r="F75" s="10"/>
      <c r="G75" s="57"/>
      <c r="H75" s="70"/>
      <c r="I75" s="165"/>
      <c r="J75" s="76"/>
      <c r="K75" s="165"/>
      <c r="L75" s="70"/>
      <c r="M75" s="165"/>
      <c r="N75" s="76"/>
      <c r="O75" s="165"/>
      <c r="P75" s="76"/>
      <c r="Q75" s="165"/>
      <c r="R75" s="76"/>
      <c r="S75" s="165"/>
      <c r="T75" s="76"/>
      <c r="U75" s="165"/>
      <c r="V75" s="76"/>
      <c r="W75" s="165"/>
      <c r="X75" s="76"/>
      <c r="Y75" s="165"/>
      <c r="Z75" s="76"/>
      <c r="AA75" s="86"/>
    </row>
    <row r="76" spans="4:27">
      <c r="D76" s="9"/>
      <c r="E76" s="57"/>
      <c r="F76" s="10"/>
      <c r="G76" s="57"/>
      <c r="I76" s="57"/>
      <c r="J76" s="10"/>
      <c r="K76" s="57"/>
      <c r="M76" s="57"/>
      <c r="N76" s="10"/>
      <c r="O76" s="57"/>
      <c r="P76" s="10"/>
      <c r="Q76" s="57"/>
      <c r="R76" s="10"/>
      <c r="S76" s="57"/>
      <c r="T76" s="76"/>
      <c r="U76" s="57"/>
      <c r="V76" s="76"/>
      <c r="W76" s="57"/>
      <c r="X76" s="76"/>
      <c r="Y76" s="57"/>
      <c r="Z76" s="76"/>
      <c r="AA76" s="464"/>
    </row>
    <row r="77" spans="4:27">
      <c r="D77" s="9"/>
      <c r="E77" s="57"/>
      <c r="F77" s="10"/>
      <c r="G77" s="57"/>
      <c r="I77" s="57"/>
      <c r="J77" s="10"/>
      <c r="K77" s="57"/>
      <c r="M77" s="57"/>
      <c r="N77" s="10"/>
      <c r="O77" s="57"/>
      <c r="P77" s="10"/>
      <c r="Q77" s="57"/>
      <c r="R77" s="10"/>
      <c r="S77" s="57"/>
      <c r="T77" s="76"/>
      <c r="U77" s="57"/>
      <c r="V77" s="76"/>
      <c r="W77" s="57"/>
      <c r="X77" s="76"/>
      <c r="Y77" s="57"/>
      <c r="Z77" s="76"/>
      <c r="AA77" s="464"/>
    </row>
    <row r="78" spans="4:27">
      <c r="D78" s="9"/>
      <c r="E78" s="57"/>
      <c r="F78" s="10"/>
      <c r="G78" s="57"/>
      <c r="I78" s="57"/>
      <c r="J78" s="10"/>
      <c r="K78" s="57"/>
      <c r="M78" s="57"/>
      <c r="N78" s="10"/>
      <c r="O78" s="57"/>
      <c r="P78" s="10"/>
      <c r="Q78" s="57"/>
      <c r="R78" s="10"/>
      <c r="S78" s="57"/>
      <c r="T78" s="76"/>
      <c r="U78" s="57"/>
      <c r="V78" s="76"/>
      <c r="W78" s="57"/>
      <c r="X78" s="76"/>
      <c r="Y78" s="57"/>
      <c r="Z78" s="76"/>
      <c r="AA78" s="464"/>
    </row>
    <row r="79" spans="4:27">
      <c r="D79" s="61"/>
      <c r="E79" s="62"/>
      <c r="F79" s="64"/>
      <c r="G79" s="62"/>
      <c r="H79" s="11"/>
      <c r="I79" s="62"/>
      <c r="J79" s="64"/>
      <c r="K79" s="62"/>
      <c r="L79" s="11"/>
      <c r="M79" s="62"/>
      <c r="N79" s="64"/>
      <c r="O79" s="62"/>
      <c r="P79" s="64"/>
      <c r="Q79" s="62"/>
      <c r="R79" s="64"/>
      <c r="S79" s="62"/>
      <c r="T79" s="87"/>
      <c r="U79" s="62"/>
      <c r="V79" s="87"/>
      <c r="W79" s="62"/>
      <c r="X79" s="87"/>
      <c r="Y79" s="62"/>
      <c r="Z79" s="87"/>
      <c r="AA79" s="465"/>
    </row>
    <row r="80" spans="4:27">
      <c r="D80" s="61"/>
      <c r="E80" s="62"/>
      <c r="F80" s="64"/>
      <c r="G80" s="62"/>
      <c r="H80" s="11"/>
      <c r="I80" s="62"/>
      <c r="J80" s="64"/>
      <c r="K80" s="62"/>
      <c r="L80" s="11"/>
      <c r="M80" s="62"/>
      <c r="N80" s="64"/>
      <c r="O80" s="62"/>
      <c r="P80" s="64"/>
      <c r="Q80" s="62"/>
      <c r="R80" s="64"/>
      <c r="S80" s="62"/>
      <c r="T80" s="87"/>
      <c r="U80" s="62"/>
      <c r="V80" s="87"/>
      <c r="W80" s="62"/>
      <c r="X80" s="87"/>
      <c r="Y80" s="62"/>
      <c r="Z80" s="87"/>
      <c r="AA80" s="465"/>
    </row>
    <row r="81" spans="4:27">
      <c r="D81" s="61"/>
      <c r="E81" s="62"/>
      <c r="F81" s="64"/>
      <c r="G81" s="62"/>
      <c r="H81" s="11"/>
      <c r="I81" s="62"/>
      <c r="J81" s="64"/>
      <c r="K81" s="62"/>
      <c r="L81" s="11"/>
      <c r="M81" s="62"/>
      <c r="N81" s="64"/>
      <c r="O81" s="62"/>
      <c r="P81" s="64"/>
      <c r="Q81" s="62"/>
      <c r="R81" s="64"/>
      <c r="S81" s="62"/>
      <c r="T81" s="87"/>
      <c r="U81" s="62"/>
      <c r="V81" s="87"/>
      <c r="W81" s="62"/>
      <c r="X81" s="87"/>
      <c r="Y81" s="62"/>
      <c r="Z81" s="87"/>
      <c r="AA81" s="465"/>
    </row>
    <row r="82" spans="4:27">
      <c r="D82" s="61"/>
      <c r="E82" s="62"/>
      <c r="F82" s="64"/>
      <c r="G82" s="62"/>
      <c r="H82" s="11"/>
      <c r="I82" s="62"/>
      <c r="J82" s="64"/>
      <c r="K82" s="62"/>
      <c r="L82" s="11"/>
      <c r="M82" s="62"/>
      <c r="N82" s="64"/>
      <c r="O82" s="62"/>
      <c r="P82" s="64"/>
      <c r="Q82" s="62"/>
      <c r="R82" s="64"/>
      <c r="S82" s="62"/>
      <c r="T82" s="87"/>
      <c r="U82" s="62"/>
      <c r="V82" s="87"/>
      <c r="W82" s="62"/>
      <c r="X82" s="87"/>
      <c r="Y82" s="62"/>
      <c r="Z82" s="87"/>
      <c r="AA82" s="465"/>
    </row>
    <row r="83" spans="4:27">
      <c r="D83" s="61"/>
      <c r="E83" s="62"/>
      <c r="F83" s="64"/>
      <c r="G83" s="62"/>
      <c r="H83" s="11"/>
      <c r="I83" s="62"/>
      <c r="J83" s="64"/>
      <c r="K83" s="62"/>
      <c r="L83" s="11"/>
      <c r="M83" s="62"/>
      <c r="N83" s="64"/>
      <c r="O83" s="62"/>
      <c r="P83" s="64"/>
      <c r="Q83" s="62"/>
      <c r="R83" s="64"/>
      <c r="S83" s="62"/>
      <c r="T83" s="87"/>
      <c r="U83" s="62"/>
      <c r="V83" s="87"/>
      <c r="W83" s="62"/>
      <c r="X83" s="87"/>
      <c r="Y83" s="62"/>
      <c r="Z83" s="87"/>
      <c r="AA83" s="465"/>
    </row>
    <row r="84" spans="4:27">
      <c r="D84" s="61"/>
      <c r="E84" s="62"/>
      <c r="F84" s="64"/>
      <c r="G84" s="62"/>
      <c r="H84" s="11"/>
      <c r="I84" s="62"/>
      <c r="J84" s="64"/>
      <c r="K84" s="62"/>
      <c r="L84" s="11"/>
      <c r="M84" s="62"/>
      <c r="N84" s="64"/>
      <c r="O84" s="62"/>
      <c r="P84" s="64"/>
      <c r="Q84" s="62"/>
      <c r="R84" s="64"/>
      <c r="S84" s="62"/>
      <c r="T84" s="87"/>
      <c r="U84" s="62"/>
      <c r="V84" s="87"/>
      <c r="W84" s="62"/>
      <c r="X84" s="87"/>
      <c r="Y84" s="62"/>
      <c r="Z84" s="87"/>
      <c r="AA84" s="465"/>
    </row>
    <row r="85" spans="4:27">
      <c r="D85" s="61"/>
      <c r="E85" s="62"/>
      <c r="F85" s="64"/>
      <c r="G85" s="62"/>
      <c r="H85" s="11"/>
      <c r="I85" s="62"/>
      <c r="J85" s="64"/>
      <c r="K85" s="62"/>
      <c r="L85" s="11"/>
      <c r="M85" s="62"/>
      <c r="N85" s="64"/>
      <c r="O85" s="62"/>
      <c r="P85" s="64"/>
      <c r="Q85" s="62"/>
      <c r="R85" s="64"/>
      <c r="S85" s="62"/>
      <c r="T85" s="87"/>
      <c r="U85" s="62"/>
      <c r="V85" s="87"/>
      <c r="W85" s="62"/>
      <c r="X85" s="87"/>
      <c r="Y85" s="62"/>
      <c r="Z85" s="87"/>
      <c r="AA85" s="465"/>
    </row>
    <row r="86" spans="4:27">
      <c r="D86" s="61"/>
      <c r="E86" s="62"/>
      <c r="F86" s="64"/>
      <c r="G86" s="62"/>
      <c r="H86" s="11"/>
      <c r="I86" s="62"/>
      <c r="J86" s="64"/>
      <c r="K86" s="62"/>
      <c r="L86" s="11"/>
      <c r="M86" s="62"/>
      <c r="N86" s="64"/>
      <c r="O86" s="62"/>
      <c r="P86" s="64"/>
      <c r="Q86" s="62"/>
      <c r="R86" s="64"/>
      <c r="S86" s="62"/>
      <c r="T86" s="87"/>
      <c r="U86" s="62"/>
      <c r="V86" s="87"/>
      <c r="W86" s="62"/>
      <c r="X86" s="87"/>
      <c r="Y86" s="62"/>
      <c r="Z86" s="87"/>
      <c r="AA86" s="465"/>
    </row>
    <row r="87" spans="4:27">
      <c r="D87" s="61"/>
      <c r="E87" s="62"/>
      <c r="F87" s="64"/>
      <c r="G87" s="62"/>
      <c r="H87" s="11"/>
      <c r="I87" s="62"/>
      <c r="J87" s="64"/>
      <c r="K87" s="62"/>
      <c r="L87" s="11"/>
      <c r="M87" s="62"/>
      <c r="N87" s="64"/>
      <c r="O87" s="62"/>
      <c r="P87" s="64"/>
      <c r="Q87" s="62"/>
      <c r="R87" s="64"/>
      <c r="S87" s="62"/>
      <c r="T87" s="87"/>
      <c r="U87" s="62"/>
      <c r="V87" s="87"/>
      <c r="W87" s="62"/>
      <c r="X87" s="87"/>
      <c r="Y87" s="62"/>
      <c r="Z87" s="87"/>
      <c r="AA87" s="465"/>
    </row>
    <row r="88" spans="4:27">
      <c r="D88" s="61"/>
      <c r="E88" s="62"/>
      <c r="F88" s="64"/>
      <c r="G88" s="62"/>
      <c r="H88" s="11"/>
      <c r="I88" s="62"/>
      <c r="J88" s="64"/>
      <c r="K88" s="62"/>
      <c r="L88" s="11"/>
      <c r="M88" s="62"/>
      <c r="N88" s="64"/>
      <c r="O88" s="62"/>
      <c r="P88" s="11"/>
      <c r="Q88" s="62"/>
      <c r="R88" s="11"/>
      <c r="S88" s="62"/>
      <c r="T88" s="88"/>
      <c r="U88" s="62"/>
      <c r="V88" s="88"/>
      <c r="W88" s="62"/>
      <c r="X88" s="88"/>
      <c r="Y88" s="62"/>
      <c r="Z88" s="129"/>
      <c r="AA88" s="62"/>
    </row>
    <row r="89" spans="4:27">
      <c r="D89" s="61"/>
      <c r="E89" s="62"/>
      <c r="F89" s="11"/>
      <c r="G89" s="62"/>
      <c r="H89" s="11"/>
      <c r="I89" s="62"/>
      <c r="J89" s="64"/>
      <c r="K89" s="62"/>
      <c r="L89" s="11"/>
      <c r="M89" s="62"/>
      <c r="N89" s="64"/>
      <c r="O89" s="62"/>
      <c r="P89" s="11"/>
      <c r="Q89" s="62"/>
      <c r="R89" s="11"/>
      <c r="S89" s="62"/>
      <c r="T89" s="88"/>
      <c r="U89" s="62"/>
      <c r="V89" s="88"/>
      <c r="W89" s="62"/>
      <c r="X89" s="88"/>
      <c r="Y89" s="62"/>
      <c r="Z89" s="129"/>
      <c r="AA89" s="62"/>
    </row>
    <row r="90" spans="4:27">
      <c r="D90" s="61"/>
      <c r="E90" s="62"/>
      <c r="F90" s="11"/>
      <c r="G90" s="62"/>
      <c r="H90" s="11"/>
      <c r="I90" s="62"/>
      <c r="J90" s="64"/>
      <c r="K90" s="62"/>
      <c r="L90" s="11"/>
      <c r="M90" s="62"/>
      <c r="N90" s="64"/>
      <c r="O90" s="62"/>
      <c r="P90" s="11"/>
      <c r="Q90" s="62"/>
      <c r="R90" s="11"/>
      <c r="S90" s="62"/>
      <c r="T90" s="88"/>
      <c r="U90" s="62"/>
      <c r="V90" s="88"/>
      <c r="W90" s="62"/>
      <c r="X90" s="88"/>
      <c r="Y90" s="62"/>
      <c r="Z90" s="129"/>
      <c r="AA90" s="62"/>
    </row>
    <row r="91" spans="4:27">
      <c r="D91" s="61"/>
      <c r="E91" s="62"/>
      <c r="F91" s="11"/>
      <c r="G91" s="62"/>
      <c r="H91" s="11"/>
      <c r="I91" s="62"/>
      <c r="J91" s="11"/>
      <c r="K91" s="62"/>
      <c r="L91" s="11"/>
      <c r="M91" s="62"/>
      <c r="N91" s="11"/>
      <c r="O91" s="62"/>
      <c r="P91" s="11"/>
      <c r="Q91" s="62"/>
      <c r="R91" s="11"/>
      <c r="S91" s="62"/>
      <c r="T91" s="88"/>
      <c r="U91" s="62"/>
      <c r="V91" s="88"/>
      <c r="W91" s="62"/>
      <c r="X91" s="88"/>
      <c r="Y91" s="62"/>
      <c r="Z91" s="88"/>
      <c r="AA91" s="62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8"/>
      <c r="U92" s="11"/>
      <c r="V92" s="88"/>
      <c r="W92" s="11"/>
      <c r="X92" s="88"/>
      <c r="Y92" s="11"/>
      <c r="Z92" s="88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8"/>
      <c r="U93" s="11"/>
      <c r="V93" s="88"/>
      <c r="W93" s="11"/>
      <c r="X93" s="88"/>
      <c r="Y93" s="11"/>
      <c r="Z93" s="88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8"/>
      <c r="U94" s="11"/>
      <c r="V94" s="88"/>
      <c r="W94" s="11"/>
      <c r="X94" s="88"/>
      <c r="Y94" s="11"/>
      <c r="Z94" s="88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Q74"/>
  <sheetViews>
    <sheetView topLeftCell="A7" zoomScaleNormal="100" workbookViewId="0">
      <pane xSplit="2" ySplit="4" topLeftCell="C11" activePane="bottomRight" state="frozen"/>
      <selection activeCell="A7" sqref="A7"/>
      <selection pane="topRight" activeCell="C7" sqref="C7"/>
      <selection pane="bottomLeft" activeCell="A11" sqref="A11"/>
      <selection pane="bottomRight" activeCell="BT60" sqref="BT60"/>
    </sheetView>
  </sheetViews>
  <sheetFormatPr defaultColWidth="9" defaultRowHeight="16.5" outlineLevelCol="1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hidden="1" customWidth="1" outlineLevel="1"/>
    <col min="10" max="10" width="9" style="400" hidden="1" customWidth="1" outlineLevel="1"/>
    <col min="11" max="13" width="9" style="2" hidden="1" customWidth="1" outlineLevel="1"/>
    <col min="14" max="14" width="9" style="400" hidden="1" customWidth="1" outlineLevel="1"/>
    <col min="15" max="17" width="9" style="2" hidden="1" customWidth="1" outlineLevel="1"/>
    <col min="18" max="18" width="9" style="400" hidden="1" customWidth="1" outlineLevel="1"/>
    <col min="19" max="21" width="9" style="2" hidden="1" customWidth="1" outlineLevel="1"/>
    <col min="22" max="22" width="9" style="400" hidden="1" customWidth="1" outlineLevel="1"/>
    <col min="23" max="25" width="9" style="2" hidden="1" customWidth="1" outlineLevel="1"/>
    <col min="26" max="26" width="9" style="400" hidden="1" customWidth="1" outlineLevel="1"/>
    <col min="27" max="29" width="9" style="2" hidden="1" customWidth="1" outlineLevel="1"/>
    <col min="30" max="30" width="9" style="400" hidden="1" customWidth="1" outlineLevel="1"/>
    <col min="31" max="33" width="9" style="2" hidden="1" customWidth="1" outlineLevel="1"/>
    <col min="34" max="34" width="9" style="400" hidden="1" customWidth="1" outlineLevel="1"/>
    <col min="35" max="37" width="9" style="2" hidden="1" customWidth="1" outlineLevel="1"/>
    <col min="38" max="38" width="9" style="400" hidden="1" customWidth="1" outlineLevel="1"/>
    <col min="39" max="41" width="9" style="2" hidden="1" customWidth="1" outlineLevel="1"/>
    <col min="42" max="42" width="9" style="400" hidden="1" customWidth="1" outlineLevel="1"/>
    <col min="43" max="45" width="9" style="2" hidden="1" customWidth="1" outlineLevel="1"/>
    <col min="46" max="46" width="9" style="400" hidden="1" customWidth="1" outlineLevel="1"/>
    <col min="47" max="49" width="9" style="2" hidden="1" customWidth="1" outlineLevel="1"/>
    <col min="50" max="50" width="9" style="400" hidden="1" customWidth="1" outlineLevel="1"/>
    <col min="51" max="53" width="9" style="2" hidden="1" customWidth="1" outlineLevel="1"/>
    <col min="54" max="54" width="9" style="13" hidden="1" customWidth="1" outlineLevel="1"/>
    <col min="55" max="55" width="9" style="2" hidden="1" customWidth="1" outlineLevel="1"/>
    <col min="56" max="56" width="9" style="13" hidden="1" customWidth="1" outlineLevel="1"/>
    <col min="57" max="57" width="9" style="2" hidden="1" customWidth="1" outlineLevel="1"/>
    <col min="58" max="58" width="9" style="13" hidden="1" customWidth="1" outlineLevel="1"/>
    <col min="59" max="59" width="9" style="2" hidden="1" customWidth="1" outlineLevel="1"/>
    <col min="60" max="60" width="9" style="13" hidden="1" customWidth="1" outlineLevel="1"/>
    <col min="61" max="61" width="9" style="2" hidden="1" customWidth="1" outlineLevel="1"/>
    <col min="62" max="62" width="9" style="13" hidden="1" customWidth="1" outlineLevel="1"/>
    <col min="63" max="63" width="9" style="2" hidden="1" customWidth="1" outlineLevel="1"/>
    <col min="64" max="64" width="9" style="13" hidden="1" customWidth="1" outlineLevel="1"/>
    <col min="65" max="65" width="9" style="2" hidden="1" customWidth="1" outlineLevel="1"/>
    <col min="66" max="66" width="9" style="13" hidden="1" customWidth="1" outlineLevel="1"/>
    <col min="67" max="67" width="9" style="2" hidden="1" customWidth="1" outlineLevel="1"/>
    <col min="68" max="68" width="9" style="13" hidden="1" customWidth="1" outlineLevel="1"/>
    <col min="69" max="69" width="9" style="1" collapsed="1"/>
    <col min="70" max="16384" width="9" style="1"/>
  </cols>
  <sheetData>
    <row r="2" spans="1:68">
      <c r="A2" s="306"/>
      <c r="B2" s="306"/>
    </row>
    <row r="3" spans="1:68">
      <c r="A3" s="306"/>
      <c r="B3" s="306"/>
    </row>
    <row r="4" spans="1:68">
      <c r="A4" s="306"/>
      <c r="B4" s="306"/>
    </row>
    <row r="5" spans="1:68">
      <c r="A5" s="306"/>
      <c r="B5" s="306"/>
    </row>
    <row r="6" spans="1:68">
      <c r="A6" s="306"/>
      <c r="B6" s="306"/>
    </row>
    <row r="7" spans="1:68" ht="20.25" thickBot="1">
      <c r="A7" s="56" t="s">
        <v>365</v>
      </c>
      <c r="B7" s="47"/>
    </row>
    <row r="8" spans="1:68" s="6" customFormat="1" ht="16.899999999999999" thickBot="1">
      <c r="A8" s="304">
        <f>+PL推移!B8</f>
        <v>2026</v>
      </c>
      <c r="B8" s="304" t="s">
        <v>151</v>
      </c>
      <c r="C8" s="17" t="s">
        <v>158</v>
      </c>
      <c r="D8" s="14" t="s">
        <v>155</v>
      </c>
      <c r="E8" s="15" t="s">
        <v>156</v>
      </c>
      <c r="F8" s="16" t="s">
        <v>157</v>
      </c>
      <c r="G8" s="305" t="s">
        <v>215</v>
      </c>
      <c r="H8" s="307"/>
      <c r="I8" s="307"/>
      <c r="J8" s="309"/>
      <c r="K8" s="307"/>
      <c r="L8" s="307"/>
      <c r="M8" s="307"/>
      <c r="N8" s="309"/>
      <c r="O8" s="307"/>
      <c r="P8" s="307"/>
      <c r="Q8" s="307"/>
      <c r="R8" s="309"/>
      <c r="S8" s="307"/>
      <c r="T8" s="307"/>
      <c r="U8" s="307"/>
      <c r="V8" s="309"/>
      <c r="W8" s="307"/>
      <c r="X8" s="307"/>
      <c r="Y8" s="307"/>
      <c r="Z8" s="309"/>
      <c r="AA8" s="307"/>
      <c r="AB8" s="307"/>
      <c r="AC8" s="307"/>
      <c r="AD8" s="309"/>
      <c r="AE8" s="307"/>
      <c r="AF8" s="307"/>
      <c r="AG8" s="307"/>
      <c r="AH8" s="309"/>
      <c r="AI8" s="307"/>
      <c r="AJ8" s="307"/>
      <c r="AK8" s="307"/>
      <c r="AL8" s="309"/>
      <c r="AM8" s="307"/>
      <c r="AN8" s="307"/>
      <c r="AO8" s="307"/>
      <c r="AP8" s="309"/>
      <c r="AQ8" s="307"/>
      <c r="AR8" s="307"/>
      <c r="AS8" s="307"/>
      <c r="AT8" s="309"/>
      <c r="AU8" s="307"/>
      <c r="AV8" s="307"/>
      <c r="AW8" s="307"/>
      <c r="AX8" s="309"/>
      <c r="AY8" s="307"/>
      <c r="AZ8" s="307"/>
      <c r="BA8" s="307"/>
      <c r="BB8" s="308" t="s">
        <v>376</v>
      </c>
      <c r="BC8" s="307"/>
      <c r="BD8" s="308"/>
      <c r="BE8" s="307"/>
      <c r="BF8" s="308"/>
      <c r="BG8" s="307"/>
      <c r="BH8" s="308"/>
      <c r="BI8" s="307"/>
      <c r="BJ8" s="308"/>
      <c r="BK8" s="307"/>
      <c r="BL8" s="308"/>
      <c r="BM8" s="307"/>
      <c r="BN8" s="308"/>
      <c r="BO8" s="307"/>
      <c r="BP8" s="308"/>
    </row>
    <row r="9" spans="1:68" s="446" customFormat="1" ht="18.75" customHeight="1">
      <c r="A9" s="544" t="s">
        <v>152</v>
      </c>
      <c r="B9" s="545"/>
      <c r="C9" s="538" t="str">
        <f>+PL推移!D9</f>
        <v>7月</v>
      </c>
      <c r="D9" s="539"/>
      <c r="E9" s="539"/>
      <c r="F9" s="540"/>
      <c r="G9" s="541" t="str">
        <f>+PL推移!F9</f>
        <v>8月</v>
      </c>
      <c r="H9" s="539"/>
      <c r="I9" s="539"/>
      <c r="J9" s="542"/>
      <c r="K9" s="543" t="str">
        <f>+PL推移!H9</f>
        <v>9月</v>
      </c>
      <c r="L9" s="539"/>
      <c r="M9" s="539"/>
      <c r="N9" s="540"/>
      <c r="O9" s="541" t="str">
        <f>+PL推移!J9</f>
        <v>10月</v>
      </c>
      <c r="P9" s="539"/>
      <c r="Q9" s="539"/>
      <c r="R9" s="542"/>
      <c r="S9" s="543" t="str">
        <f>+PL推移!L9</f>
        <v>11月</v>
      </c>
      <c r="T9" s="539"/>
      <c r="U9" s="539"/>
      <c r="V9" s="540"/>
      <c r="W9" s="541" t="str">
        <f>+PL推移!N9</f>
        <v>12月</v>
      </c>
      <c r="X9" s="539"/>
      <c r="Y9" s="539"/>
      <c r="Z9" s="542"/>
      <c r="AA9" s="543" t="str">
        <f>+PL推移!P9</f>
        <v>1月</v>
      </c>
      <c r="AB9" s="539"/>
      <c r="AC9" s="539"/>
      <c r="AD9" s="540"/>
      <c r="AE9" s="541" t="str">
        <f>+PL推移!R9</f>
        <v>2月</v>
      </c>
      <c r="AF9" s="539"/>
      <c r="AG9" s="539"/>
      <c r="AH9" s="540"/>
      <c r="AI9" s="549">
        <f>+PL推移!T9</f>
        <v>3</v>
      </c>
      <c r="AJ9" s="550"/>
      <c r="AK9" s="550"/>
      <c r="AL9" s="551"/>
      <c r="AM9" s="549">
        <f>+PL推移!V9</f>
        <v>4</v>
      </c>
      <c r="AN9" s="550"/>
      <c r="AO9" s="550"/>
      <c r="AP9" s="551"/>
      <c r="AQ9" s="549" t="str">
        <f>+PL推移!X9</f>
        <v>5月</v>
      </c>
      <c r="AR9" s="550"/>
      <c r="AS9" s="550"/>
      <c r="AT9" s="551"/>
      <c r="AU9" s="549" t="str">
        <f>+PL推移!Z9</f>
        <v>6月</v>
      </c>
      <c r="AV9" s="550"/>
      <c r="AW9" s="550"/>
      <c r="AX9" s="551"/>
      <c r="AY9" s="538" t="s">
        <v>368</v>
      </c>
      <c r="AZ9" s="539"/>
      <c r="BA9" s="539"/>
      <c r="BB9" s="548"/>
      <c r="BC9" s="541" t="str">
        <f>+PL推移!N9</f>
        <v>12月</v>
      </c>
      <c r="BD9" s="542"/>
      <c r="BE9" s="543" t="str">
        <f>+PL推移!P9</f>
        <v>1月</v>
      </c>
      <c r="BF9" s="540"/>
      <c r="BG9" s="541" t="str">
        <f>+PL推移!R9</f>
        <v>2月</v>
      </c>
      <c r="BH9" s="542"/>
      <c r="BI9" s="543">
        <f>+PL推移!T9</f>
        <v>3</v>
      </c>
      <c r="BJ9" s="540"/>
      <c r="BK9" s="541">
        <f>+PL推移!V9</f>
        <v>4</v>
      </c>
      <c r="BL9" s="542"/>
      <c r="BM9" s="543" t="str">
        <f>+PL推移!X9</f>
        <v>5月</v>
      </c>
      <c r="BN9" s="540"/>
      <c r="BO9" s="541" t="str">
        <f>+PL推移!Z9</f>
        <v>6月</v>
      </c>
      <c r="BP9" s="542"/>
    </row>
    <row r="10" spans="1:68" s="360" customFormat="1" ht="19.5" customHeight="1" thickBot="1">
      <c r="A10" s="546"/>
      <c r="B10" s="547"/>
      <c r="C10" s="357" t="s">
        <v>370</v>
      </c>
      <c r="D10" s="483" t="s">
        <v>372</v>
      </c>
      <c r="E10" s="380" t="s">
        <v>373</v>
      </c>
      <c r="F10" s="358" t="s">
        <v>375</v>
      </c>
      <c r="G10" s="355" t="s">
        <v>369</v>
      </c>
      <c r="H10" s="390" t="s">
        <v>371</v>
      </c>
      <c r="I10" s="380" t="s">
        <v>373</v>
      </c>
      <c r="J10" s="356" t="s">
        <v>374</v>
      </c>
      <c r="K10" s="355" t="s">
        <v>369</v>
      </c>
      <c r="L10" s="390" t="s">
        <v>371</v>
      </c>
      <c r="M10" s="380" t="s">
        <v>373</v>
      </c>
      <c r="N10" s="358" t="s">
        <v>374</v>
      </c>
      <c r="O10" s="355" t="s">
        <v>369</v>
      </c>
      <c r="P10" s="390" t="s">
        <v>371</v>
      </c>
      <c r="Q10" s="380" t="s">
        <v>373</v>
      </c>
      <c r="R10" s="358" t="s">
        <v>374</v>
      </c>
      <c r="S10" s="355" t="s">
        <v>369</v>
      </c>
      <c r="T10" s="390" t="s">
        <v>371</v>
      </c>
      <c r="U10" s="380" t="s">
        <v>373</v>
      </c>
      <c r="V10" s="358" t="s">
        <v>374</v>
      </c>
      <c r="W10" s="355" t="s">
        <v>369</v>
      </c>
      <c r="X10" s="390" t="s">
        <v>371</v>
      </c>
      <c r="Y10" s="380" t="s">
        <v>373</v>
      </c>
      <c r="Z10" s="358" t="s">
        <v>374</v>
      </c>
      <c r="AA10" s="355" t="s">
        <v>369</v>
      </c>
      <c r="AB10" s="390" t="s">
        <v>371</v>
      </c>
      <c r="AC10" s="380" t="s">
        <v>373</v>
      </c>
      <c r="AD10" s="358" t="s">
        <v>374</v>
      </c>
      <c r="AE10" s="355" t="s">
        <v>369</v>
      </c>
      <c r="AF10" s="390" t="s">
        <v>371</v>
      </c>
      <c r="AG10" s="380" t="s">
        <v>373</v>
      </c>
      <c r="AH10" s="358" t="s">
        <v>374</v>
      </c>
      <c r="AI10" s="355" t="s">
        <v>369</v>
      </c>
      <c r="AJ10" s="390" t="s">
        <v>371</v>
      </c>
      <c r="AK10" s="380" t="s">
        <v>373</v>
      </c>
      <c r="AL10" s="356" t="s">
        <v>374</v>
      </c>
      <c r="AM10" s="355" t="s">
        <v>369</v>
      </c>
      <c r="AN10" s="390" t="s">
        <v>371</v>
      </c>
      <c r="AO10" s="380" t="s">
        <v>373</v>
      </c>
      <c r="AP10" s="356" t="s">
        <v>374</v>
      </c>
      <c r="AQ10" s="355" t="s">
        <v>369</v>
      </c>
      <c r="AR10" s="390" t="s">
        <v>371</v>
      </c>
      <c r="AS10" s="380" t="s">
        <v>373</v>
      </c>
      <c r="AT10" s="356" t="s">
        <v>374</v>
      </c>
      <c r="AU10" s="355" t="s">
        <v>369</v>
      </c>
      <c r="AV10" s="390" t="s">
        <v>371</v>
      </c>
      <c r="AW10" s="380" t="s">
        <v>373</v>
      </c>
      <c r="AX10" s="356" t="s">
        <v>374</v>
      </c>
      <c r="AY10" s="357" t="s">
        <v>369</v>
      </c>
      <c r="AZ10" s="390" t="s">
        <v>371</v>
      </c>
      <c r="BA10" s="380" t="s">
        <v>373</v>
      </c>
      <c r="BB10" s="370" t="s">
        <v>374</v>
      </c>
      <c r="BC10" s="355"/>
      <c r="BD10" s="356"/>
      <c r="BE10" s="359"/>
      <c r="BF10" s="358"/>
      <c r="BG10" s="355"/>
      <c r="BH10" s="356"/>
      <c r="BI10" s="359"/>
      <c r="BJ10" s="358"/>
      <c r="BK10" s="355"/>
      <c r="BL10" s="356"/>
      <c r="BM10" s="359"/>
      <c r="BN10" s="358"/>
      <c r="BO10" s="355"/>
      <c r="BP10" s="356"/>
    </row>
    <row r="11" spans="1:68" s="47" customFormat="1" ht="16.899999999999999" thickTop="1">
      <c r="A11" s="47" t="s">
        <v>139</v>
      </c>
      <c r="C11" s="345">
        <f>+収支計画!G17/1000</f>
        <v>9250</v>
      </c>
      <c r="D11" s="484">
        <f>+PL推移!D10</f>
        <v>8631.2849999999999</v>
      </c>
      <c r="E11" s="381">
        <f t="shared" ref="E11" si="0">SUM(E12:E16)</f>
        <v>-618</v>
      </c>
      <c r="F11" s="361">
        <f>IF(C11&lt;&gt;0,D11/C11,"-")</f>
        <v>0.93311189189189192</v>
      </c>
      <c r="G11" s="347">
        <f>SUM(G12:G16)</f>
        <v>9250</v>
      </c>
      <c r="H11" s="391">
        <f t="shared" ref="H11:I11" si="1">SUM(H12:H16)</f>
        <v>0</v>
      </c>
      <c r="I11" s="381">
        <f t="shared" si="1"/>
        <v>-9250</v>
      </c>
      <c r="J11" s="401">
        <f>IF(G11&lt;&gt;0,H11/G11,"-")</f>
        <v>0</v>
      </c>
      <c r="K11" s="347">
        <f>SUM(K12:K16)</f>
        <v>10750</v>
      </c>
      <c r="L11" s="391">
        <f>+PL推移!H10</f>
        <v>0</v>
      </c>
      <c r="M11" s="381">
        <f t="shared" ref="M11" si="2">SUM(M12:M16)</f>
        <v>-10750</v>
      </c>
      <c r="N11" s="361">
        <f>IF(K11&lt;&gt;0,L11/K11,"-")</f>
        <v>0</v>
      </c>
      <c r="O11" s="347">
        <f>SUM(O12:O16)</f>
        <v>0</v>
      </c>
      <c r="P11" s="391">
        <f>+PL推移!J10</f>
        <v>0</v>
      </c>
      <c r="Q11" s="381">
        <f t="shared" ref="Q11" si="3">SUM(Q12:Q16)</f>
        <v>0</v>
      </c>
      <c r="R11" s="361" t="str">
        <f>IF(O11&lt;&gt;0,P11/O11,"-")</f>
        <v>-</v>
      </c>
      <c r="S11" s="347">
        <f>SUM(S12:S16)</f>
        <v>0</v>
      </c>
      <c r="T11" s="391">
        <f>+PL推移!L10</f>
        <v>0</v>
      </c>
      <c r="U11" s="381">
        <f t="shared" ref="U11" si="4">SUM(U12:U16)</f>
        <v>0</v>
      </c>
      <c r="V11" s="361" t="str">
        <f>IF(S11&lt;&gt;0,T11/S11,"-")</f>
        <v>-</v>
      </c>
      <c r="W11" s="347">
        <f>SUM(W12:W16)</f>
        <v>0</v>
      </c>
      <c r="X11" s="391">
        <f>+PL推移!N10</f>
        <v>0</v>
      </c>
      <c r="Y11" s="381">
        <f t="shared" ref="Y11" si="5">SUM(Y12:Y16)</f>
        <v>0</v>
      </c>
      <c r="Z11" s="361" t="str">
        <f>IF(W11&lt;&gt;0,X11/W11,"-")</f>
        <v>-</v>
      </c>
      <c r="AA11" s="347">
        <f>SUM(AA12:AA16)</f>
        <v>0</v>
      </c>
      <c r="AB11" s="391">
        <f>+PL推移!P10</f>
        <v>0</v>
      </c>
      <c r="AC11" s="381">
        <f t="shared" ref="AC11" si="6">SUM(AC12:AC16)</f>
        <v>0</v>
      </c>
      <c r="AD11" s="361" t="str">
        <f>IF(AA11&lt;&gt;0,AB11/AA11,"-")</f>
        <v>-</v>
      </c>
      <c r="AE11" s="347">
        <f>SUM(AE12:AE16)</f>
        <v>0</v>
      </c>
      <c r="AF11" s="391">
        <f>+PL推移!R10</f>
        <v>0</v>
      </c>
      <c r="AG11" s="381">
        <f t="shared" ref="AG11" si="7">SUM(AG12:AG16)</f>
        <v>0</v>
      </c>
      <c r="AH11" s="361" t="str">
        <f>IF(AE11&lt;&gt;0,AF11/AE11,"-")</f>
        <v>-</v>
      </c>
      <c r="AI11" s="347">
        <f>SUM(AI12:AI16)</f>
        <v>0</v>
      </c>
      <c r="AJ11" s="391">
        <f>+PL推移!T10</f>
        <v>350</v>
      </c>
      <c r="AK11" s="381">
        <f t="shared" ref="AK11" si="8">SUM(AK12:AK16)</f>
        <v>0</v>
      </c>
      <c r="AL11" s="401" t="str">
        <f>IF(AI11&lt;&gt;0,AJ11/AI11,"-")</f>
        <v>-</v>
      </c>
      <c r="AM11" s="347">
        <f>+収支計画!AE17/1000</f>
        <v>0</v>
      </c>
      <c r="AN11" s="391">
        <f>+PL推移!V10</f>
        <v>8454</v>
      </c>
      <c r="AO11" s="381">
        <f>+AN11-AM11</f>
        <v>8454</v>
      </c>
      <c r="AP11" s="401" t="str">
        <f>IF(AM11&lt;&gt;0,AN11/AM11,"-")</f>
        <v>-</v>
      </c>
      <c r="AQ11" s="347">
        <f>+収支計画!AI17/1000</f>
        <v>0</v>
      </c>
      <c r="AR11" s="391">
        <f>+PL推移!X10</f>
        <v>9017</v>
      </c>
      <c r="AS11" s="381">
        <f>+AR11-AQ11</f>
        <v>9017</v>
      </c>
      <c r="AT11" s="401" t="str">
        <f>IF(AQ11&lt;&gt;0,AR11/AQ11,"-")</f>
        <v>-</v>
      </c>
      <c r="AU11" s="347">
        <f>+収支計画!AI17/1000</f>
        <v>0</v>
      </c>
      <c r="AV11" s="391">
        <f>+PL推移!Z10</f>
        <v>8610</v>
      </c>
      <c r="AW11" s="381">
        <f>+AV11-AU11</f>
        <v>8610</v>
      </c>
      <c r="AX11" s="401" t="str">
        <f>IF(AU11&lt;&gt;0,AV11/AU11,"-")</f>
        <v>-</v>
      </c>
      <c r="AY11" s="345">
        <f>+C11+G11+K11+O11+S11+W11+AA11+AE11+AI11+AM11+AQ11+AU11</f>
        <v>29250</v>
      </c>
      <c r="AZ11" s="391">
        <f>+D11+H11+L11+P11+T11+X11+AB11+AF11+AJ11+AN11+AR11+AV11</f>
        <v>35062.285000000003</v>
      </c>
      <c r="BA11" s="381">
        <f>+AZ11-AY11</f>
        <v>5812.2850000000035</v>
      </c>
      <c r="BB11" s="371">
        <f>IF(AY11&lt;&gt;0,AZ11/AY11,"-")</f>
        <v>1.1987105982905983</v>
      </c>
      <c r="BC11" s="347">
        <f>+PL推移!N10-収支計画!W17/1000</f>
        <v>0</v>
      </c>
      <c r="BD11" s="348" t="e">
        <f>+BC11/(収支計画!W17/1000)</f>
        <v>#DIV/0!</v>
      </c>
      <c r="BE11" s="349">
        <f>+PL推移!P10-収支計画!Y17/1000</f>
        <v>0</v>
      </c>
      <c r="BF11" s="346" t="e">
        <f>+BE11/(収支計画!Y17/1000)</f>
        <v>#DIV/0!</v>
      </c>
      <c r="BG11" s="347">
        <f>+PL推移!R10-収支計画!AA17/1000</f>
        <v>0</v>
      </c>
      <c r="BH11" s="348" t="e">
        <f>+BG11/(収支計画!AA17/1000)</f>
        <v>#DIV/0!</v>
      </c>
      <c r="BI11" s="349">
        <f>+PL推移!T10-収支計画!AC17/1000</f>
        <v>350</v>
      </c>
      <c r="BJ11" s="346" t="e">
        <f>+BI11/(収支計画!AC17/1000)</f>
        <v>#DIV/0!</v>
      </c>
      <c r="BK11" s="347">
        <f>+PL推移!V10-収支計画!AE17/1000</f>
        <v>8454</v>
      </c>
      <c r="BL11" s="348" t="e">
        <f>+BK11/(収支計画!AE17/1000)</f>
        <v>#DIV/0!</v>
      </c>
      <c r="BM11" s="349">
        <f>+PL推移!X10-収支計画!AG17/1000</f>
        <v>9017</v>
      </c>
      <c r="BN11" s="346" t="e">
        <f>+BM11/(収支計画!AG17/1000)</f>
        <v>#DIV/0!</v>
      </c>
      <c r="BO11" s="347">
        <f>+PL推移!Z10-収支計画!AI17/1000</f>
        <v>8610</v>
      </c>
      <c r="BP11" s="348" t="e">
        <f>+BO11/(収支計画!AI17/1000)</f>
        <v>#DIV/0!</v>
      </c>
    </row>
    <row r="12" spans="1:68">
      <c r="A12" s="179"/>
      <c r="B12" s="8" t="s">
        <v>227</v>
      </c>
      <c r="C12" s="313">
        <f>+収支計画!G11/1000</f>
        <v>7000</v>
      </c>
      <c r="D12" s="485">
        <f>+PL推移!D11</f>
        <v>6425</v>
      </c>
      <c r="E12" s="382">
        <f>+D12-C12</f>
        <v>-575</v>
      </c>
      <c r="F12" s="362">
        <f t="shared" ref="F12:F56" si="9">IF(C12&lt;&gt;0,D12/C12,"-")</f>
        <v>0.91785714285714282</v>
      </c>
      <c r="G12" s="315">
        <f>+収支計画!K11/1000</f>
        <v>7000</v>
      </c>
      <c r="H12" s="392">
        <f>+PL推移!F11</f>
        <v>0</v>
      </c>
      <c r="I12" s="382">
        <f>+H12-G12</f>
        <v>-7000</v>
      </c>
      <c r="J12" s="402">
        <f t="shared" ref="J12:J56" si="10">IF(G12&lt;&gt;0,H12/G12,"-")</f>
        <v>0</v>
      </c>
      <c r="K12" s="315">
        <f>+収支計画!O11/1000</f>
        <v>8500</v>
      </c>
      <c r="L12" s="392">
        <f>+PL推移!H11</f>
        <v>0</v>
      </c>
      <c r="M12" s="382">
        <f>+L12-K12</f>
        <v>-8500</v>
      </c>
      <c r="N12" s="362">
        <f t="shared" ref="N12:N56" si="11">IF(K12&lt;&gt;0,L12/K12,"-")</f>
        <v>0</v>
      </c>
      <c r="O12" s="315">
        <f>+収支計画!S11/1000</f>
        <v>0</v>
      </c>
      <c r="P12" s="392">
        <f>+PL推移!J11</f>
        <v>0</v>
      </c>
      <c r="Q12" s="382">
        <f>+P12-O12</f>
        <v>0</v>
      </c>
      <c r="R12" s="362" t="str">
        <f t="shared" ref="R12:R56" si="12">IF(O12&lt;&gt;0,P12/O12,"-")</f>
        <v>-</v>
      </c>
      <c r="S12" s="315">
        <f>+収支計画!U11/1000</f>
        <v>0</v>
      </c>
      <c r="T12" s="392">
        <f>+PL推移!L11</f>
        <v>0</v>
      </c>
      <c r="U12" s="382">
        <f>+T12-S12</f>
        <v>0</v>
      </c>
      <c r="V12" s="362" t="str">
        <f t="shared" ref="V12:V56" si="13">IF(S12&lt;&gt;0,T12/S12,"-")</f>
        <v>-</v>
      </c>
      <c r="W12" s="315">
        <f>+収支計画!W11/1000</f>
        <v>0</v>
      </c>
      <c r="X12" s="392">
        <f>+PL推移!N11</f>
        <v>0</v>
      </c>
      <c r="Y12" s="382">
        <f>+X12-W12</f>
        <v>0</v>
      </c>
      <c r="Z12" s="362" t="str">
        <f t="shared" ref="Z12:Z56" si="14">IF(W12&lt;&gt;0,X12/W12,"-")</f>
        <v>-</v>
      </c>
      <c r="AA12" s="315">
        <f>+収支計画!AA11/1000</f>
        <v>0</v>
      </c>
      <c r="AB12" s="392">
        <f>+PL推移!P11</f>
        <v>0</v>
      </c>
      <c r="AC12" s="382">
        <f>+AB12-AA12</f>
        <v>0</v>
      </c>
      <c r="AD12" s="362" t="str">
        <f t="shared" ref="AD12:AD56" si="15">IF(AA12&lt;&gt;0,AB12/AA12,"-")</f>
        <v>-</v>
      </c>
      <c r="AE12" s="315">
        <f>+収支計画!AA11/1000</f>
        <v>0</v>
      </c>
      <c r="AF12" s="392">
        <f>+PL推移!R11</f>
        <v>0</v>
      </c>
      <c r="AG12" s="382">
        <f>+AF12-AE12</f>
        <v>0</v>
      </c>
      <c r="AH12" s="362" t="str">
        <f t="shared" ref="AH12:AH56" si="16">IF(AE12&lt;&gt;0,AF12/AE12,"-")</f>
        <v>-</v>
      </c>
      <c r="AI12" s="315">
        <f>+収支計画!AC11/1000</f>
        <v>0</v>
      </c>
      <c r="AJ12" s="392">
        <f>+PL推移!T11</f>
        <v>0</v>
      </c>
      <c r="AK12" s="382">
        <f>+AJ12-AI12</f>
        <v>0</v>
      </c>
      <c r="AL12" s="402" t="str">
        <f t="shared" ref="AL12:AL56" si="17">IF(AI12&lt;&gt;0,AJ12/AI12,"-")</f>
        <v>-</v>
      </c>
      <c r="AM12" s="315">
        <f>+収支計画!AG11/1000</f>
        <v>0</v>
      </c>
      <c r="AN12" s="392">
        <f>+PL推移!V11</f>
        <v>6013</v>
      </c>
      <c r="AO12" s="382">
        <f t="shared" ref="AO12:AO55" si="18">+AN12-AM12</f>
        <v>6013</v>
      </c>
      <c r="AP12" s="402" t="str">
        <f t="shared" ref="AP12:AP56" si="19">IF(AM12&lt;&gt;0,AN12/AM12,"-")</f>
        <v>-</v>
      </c>
      <c r="AQ12" s="315">
        <f>+収支計画!AG11/1000</f>
        <v>0</v>
      </c>
      <c r="AR12" s="392">
        <f>+PL推移!X11</f>
        <v>6855</v>
      </c>
      <c r="AS12" s="382">
        <f t="shared" ref="AS12:AS55" si="20">+AR12-AQ12</f>
        <v>6855</v>
      </c>
      <c r="AT12" s="402" t="str">
        <f t="shared" ref="AT12:AT56" si="21">IF(AQ12&lt;&gt;0,AR12/AQ12,"-")</f>
        <v>-</v>
      </c>
      <c r="AU12" s="315">
        <f>+収支計画!AI11/1000</f>
        <v>0</v>
      </c>
      <c r="AV12" s="392">
        <f>+PL推移!Z11</f>
        <v>6185</v>
      </c>
      <c r="AW12" s="382">
        <f t="shared" ref="AW12:AW55" si="22">+AV12-AU12</f>
        <v>6185</v>
      </c>
      <c r="AX12" s="402" t="str">
        <f t="shared" ref="AX12:AX56" si="23">IF(AU12&lt;&gt;0,AV12/AU12,"-")</f>
        <v>-</v>
      </c>
      <c r="AY12" s="313">
        <f t="shared" ref="AY12:AY51" si="24">+C12+G12+K12+O12+S12+W12+AA12+AE12+AI12+AM12+AQ12+AU12</f>
        <v>22500</v>
      </c>
      <c r="AZ12" s="392">
        <f t="shared" ref="AZ12:AZ51" si="25">+D12+H12+L12+P12+T12+X12+AB12+AF12+AJ12+AN12+AR12+AV12</f>
        <v>25478</v>
      </c>
      <c r="BA12" s="382">
        <f t="shared" ref="BA12:BA55" si="26">+AZ12-AY12</f>
        <v>2978</v>
      </c>
      <c r="BB12" s="372">
        <f t="shared" ref="BB12:BB56" si="27">IF(AY12&lt;&gt;0,AZ12/AY12,"-")</f>
        <v>1.1323555555555556</v>
      </c>
      <c r="BC12" s="315">
        <f>+PL推移!N11-収支計画!W11/1000</f>
        <v>0</v>
      </c>
      <c r="BD12" s="316" t="e">
        <f>+BC12/(収支計画!W11/1000)</f>
        <v>#DIV/0!</v>
      </c>
      <c r="BE12" s="317">
        <f>+PL推移!P11-収支計画!Y11/1000</f>
        <v>0</v>
      </c>
      <c r="BF12" s="314" t="e">
        <f>+BE12/(収支計画!Y11/1000)</f>
        <v>#DIV/0!</v>
      </c>
      <c r="BG12" s="315">
        <f>+PL推移!R11-収支計画!AA11/1000</f>
        <v>0</v>
      </c>
      <c r="BH12" s="316" t="e">
        <f>+BG12/(収支計画!AA11/1000)</f>
        <v>#DIV/0!</v>
      </c>
      <c r="BI12" s="317">
        <f>+PL推移!T11-収支計画!AC11/1000</f>
        <v>0</v>
      </c>
      <c r="BJ12" s="314" t="e">
        <f>+BI12/(収支計画!AC11/1000)</f>
        <v>#DIV/0!</v>
      </c>
      <c r="BK12" s="315">
        <f>+PL推移!V11-収支計画!AE11/1000</f>
        <v>6013</v>
      </c>
      <c r="BL12" s="316" t="e">
        <f>+BK12/(収支計画!AE11/1000)</f>
        <v>#DIV/0!</v>
      </c>
      <c r="BM12" s="317">
        <f>+PL推移!X11-収支計画!AG11/1000</f>
        <v>6855</v>
      </c>
      <c r="BN12" s="314" t="e">
        <f>+BM12/(収支計画!AG11/1000)</f>
        <v>#DIV/0!</v>
      </c>
      <c r="BO12" s="315">
        <f>+PL推移!Z11-収支計画!AI11/1000</f>
        <v>6185</v>
      </c>
      <c r="BP12" s="316" t="e">
        <f>+BO12/(収支計画!AI11/1000)</f>
        <v>#DIV/0!</v>
      </c>
    </row>
    <row r="13" spans="1:68">
      <c r="A13" s="179"/>
      <c r="B13" s="5" t="s">
        <v>140</v>
      </c>
      <c r="C13" s="318">
        <f>+収支計画!G12/1000</f>
        <v>750</v>
      </c>
      <c r="D13" s="486">
        <f>+PL推移!D12</f>
        <v>646</v>
      </c>
      <c r="E13" s="383">
        <f t="shared" ref="E13:E24" si="28">+D13-C13</f>
        <v>-104</v>
      </c>
      <c r="F13" s="363">
        <f t="shared" si="9"/>
        <v>0.86133333333333328</v>
      </c>
      <c r="G13" s="320">
        <f>+収支計画!K12/1000</f>
        <v>750</v>
      </c>
      <c r="H13" s="393">
        <f>+PL推移!F12</f>
        <v>0</v>
      </c>
      <c r="I13" s="383">
        <f t="shared" ref="I13:I28" si="29">+H13-G13</f>
        <v>-750</v>
      </c>
      <c r="J13" s="403">
        <f t="shared" si="10"/>
        <v>0</v>
      </c>
      <c r="K13" s="320">
        <f>+収支計画!O12/1000</f>
        <v>750</v>
      </c>
      <c r="L13" s="393">
        <f>+PL推移!H12</f>
        <v>0</v>
      </c>
      <c r="M13" s="383">
        <f t="shared" ref="M13:M28" si="30">+L13-K13</f>
        <v>-750</v>
      </c>
      <c r="N13" s="363">
        <f t="shared" si="11"/>
        <v>0</v>
      </c>
      <c r="O13" s="320">
        <f>+収支計画!S12/1000</f>
        <v>0</v>
      </c>
      <c r="P13" s="393">
        <f>+PL推移!J12</f>
        <v>0</v>
      </c>
      <c r="Q13" s="383">
        <f t="shared" ref="Q13:Q16" si="31">+P13-O13</f>
        <v>0</v>
      </c>
      <c r="R13" s="363" t="str">
        <f t="shared" si="12"/>
        <v>-</v>
      </c>
      <c r="S13" s="320">
        <f>+収支計画!U12/1000</f>
        <v>0</v>
      </c>
      <c r="T13" s="393">
        <f>+PL推移!L12</f>
        <v>0</v>
      </c>
      <c r="U13" s="383">
        <f t="shared" ref="U13:U16" si="32">+T13-S13</f>
        <v>0</v>
      </c>
      <c r="V13" s="363" t="str">
        <f t="shared" si="13"/>
        <v>-</v>
      </c>
      <c r="W13" s="320">
        <f>+収支計画!W12/1000</f>
        <v>0</v>
      </c>
      <c r="X13" s="393">
        <f>+PL推移!N12</f>
        <v>0</v>
      </c>
      <c r="Y13" s="383">
        <f t="shared" ref="Y13:Y16" si="33">+X13-W13</f>
        <v>0</v>
      </c>
      <c r="Z13" s="363" t="str">
        <f t="shared" si="14"/>
        <v>-</v>
      </c>
      <c r="AA13" s="320">
        <f>+収支計画!AA12/1000</f>
        <v>0</v>
      </c>
      <c r="AB13" s="393">
        <f>+PL推移!P12</f>
        <v>0</v>
      </c>
      <c r="AC13" s="383">
        <f t="shared" ref="AC13:AC16" si="34">+AB13-AA13</f>
        <v>0</v>
      </c>
      <c r="AD13" s="363" t="str">
        <f t="shared" si="15"/>
        <v>-</v>
      </c>
      <c r="AE13" s="320">
        <f>+収支計画!AA12/1000</f>
        <v>0</v>
      </c>
      <c r="AF13" s="393">
        <f>+PL推移!R12</f>
        <v>0</v>
      </c>
      <c r="AG13" s="383">
        <f t="shared" ref="AG13:AG16" si="35">+AF13-AE13</f>
        <v>0</v>
      </c>
      <c r="AH13" s="363" t="str">
        <f t="shared" si="16"/>
        <v>-</v>
      </c>
      <c r="AI13" s="320">
        <f>+収支計画!AC12/1000</f>
        <v>0</v>
      </c>
      <c r="AJ13" s="393">
        <f>+PL推移!T12</f>
        <v>0</v>
      </c>
      <c r="AK13" s="383">
        <f t="shared" ref="AK13:AK16" si="36">+AJ13-AI13</f>
        <v>0</v>
      </c>
      <c r="AL13" s="403" t="str">
        <f t="shared" si="17"/>
        <v>-</v>
      </c>
      <c r="AM13" s="320">
        <f>+収支計画!AG12/1000</f>
        <v>0</v>
      </c>
      <c r="AN13" s="393">
        <f>+PL推移!V12</f>
        <v>791</v>
      </c>
      <c r="AO13" s="383">
        <f t="shared" si="18"/>
        <v>791</v>
      </c>
      <c r="AP13" s="403" t="str">
        <f t="shared" si="19"/>
        <v>-</v>
      </c>
      <c r="AQ13" s="320">
        <f>+収支計画!AG12/1000</f>
        <v>0</v>
      </c>
      <c r="AR13" s="393">
        <f>+PL推移!X12</f>
        <v>0</v>
      </c>
      <c r="AS13" s="383">
        <f t="shared" si="20"/>
        <v>0</v>
      </c>
      <c r="AT13" s="403" t="str">
        <f t="shared" si="21"/>
        <v>-</v>
      </c>
      <c r="AU13" s="320">
        <f>+収支計画!AI12/1000</f>
        <v>0</v>
      </c>
      <c r="AV13" s="393">
        <f>+PL推移!Z12</f>
        <v>0</v>
      </c>
      <c r="AW13" s="383">
        <f t="shared" si="22"/>
        <v>0</v>
      </c>
      <c r="AX13" s="403" t="str">
        <f t="shared" si="23"/>
        <v>-</v>
      </c>
      <c r="AY13" s="318">
        <f t="shared" si="24"/>
        <v>2250</v>
      </c>
      <c r="AZ13" s="393">
        <f t="shared" si="25"/>
        <v>1437</v>
      </c>
      <c r="BA13" s="383">
        <f t="shared" si="26"/>
        <v>-813</v>
      </c>
      <c r="BB13" s="373">
        <f t="shared" si="27"/>
        <v>0.63866666666666672</v>
      </c>
      <c r="BC13" s="320">
        <f>+PL推移!N12-収支計画!W12/1000</f>
        <v>0</v>
      </c>
      <c r="BD13" s="321" t="e">
        <f>+BC13/(収支計画!W12/1000)</f>
        <v>#DIV/0!</v>
      </c>
      <c r="BE13" s="322">
        <f>+PL推移!P12-収支計画!Y12/1000</f>
        <v>0</v>
      </c>
      <c r="BF13" s="319" t="e">
        <f>+BE13/(収支計画!Y12/1000)</f>
        <v>#DIV/0!</v>
      </c>
      <c r="BG13" s="320">
        <f>+PL推移!R12-収支計画!AA12/1000</f>
        <v>0</v>
      </c>
      <c r="BH13" s="321" t="e">
        <f>+BG13/(収支計画!AA12/1000)</f>
        <v>#DIV/0!</v>
      </c>
      <c r="BI13" s="322">
        <f>+PL推移!T12-収支計画!AC12/1000</f>
        <v>0</v>
      </c>
      <c r="BJ13" s="319" t="e">
        <f>+BI13/(収支計画!AC12/1000)</f>
        <v>#DIV/0!</v>
      </c>
      <c r="BK13" s="320">
        <f>+PL推移!V12-収支計画!AE12/1000</f>
        <v>791</v>
      </c>
      <c r="BL13" s="321" t="e">
        <f>+BK13/(収支計画!AE12/1000)</f>
        <v>#DIV/0!</v>
      </c>
      <c r="BM13" s="322">
        <f>+PL推移!X12-収支計画!AG12/1000</f>
        <v>0</v>
      </c>
      <c r="BN13" s="319" t="e">
        <f>+BM13/(収支計画!AG12/1000)</f>
        <v>#DIV/0!</v>
      </c>
      <c r="BO13" s="320">
        <f>+PL推移!Z12-収支計画!AI12/1000</f>
        <v>0</v>
      </c>
      <c r="BP13" s="321" t="e">
        <f>+BO13/(収支計画!AI12/1000)</f>
        <v>#DIV/0!</v>
      </c>
    </row>
    <row r="14" spans="1:68">
      <c r="A14" s="179"/>
      <c r="B14" s="5" t="s">
        <v>228</v>
      </c>
      <c r="C14" s="318">
        <f>+収支計画!G13/1000</f>
        <v>350</v>
      </c>
      <c r="D14" s="486">
        <f>+PL推移!D13</f>
        <v>525</v>
      </c>
      <c r="E14" s="383">
        <f t="shared" si="28"/>
        <v>175</v>
      </c>
      <c r="F14" s="363">
        <f t="shared" si="9"/>
        <v>1.5</v>
      </c>
      <c r="G14" s="320">
        <f>+収支計画!K13/1000</f>
        <v>350</v>
      </c>
      <c r="H14" s="393">
        <f>+PL推移!F13</f>
        <v>0</v>
      </c>
      <c r="I14" s="383">
        <f t="shared" si="29"/>
        <v>-350</v>
      </c>
      <c r="J14" s="403">
        <f t="shared" si="10"/>
        <v>0</v>
      </c>
      <c r="K14" s="320">
        <f>+収支計画!O13/1000</f>
        <v>350</v>
      </c>
      <c r="L14" s="393">
        <f>+PL推移!H13</f>
        <v>0</v>
      </c>
      <c r="M14" s="383">
        <f t="shared" si="30"/>
        <v>-350</v>
      </c>
      <c r="N14" s="363">
        <f t="shared" si="11"/>
        <v>0</v>
      </c>
      <c r="O14" s="320">
        <f>+収支計画!S13/1000</f>
        <v>0</v>
      </c>
      <c r="P14" s="393">
        <f>+PL推移!J13</f>
        <v>0</v>
      </c>
      <c r="Q14" s="383">
        <f t="shared" si="31"/>
        <v>0</v>
      </c>
      <c r="R14" s="363" t="str">
        <f t="shared" si="12"/>
        <v>-</v>
      </c>
      <c r="S14" s="320">
        <f>+収支計画!U13/1000</f>
        <v>0</v>
      </c>
      <c r="T14" s="393">
        <f>+PL推移!L13</f>
        <v>0</v>
      </c>
      <c r="U14" s="383">
        <f t="shared" si="32"/>
        <v>0</v>
      </c>
      <c r="V14" s="363" t="str">
        <f t="shared" si="13"/>
        <v>-</v>
      </c>
      <c r="W14" s="320">
        <f>+収支計画!W13/1000</f>
        <v>0</v>
      </c>
      <c r="X14" s="393">
        <f>+PL推移!N13</f>
        <v>0</v>
      </c>
      <c r="Y14" s="383">
        <f t="shared" si="33"/>
        <v>0</v>
      </c>
      <c r="Z14" s="363" t="str">
        <f t="shared" si="14"/>
        <v>-</v>
      </c>
      <c r="AA14" s="320">
        <f>+収支計画!AA13/1000</f>
        <v>0</v>
      </c>
      <c r="AB14" s="393">
        <f>+PL推移!P13</f>
        <v>0</v>
      </c>
      <c r="AC14" s="383">
        <f t="shared" si="34"/>
        <v>0</v>
      </c>
      <c r="AD14" s="363" t="str">
        <f t="shared" si="15"/>
        <v>-</v>
      </c>
      <c r="AE14" s="320">
        <f>+収支計画!AA13/1000</f>
        <v>0</v>
      </c>
      <c r="AF14" s="393">
        <f>+PL推移!R13</f>
        <v>0</v>
      </c>
      <c r="AG14" s="383">
        <f t="shared" si="35"/>
        <v>0</v>
      </c>
      <c r="AH14" s="363" t="str">
        <f t="shared" si="16"/>
        <v>-</v>
      </c>
      <c r="AI14" s="320">
        <f>+収支計画!AC13/1000</f>
        <v>0</v>
      </c>
      <c r="AJ14" s="393">
        <f>+PL推移!T13</f>
        <v>0</v>
      </c>
      <c r="AK14" s="383">
        <f t="shared" si="36"/>
        <v>0</v>
      </c>
      <c r="AL14" s="403" t="str">
        <f t="shared" si="17"/>
        <v>-</v>
      </c>
      <c r="AM14" s="320">
        <f>+収支計画!AG13/1000</f>
        <v>0</v>
      </c>
      <c r="AN14" s="393">
        <f>+PL推移!V13</f>
        <v>360</v>
      </c>
      <c r="AO14" s="383">
        <f t="shared" si="18"/>
        <v>360</v>
      </c>
      <c r="AP14" s="403" t="str">
        <f t="shared" si="19"/>
        <v>-</v>
      </c>
      <c r="AQ14" s="320">
        <f>+収支計画!AG13/1000</f>
        <v>0</v>
      </c>
      <c r="AR14" s="393">
        <f>+PL推移!X13</f>
        <v>375</v>
      </c>
      <c r="AS14" s="383">
        <f t="shared" si="20"/>
        <v>375</v>
      </c>
      <c r="AT14" s="403" t="str">
        <f t="shared" si="21"/>
        <v>-</v>
      </c>
      <c r="AU14" s="320">
        <f>+収支計画!AI13/1000</f>
        <v>0</v>
      </c>
      <c r="AV14" s="393">
        <f>+PL推移!Z13</f>
        <v>405</v>
      </c>
      <c r="AW14" s="383">
        <f t="shared" si="22"/>
        <v>405</v>
      </c>
      <c r="AX14" s="403" t="str">
        <f t="shared" si="23"/>
        <v>-</v>
      </c>
      <c r="AY14" s="318">
        <f t="shared" si="24"/>
        <v>1050</v>
      </c>
      <c r="AZ14" s="393">
        <f t="shared" si="25"/>
        <v>1665</v>
      </c>
      <c r="BA14" s="383">
        <f t="shared" si="26"/>
        <v>615</v>
      </c>
      <c r="BB14" s="373">
        <f t="shared" si="27"/>
        <v>1.5857142857142856</v>
      </c>
      <c r="BC14" s="320">
        <f>+PL推移!N13-収支計画!W13/1000</f>
        <v>0</v>
      </c>
      <c r="BD14" s="321" t="e">
        <f>+BC14/(収支計画!W13/1000)</f>
        <v>#DIV/0!</v>
      </c>
      <c r="BE14" s="322">
        <f>+PL推移!P13-収支計画!Y13/1000</f>
        <v>0</v>
      </c>
      <c r="BF14" s="319" t="e">
        <f>+BE14/(収支計画!Y13/1000)</f>
        <v>#DIV/0!</v>
      </c>
      <c r="BG14" s="320">
        <f>+PL推移!R13-収支計画!AA13/1000</f>
        <v>0</v>
      </c>
      <c r="BH14" s="321" t="e">
        <f>+BG14/(収支計画!AA13/1000)</f>
        <v>#DIV/0!</v>
      </c>
      <c r="BI14" s="322">
        <f>+PL推移!T13-収支計画!AC13/1000</f>
        <v>0</v>
      </c>
      <c r="BJ14" s="319" t="e">
        <f>+BI14/(収支計画!AC13/1000)</f>
        <v>#DIV/0!</v>
      </c>
      <c r="BK14" s="320">
        <f>+PL推移!V13-収支計画!AE13/1000</f>
        <v>360</v>
      </c>
      <c r="BL14" s="321" t="e">
        <f>+BK14/(収支計画!AE13/1000)</f>
        <v>#DIV/0!</v>
      </c>
      <c r="BM14" s="322">
        <f>+PL推移!X13-収支計画!AG13/1000</f>
        <v>375</v>
      </c>
      <c r="BN14" s="319" t="e">
        <f>+BM14/(収支計画!AG13/1000)</f>
        <v>#DIV/0!</v>
      </c>
      <c r="BO14" s="320">
        <f>+PL推移!Z13-収支計画!AI13/1000</f>
        <v>405</v>
      </c>
      <c r="BP14" s="321" t="e">
        <f>+BO14/(収支計画!AI13/1000)</f>
        <v>#DIV/0!</v>
      </c>
    </row>
    <row r="15" spans="1:68">
      <c r="A15" s="179"/>
      <c r="B15" s="5" t="s">
        <v>366</v>
      </c>
      <c r="C15" s="318">
        <f>+収支計画!G14/1000</f>
        <v>150</v>
      </c>
      <c r="D15" s="486">
        <f>+PL推移!D14</f>
        <v>63</v>
      </c>
      <c r="E15" s="383">
        <f t="shared" si="28"/>
        <v>-87</v>
      </c>
      <c r="F15" s="363">
        <f t="shared" si="9"/>
        <v>0.42</v>
      </c>
      <c r="G15" s="320">
        <f>+収支計画!K14/1000</f>
        <v>150</v>
      </c>
      <c r="H15" s="393">
        <f>+PL推移!F14</f>
        <v>0</v>
      </c>
      <c r="I15" s="383">
        <f t="shared" si="29"/>
        <v>-150</v>
      </c>
      <c r="J15" s="403">
        <f t="shared" si="10"/>
        <v>0</v>
      </c>
      <c r="K15" s="320">
        <f>+収支計画!O14/1000</f>
        <v>150</v>
      </c>
      <c r="L15" s="393">
        <f>+PL推移!H14</f>
        <v>0</v>
      </c>
      <c r="M15" s="383">
        <f t="shared" si="30"/>
        <v>-150</v>
      </c>
      <c r="N15" s="363">
        <f t="shared" si="11"/>
        <v>0</v>
      </c>
      <c r="O15" s="320">
        <f>+収支計画!S14/1000</f>
        <v>0</v>
      </c>
      <c r="P15" s="393">
        <f>+PL推移!J14</f>
        <v>0</v>
      </c>
      <c r="Q15" s="383">
        <f t="shared" si="31"/>
        <v>0</v>
      </c>
      <c r="R15" s="363" t="str">
        <f t="shared" si="12"/>
        <v>-</v>
      </c>
      <c r="S15" s="320">
        <f>+収支計画!U14/1000</f>
        <v>0</v>
      </c>
      <c r="T15" s="393">
        <f>+PL推移!L14</f>
        <v>0</v>
      </c>
      <c r="U15" s="383">
        <f t="shared" si="32"/>
        <v>0</v>
      </c>
      <c r="V15" s="363" t="str">
        <f t="shared" si="13"/>
        <v>-</v>
      </c>
      <c r="W15" s="320">
        <f>+収支計画!W14/1000</f>
        <v>0</v>
      </c>
      <c r="X15" s="393">
        <f>+PL推移!N14</f>
        <v>0</v>
      </c>
      <c r="Y15" s="383">
        <f t="shared" si="33"/>
        <v>0</v>
      </c>
      <c r="Z15" s="363" t="str">
        <f t="shared" si="14"/>
        <v>-</v>
      </c>
      <c r="AA15" s="320">
        <f>+収支計画!AA14/1000</f>
        <v>0</v>
      </c>
      <c r="AB15" s="393">
        <f>+PL推移!P14</f>
        <v>0</v>
      </c>
      <c r="AC15" s="383">
        <f t="shared" si="34"/>
        <v>0</v>
      </c>
      <c r="AD15" s="363" t="str">
        <f t="shared" si="15"/>
        <v>-</v>
      </c>
      <c r="AE15" s="320">
        <f>+収支計画!AA14/1000</f>
        <v>0</v>
      </c>
      <c r="AF15" s="393">
        <f>+PL推移!R14</f>
        <v>0</v>
      </c>
      <c r="AG15" s="383">
        <f t="shared" si="35"/>
        <v>0</v>
      </c>
      <c r="AH15" s="363" t="str">
        <f t="shared" si="16"/>
        <v>-</v>
      </c>
      <c r="AI15" s="320">
        <f>+収支計画!AC14/1000</f>
        <v>0</v>
      </c>
      <c r="AJ15" s="393">
        <f>+PL推移!T14</f>
        <v>0</v>
      </c>
      <c r="AK15" s="383">
        <f t="shared" si="36"/>
        <v>0</v>
      </c>
      <c r="AL15" s="403" t="str">
        <f t="shared" si="17"/>
        <v>-</v>
      </c>
      <c r="AM15" s="320">
        <f>+収支計画!AG14/1000</f>
        <v>0</v>
      </c>
      <c r="AN15" s="393">
        <f>+PL推移!V14</f>
        <v>128</v>
      </c>
      <c r="AO15" s="383">
        <f t="shared" si="18"/>
        <v>128</v>
      </c>
      <c r="AP15" s="403" t="str">
        <f t="shared" si="19"/>
        <v>-</v>
      </c>
      <c r="AQ15" s="320">
        <f>+収支計画!AG14/1000</f>
        <v>0</v>
      </c>
      <c r="AR15" s="393">
        <f>+PL推移!X14</f>
        <v>108</v>
      </c>
      <c r="AS15" s="383">
        <f t="shared" si="20"/>
        <v>108</v>
      </c>
      <c r="AT15" s="403" t="str">
        <f t="shared" si="21"/>
        <v>-</v>
      </c>
      <c r="AU15" s="320">
        <f>+収支計画!AI14/1000</f>
        <v>0</v>
      </c>
      <c r="AV15" s="393">
        <f>+PL推移!Z14</f>
        <v>122</v>
      </c>
      <c r="AW15" s="383">
        <f t="shared" si="22"/>
        <v>122</v>
      </c>
      <c r="AX15" s="403" t="str">
        <f t="shared" si="23"/>
        <v>-</v>
      </c>
      <c r="AY15" s="318">
        <f t="shared" si="24"/>
        <v>450</v>
      </c>
      <c r="AZ15" s="393">
        <f t="shared" si="25"/>
        <v>421</v>
      </c>
      <c r="BA15" s="383">
        <f t="shared" si="26"/>
        <v>-29</v>
      </c>
      <c r="BB15" s="373">
        <f t="shared" si="27"/>
        <v>0.93555555555555558</v>
      </c>
      <c r="BC15" s="320">
        <f>+PL推移!N14-収支計画!W14/1000</f>
        <v>0</v>
      </c>
      <c r="BD15" s="321" t="e">
        <f>+BC15/(収支計画!W14/1000)</f>
        <v>#DIV/0!</v>
      </c>
      <c r="BE15" s="322">
        <f>+PL推移!P14-収支計画!Y14/1000</f>
        <v>0</v>
      </c>
      <c r="BF15" s="319" t="e">
        <f>+BE15/(収支計画!Y14/1000)</f>
        <v>#DIV/0!</v>
      </c>
      <c r="BG15" s="320">
        <f>+PL推移!R14-収支計画!AA14/1000</f>
        <v>0</v>
      </c>
      <c r="BH15" s="321" t="e">
        <f>+BG15/(収支計画!AA14/1000)</f>
        <v>#DIV/0!</v>
      </c>
      <c r="BI15" s="322">
        <f>+PL推移!T14-収支計画!AC14/1000</f>
        <v>0</v>
      </c>
      <c r="BJ15" s="319" t="e">
        <f>+BI15/(収支計画!AC14/1000)</f>
        <v>#DIV/0!</v>
      </c>
      <c r="BK15" s="320">
        <f>+PL推移!V14-収支計画!AE14/1000</f>
        <v>128</v>
      </c>
      <c r="BL15" s="321" t="e">
        <f>+BK15/(収支計画!AE14/1000)</f>
        <v>#DIV/0!</v>
      </c>
      <c r="BM15" s="322">
        <f>+PL推移!X14-収支計画!AG14/1000</f>
        <v>108</v>
      </c>
      <c r="BN15" s="319" t="e">
        <f>+BM15/(収支計画!AG14/1000)</f>
        <v>#DIV/0!</v>
      </c>
      <c r="BO15" s="320">
        <f>+PL推移!Z14-収支計画!AI14/1000</f>
        <v>122</v>
      </c>
      <c r="BP15" s="321" t="e">
        <f>+BO15/(収支計画!AI14/1000)</f>
        <v>#DIV/0!</v>
      </c>
    </row>
    <row r="16" spans="1:68" s="6" customFormat="1">
      <c r="A16" s="190"/>
      <c r="B16" s="7" t="s">
        <v>229</v>
      </c>
      <c r="C16" s="323">
        <f>+収支計画!G15/1000</f>
        <v>1000</v>
      </c>
      <c r="D16" s="487">
        <f>+PL推移!D15</f>
        <v>973</v>
      </c>
      <c r="E16" s="384">
        <f t="shared" si="28"/>
        <v>-27</v>
      </c>
      <c r="F16" s="364">
        <f t="shared" si="9"/>
        <v>0.97299999999999998</v>
      </c>
      <c r="G16" s="325">
        <f>+収支計画!K15/1000</f>
        <v>1000</v>
      </c>
      <c r="H16" s="394">
        <f>+PL推移!F15</f>
        <v>0</v>
      </c>
      <c r="I16" s="384">
        <f t="shared" si="29"/>
        <v>-1000</v>
      </c>
      <c r="J16" s="404">
        <f t="shared" si="10"/>
        <v>0</v>
      </c>
      <c r="K16" s="325">
        <f>+収支計画!O15/1000</f>
        <v>1000</v>
      </c>
      <c r="L16" s="394">
        <f>+PL推移!H15</f>
        <v>0</v>
      </c>
      <c r="M16" s="384">
        <f t="shared" si="30"/>
        <v>-1000</v>
      </c>
      <c r="N16" s="364">
        <f t="shared" si="11"/>
        <v>0</v>
      </c>
      <c r="O16" s="325">
        <f>+収支計画!S15/1000</f>
        <v>0</v>
      </c>
      <c r="P16" s="394">
        <f>+PL推移!J15</f>
        <v>0</v>
      </c>
      <c r="Q16" s="384">
        <f t="shared" si="31"/>
        <v>0</v>
      </c>
      <c r="R16" s="364" t="str">
        <f t="shared" si="12"/>
        <v>-</v>
      </c>
      <c r="S16" s="325">
        <f>+収支計画!U15/1000</f>
        <v>0</v>
      </c>
      <c r="T16" s="394">
        <f>+PL推移!L15</f>
        <v>0</v>
      </c>
      <c r="U16" s="384">
        <f t="shared" si="32"/>
        <v>0</v>
      </c>
      <c r="V16" s="364" t="str">
        <f t="shared" si="13"/>
        <v>-</v>
      </c>
      <c r="W16" s="325">
        <f>+収支計画!W15/1000</f>
        <v>0</v>
      </c>
      <c r="X16" s="394">
        <f>+PL推移!N15</f>
        <v>0</v>
      </c>
      <c r="Y16" s="384">
        <f t="shared" si="33"/>
        <v>0</v>
      </c>
      <c r="Z16" s="364" t="str">
        <f t="shared" si="14"/>
        <v>-</v>
      </c>
      <c r="AA16" s="325">
        <f>+収支計画!AA15/1000</f>
        <v>0</v>
      </c>
      <c r="AB16" s="394">
        <f>+PL推移!P15</f>
        <v>0</v>
      </c>
      <c r="AC16" s="384">
        <f t="shared" si="34"/>
        <v>0</v>
      </c>
      <c r="AD16" s="364" t="str">
        <f t="shared" si="15"/>
        <v>-</v>
      </c>
      <c r="AE16" s="325">
        <f>+収支計画!AA15/1000</f>
        <v>0</v>
      </c>
      <c r="AF16" s="394">
        <f>+PL推移!R15</f>
        <v>0</v>
      </c>
      <c r="AG16" s="384">
        <f t="shared" si="35"/>
        <v>0</v>
      </c>
      <c r="AH16" s="364" t="str">
        <f t="shared" si="16"/>
        <v>-</v>
      </c>
      <c r="AI16" s="325">
        <f>+収支計画!AC15/1000</f>
        <v>0</v>
      </c>
      <c r="AJ16" s="394">
        <f>+PL推移!T15</f>
        <v>0</v>
      </c>
      <c r="AK16" s="384">
        <f t="shared" si="36"/>
        <v>0</v>
      </c>
      <c r="AL16" s="404" t="str">
        <f t="shared" si="17"/>
        <v>-</v>
      </c>
      <c r="AM16" s="325">
        <f>+収支計画!AG15/1000</f>
        <v>0</v>
      </c>
      <c r="AN16" s="394">
        <f>+PL推移!V15</f>
        <v>812</v>
      </c>
      <c r="AO16" s="384">
        <f t="shared" si="18"/>
        <v>812</v>
      </c>
      <c r="AP16" s="404" t="str">
        <f t="shared" si="19"/>
        <v>-</v>
      </c>
      <c r="AQ16" s="325">
        <f>+収支計画!AG15/1000</f>
        <v>0</v>
      </c>
      <c r="AR16" s="394">
        <f>+PL推移!X15</f>
        <v>1329</v>
      </c>
      <c r="AS16" s="384">
        <f t="shared" si="20"/>
        <v>1329</v>
      </c>
      <c r="AT16" s="404" t="str">
        <f t="shared" si="21"/>
        <v>-</v>
      </c>
      <c r="AU16" s="325">
        <f>+収支計画!AI15/1000</f>
        <v>0</v>
      </c>
      <c r="AV16" s="394">
        <f>+PL推移!Z15</f>
        <v>892</v>
      </c>
      <c r="AW16" s="384">
        <f t="shared" si="22"/>
        <v>892</v>
      </c>
      <c r="AX16" s="404" t="str">
        <f t="shared" si="23"/>
        <v>-</v>
      </c>
      <c r="AY16" s="323">
        <f t="shared" si="24"/>
        <v>3000</v>
      </c>
      <c r="AZ16" s="394">
        <f t="shared" si="25"/>
        <v>4006</v>
      </c>
      <c r="BA16" s="384">
        <f t="shared" si="26"/>
        <v>1006</v>
      </c>
      <c r="BB16" s="374">
        <f t="shared" si="27"/>
        <v>1.3353333333333333</v>
      </c>
      <c r="BC16" s="325">
        <f>+PL推移!N15-収支計画!W15/1000</f>
        <v>0</v>
      </c>
      <c r="BD16" s="326" t="e">
        <f>+BC16/(収支計画!W15/1000)</f>
        <v>#DIV/0!</v>
      </c>
      <c r="BE16" s="327">
        <f>+PL推移!P15-収支計画!Y15/1000</f>
        <v>0</v>
      </c>
      <c r="BF16" s="324" t="e">
        <f>+BE16/(収支計画!Y15/1000)</f>
        <v>#DIV/0!</v>
      </c>
      <c r="BG16" s="325">
        <f>+PL推移!R15-収支計画!AA15/1000</f>
        <v>0</v>
      </c>
      <c r="BH16" s="326" t="e">
        <f>+BG16/(収支計画!AA15/1000)</f>
        <v>#DIV/0!</v>
      </c>
      <c r="BI16" s="327">
        <f>+PL推移!T15-収支計画!AC15/1000</f>
        <v>0</v>
      </c>
      <c r="BJ16" s="324" t="e">
        <f>+BI16/(収支計画!AC15/1000)</f>
        <v>#DIV/0!</v>
      </c>
      <c r="BK16" s="325">
        <f>+PL推移!V15-収支計画!AE15/1000</f>
        <v>812</v>
      </c>
      <c r="BL16" s="326" t="e">
        <f>+BK16/(収支計画!AE15/1000)</f>
        <v>#DIV/0!</v>
      </c>
      <c r="BM16" s="327">
        <f>+PL推移!X15-収支計画!AG15/1000</f>
        <v>1329</v>
      </c>
      <c r="BN16" s="324" t="e">
        <f>+BM16/(収支計画!AG15/1000)</f>
        <v>#DIV/0!</v>
      </c>
      <c r="BO16" s="325">
        <f>+PL推移!Z15-収支計画!AI15/1000</f>
        <v>892</v>
      </c>
      <c r="BP16" s="326" t="e">
        <f>+BO16/(収支計画!AI15/1000)</f>
        <v>#DIV/0!</v>
      </c>
    </row>
    <row r="17" spans="1:68" s="47" customFormat="1">
      <c r="A17" s="47" t="s">
        <v>142</v>
      </c>
      <c r="C17" s="345">
        <f>SUM(C18:C22)</f>
        <v>2200</v>
      </c>
      <c r="D17" s="484">
        <f>+PL推移!D16</f>
        <v>2021.2760000000001</v>
      </c>
      <c r="E17" s="381">
        <f t="shared" ref="E17" si="37">SUM(E18:E22)</f>
        <v>-178</v>
      </c>
      <c r="F17" s="361">
        <f t="shared" si="9"/>
        <v>0.91876181818181824</v>
      </c>
      <c r="G17" s="347">
        <f>SUM(G18:G22)</f>
        <v>2132.5</v>
      </c>
      <c r="H17" s="391">
        <f>+PL推移!F16</f>
        <v>0</v>
      </c>
      <c r="I17" s="381">
        <f t="shared" ref="I17" si="38">SUM(I18:I22)</f>
        <v>-2132.5</v>
      </c>
      <c r="J17" s="401">
        <f t="shared" si="10"/>
        <v>0</v>
      </c>
      <c r="K17" s="347">
        <f>SUM(K18:K22)</f>
        <v>2507.5</v>
      </c>
      <c r="L17" s="391">
        <f>+PL推移!H16</f>
        <v>0</v>
      </c>
      <c r="M17" s="381">
        <f t="shared" ref="M17" si="39">SUM(M18:M22)</f>
        <v>-2507.5</v>
      </c>
      <c r="N17" s="361">
        <f t="shared" si="11"/>
        <v>0</v>
      </c>
      <c r="O17" s="347">
        <f>SUM(O18:O22)</f>
        <v>0</v>
      </c>
      <c r="P17" s="391">
        <f>+PL推移!J16</f>
        <v>0</v>
      </c>
      <c r="Q17" s="381">
        <f t="shared" ref="Q17" si="40">SUM(Q18:Q22)</f>
        <v>0</v>
      </c>
      <c r="R17" s="361" t="str">
        <f t="shared" si="12"/>
        <v>-</v>
      </c>
      <c r="S17" s="347">
        <f>SUM(S18:S22)</f>
        <v>0</v>
      </c>
      <c r="T17" s="391">
        <f>+PL推移!L16</f>
        <v>0</v>
      </c>
      <c r="U17" s="381">
        <f t="shared" ref="U17" si="41">SUM(U18:U22)</f>
        <v>0</v>
      </c>
      <c r="V17" s="361" t="str">
        <f t="shared" si="13"/>
        <v>-</v>
      </c>
      <c r="W17" s="347">
        <f>SUM(W18:W22)</f>
        <v>0</v>
      </c>
      <c r="X17" s="391">
        <f>+PL推移!N16</f>
        <v>0</v>
      </c>
      <c r="Y17" s="381">
        <f t="shared" ref="Y17" si="42">SUM(Y18:Y22)</f>
        <v>0</v>
      </c>
      <c r="Z17" s="361" t="str">
        <f t="shared" si="14"/>
        <v>-</v>
      </c>
      <c r="AA17" s="347">
        <f>SUM(AA18:AA22)</f>
        <v>0</v>
      </c>
      <c r="AB17" s="391">
        <f>+PL推移!P16</f>
        <v>0</v>
      </c>
      <c r="AC17" s="381">
        <f t="shared" ref="AC17" si="43">SUM(AC18:AC22)</f>
        <v>0</v>
      </c>
      <c r="AD17" s="361" t="str">
        <f t="shared" si="15"/>
        <v>-</v>
      </c>
      <c r="AE17" s="347">
        <f>SUM(AE18:AE22)</f>
        <v>0</v>
      </c>
      <c r="AF17" s="391">
        <f>+PL推移!R16</f>
        <v>0</v>
      </c>
      <c r="AG17" s="381">
        <f t="shared" ref="AG17" si="44">SUM(AG18:AG22)</f>
        <v>1900</v>
      </c>
      <c r="AH17" s="361" t="str">
        <f t="shared" si="16"/>
        <v>-</v>
      </c>
      <c r="AI17" s="347">
        <f>SUM(AI18:AI22)</f>
        <v>0</v>
      </c>
      <c r="AJ17" s="391">
        <f>+PL推移!T16</f>
        <v>0</v>
      </c>
      <c r="AK17" s="381">
        <f t="shared" ref="AK17" si="45">SUM(AK18:AK22)</f>
        <v>2266</v>
      </c>
      <c r="AL17" s="401" t="str">
        <f t="shared" si="17"/>
        <v>-</v>
      </c>
      <c r="AM17" s="347">
        <f>SUM(AM18:AM22)</f>
        <v>0</v>
      </c>
      <c r="AN17" s="391">
        <f>+PL推移!V16</f>
        <v>0</v>
      </c>
      <c r="AO17" s="381">
        <f t="shared" si="18"/>
        <v>0</v>
      </c>
      <c r="AP17" s="401" t="str">
        <f t="shared" si="19"/>
        <v>-</v>
      </c>
      <c r="AQ17" s="347">
        <f>SUM(AQ18:AQ22)</f>
        <v>0</v>
      </c>
      <c r="AR17" s="391">
        <f>+PL推移!X16</f>
        <v>0</v>
      </c>
      <c r="AS17" s="381">
        <f t="shared" si="20"/>
        <v>0</v>
      </c>
      <c r="AT17" s="401" t="str">
        <f t="shared" si="21"/>
        <v>-</v>
      </c>
      <c r="AU17" s="347">
        <f>+収支計画!AI24/1000</f>
        <v>0</v>
      </c>
      <c r="AV17" s="391">
        <f>+PL推移!Z16</f>
        <v>0</v>
      </c>
      <c r="AW17" s="381">
        <f t="shared" si="22"/>
        <v>0</v>
      </c>
      <c r="AX17" s="401" t="str">
        <f t="shared" si="23"/>
        <v>-</v>
      </c>
      <c r="AY17" s="345">
        <f t="shared" si="24"/>
        <v>6840</v>
      </c>
      <c r="AZ17" s="391">
        <f t="shared" si="25"/>
        <v>2021.2760000000001</v>
      </c>
      <c r="BA17" s="381">
        <f t="shared" si="26"/>
        <v>-4818.7240000000002</v>
      </c>
      <c r="BB17" s="371">
        <f t="shared" si="27"/>
        <v>0.29550818713450294</v>
      </c>
      <c r="BC17" s="347">
        <f>+PL推移!N16-収支計画!W24/1000</f>
        <v>0</v>
      </c>
      <c r="BD17" s="348" t="e">
        <f>+BC17/(収支計画!W24/1000)</f>
        <v>#DIV/0!</v>
      </c>
      <c r="BE17" s="349">
        <f>+PL推移!P16-収支計画!Y24/1000</f>
        <v>0</v>
      </c>
      <c r="BF17" s="346" t="e">
        <f>+BE17/(収支計画!Y24/1000)</f>
        <v>#DIV/0!</v>
      </c>
      <c r="BG17" s="347">
        <f>+PL推移!R16-収支計画!AA24/1000</f>
        <v>0</v>
      </c>
      <c r="BH17" s="348" t="e">
        <f>+BG17/(収支計画!AA24/1000)</f>
        <v>#DIV/0!</v>
      </c>
      <c r="BI17" s="349">
        <f>+PL推移!T16-収支計画!AC24/1000</f>
        <v>0</v>
      </c>
      <c r="BJ17" s="346" t="e">
        <f>+BI17/(収支計画!AC24/1000)</f>
        <v>#DIV/0!</v>
      </c>
      <c r="BK17" s="347">
        <f>+PL推移!V16-収支計画!AE24/1000</f>
        <v>0</v>
      </c>
      <c r="BL17" s="348" t="e">
        <f>+BK17/(収支計画!AE24/1000)</f>
        <v>#DIV/0!</v>
      </c>
      <c r="BM17" s="349">
        <f>+PL推移!X16-収支計画!AG24/1000</f>
        <v>0</v>
      </c>
      <c r="BN17" s="346" t="e">
        <f>+BM17/(収支計画!AG24/1000)</f>
        <v>#DIV/0!</v>
      </c>
      <c r="BO17" s="347">
        <f>+PL推移!Z16-収支計画!AI24/1000</f>
        <v>0</v>
      </c>
      <c r="BP17" s="348" t="e">
        <f>+BO17/(収支計画!AI24/1000)</f>
        <v>#DIV/0!</v>
      </c>
    </row>
    <row r="18" spans="1:68">
      <c r="A18" s="179"/>
      <c r="B18" s="3" t="str">
        <f>+B12</f>
        <v>恵愛</v>
      </c>
      <c r="C18" s="328">
        <f>+収支計画!G18/1000</f>
        <v>1785</v>
      </c>
      <c r="D18" s="488">
        <f>+PL推移!D17</f>
        <v>1728</v>
      </c>
      <c r="E18" s="385">
        <f t="shared" si="28"/>
        <v>-57</v>
      </c>
      <c r="F18" s="365">
        <f t="shared" si="9"/>
        <v>0.9680672268907563</v>
      </c>
      <c r="G18" s="330">
        <f>+収支計画!K18/1000</f>
        <v>1785</v>
      </c>
      <c r="H18" s="395">
        <f>+PL推移!F17</f>
        <v>0</v>
      </c>
      <c r="I18" s="385">
        <f t="shared" si="29"/>
        <v>-1785</v>
      </c>
      <c r="J18" s="405">
        <f t="shared" si="10"/>
        <v>0</v>
      </c>
      <c r="K18" s="330">
        <f>+収支計画!O18/1000</f>
        <v>2167.5</v>
      </c>
      <c r="L18" s="395">
        <f>+PL推移!H17</f>
        <v>0</v>
      </c>
      <c r="M18" s="385">
        <f t="shared" si="30"/>
        <v>-2167.5</v>
      </c>
      <c r="N18" s="365">
        <f t="shared" si="11"/>
        <v>0</v>
      </c>
      <c r="O18" s="330">
        <f>+収支計画!S18/1000</f>
        <v>0</v>
      </c>
      <c r="P18" s="395">
        <f>+PL推移!J17</f>
        <v>0</v>
      </c>
      <c r="Q18" s="385">
        <f t="shared" ref="Q18:Q22" si="46">+P18-O18</f>
        <v>0</v>
      </c>
      <c r="R18" s="365" t="str">
        <f t="shared" si="12"/>
        <v>-</v>
      </c>
      <c r="S18" s="330">
        <f>+収支計画!U18/1000</f>
        <v>0</v>
      </c>
      <c r="T18" s="395">
        <f>+PL推移!L17</f>
        <v>0</v>
      </c>
      <c r="U18" s="385">
        <f t="shared" ref="U18:U22" si="47">+T18-S18</f>
        <v>0</v>
      </c>
      <c r="V18" s="365" t="str">
        <f t="shared" si="13"/>
        <v>-</v>
      </c>
      <c r="W18" s="330">
        <f>+収支計画!W18/1000</f>
        <v>0</v>
      </c>
      <c r="X18" s="395">
        <f>+PL推移!N17</f>
        <v>0</v>
      </c>
      <c r="Y18" s="385">
        <f t="shared" ref="Y18:Y22" si="48">+X18-W18</f>
        <v>0</v>
      </c>
      <c r="Z18" s="365" t="str">
        <f t="shared" si="14"/>
        <v>-</v>
      </c>
      <c r="AA18" s="330">
        <f>+収支計画!Y18/1000</f>
        <v>0</v>
      </c>
      <c r="AB18" s="395">
        <f>+PL推移!P17</f>
        <v>0</v>
      </c>
      <c r="AC18" s="385">
        <f t="shared" ref="AC18:AC22" si="49">+AB18-AA18</f>
        <v>0</v>
      </c>
      <c r="AD18" s="365" t="str">
        <f t="shared" si="15"/>
        <v>-</v>
      </c>
      <c r="AE18" s="330">
        <f>+収支計画!AA18/1000</f>
        <v>0</v>
      </c>
      <c r="AF18" s="395">
        <f>+PL推移!R17</f>
        <v>1634</v>
      </c>
      <c r="AG18" s="385">
        <f t="shared" ref="AG18:AG22" si="50">+AF18-AE18</f>
        <v>1634</v>
      </c>
      <c r="AH18" s="365" t="str">
        <f t="shared" si="16"/>
        <v>-</v>
      </c>
      <c r="AI18" s="330">
        <f>+収支計画!AC18/1000</f>
        <v>0</v>
      </c>
      <c r="AJ18" s="395">
        <f>+PL推移!T17</f>
        <v>1864</v>
      </c>
      <c r="AK18" s="385">
        <f t="shared" ref="AK18:AK22" si="51">+AJ18-AI18</f>
        <v>1864</v>
      </c>
      <c r="AL18" s="405" t="str">
        <f t="shared" si="17"/>
        <v>-</v>
      </c>
      <c r="AM18" s="330">
        <f>+収支計画!AG18/1000</f>
        <v>0</v>
      </c>
      <c r="AN18" s="395">
        <f>+PL推移!V17</f>
        <v>1607</v>
      </c>
      <c r="AO18" s="385">
        <f t="shared" si="18"/>
        <v>1607</v>
      </c>
      <c r="AP18" s="405" t="str">
        <f t="shared" si="19"/>
        <v>-</v>
      </c>
      <c r="AQ18" s="330">
        <f>+収支計画!AG18/1000</f>
        <v>0</v>
      </c>
      <c r="AR18" s="395">
        <f>+PL推移!X17</f>
        <v>1751</v>
      </c>
      <c r="AS18" s="385">
        <f t="shared" si="20"/>
        <v>1751</v>
      </c>
      <c r="AT18" s="405" t="str">
        <f t="shared" si="21"/>
        <v>-</v>
      </c>
      <c r="AU18" s="330">
        <f>+収支計画!AI18/1000</f>
        <v>0</v>
      </c>
      <c r="AV18" s="395">
        <f>+PL推移!Z17</f>
        <v>1643</v>
      </c>
      <c r="AW18" s="385">
        <f t="shared" si="22"/>
        <v>1643</v>
      </c>
      <c r="AX18" s="405" t="str">
        <f t="shared" si="23"/>
        <v>-</v>
      </c>
      <c r="AY18" s="328">
        <f t="shared" si="24"/>
        <v>5737.5</v>
      </c>
      <c r="AZ18" s="395">
        <f t="shared" si="25"/>
        <v>10227</v>
      </c>
      <c r="BA18" s="385">
        <f t="shared" si="26"/>
        <v>4489.5</v>
      </c>
      <c r="BB18" s="375">
        <f t="shared" si="27"/>
        <v>1.782483660130719</v>
      </c>
      <c r="BC18" s="330">
        <f>+PL推移!N17-収支計画!W18/1000</f>
        <v>0</v>
      </c>
      <c r="BD18" s="331" t="e">
        <f>+BC18/(収支計画!W18/1000)</f>
        <v>#DIV/0!</v>
      </c>
      <c r="BE18" s="332">
        <f>+PL推移!P17-収支計画!Y18/1000</f>
        <v>0</v>
      </c>
      <c r="BF18" s="329" t="e">
        <f>+BE18/(収支計画!Y18/1000)</f>
        <v>#DIV/0!</v>
      </c>
      <c r="BG18" s="330">
        <f>+PL推移!R17-収支計画!AA18/1000</f>
        <v>1634</v>
      </c>
      <c r="BH18" s="331" t="e">
        <f>+BG18/(収支計画!AA18/1000)</f>
        <v>#DIV/0!</v>
      </c>
      <c r="BI18" s="332">
        <f>+PL推移!T17-収支計画!AC18/1000</f>
        <v>1864</v>
      </c>
      <c r="BJ18" s="329" t="e">
        <f>+BI18/(収支計画!AC18/1000)</f>
        <v>#DIV/0!</v>
      </c>
      <c r="BK18" s="330">
        <f>+PL推移!V17-収支計画!AE18/1000</f>
        <v>1607</v>
      </c>
      <c r="BL18" s="331" t="e">
        <f>+BK18/(収支計画!AE18/1000)</f>
        <v>#DIV/0!</v>
      </c>
      <c r="BM18" s="332">
        <f>+PL推移!X17-収支計画!AG18/1000</f>
        <v>1751</v>
      </c>
      <c r="BN18" s="329" t="e">
        <f>+BM18/(収支計画!AG18/1000)</f>
        <v>#DIV/0!</v>
      </c>
      <c r="BO18" s="330">
        <f>+PL推移!Z17-収支計画!AI18/1000</f>
        <v>1643</v>
      </c>
      <c r="BP18" s="331" t="e">
        <f>+BO18/(収支計画!AI18/1000)</f>
        <v>#DIV/0!</v>
      </c>
    </row>
    <row r="19" spans="1:68">
      <c r="A19" s="179"/>
      <c r="B19" s="5" t="str">
        <f>+B13</f>
        <v>村</v>
      </c>
      <c r="C19" s="318">
        <f>+収支計画!G19/1000</f>
        <v>112.5</v>
      </c>
      <c r="D19" s="486">
        <f>+PL推移!D18</f>
        <v>122</v>
      </c>
      <c r="E19" s="383">
        <f t="shared" si="28"/>
        <v>9.5</v>
      </c>
      <c r="F19" s="363">
        <f t="shared" si="9"/>
        <v>1.0844444444444445</v>
      </c>
      <c r="G19" s="320">
        <f>+収支計画!K19/1000</f>
        <v>112.5</v>
      </c>
      <c r="H19" s="393">
        <f>+PL推移!F18</f>
        <v>0</v>
      </c>
      <c r="I19" s="383">
        <f t="shared" si="29"/>
        <v>-112.5</v>
      </c>
      <c r="J19" s="403">
        <f t="shared" si="10"/>
        <v>0</v>
      </c>
      <c r="K19" s="320">
        <f>+収支計画!O19/1000</f>
        <v>112.5</v>
      </c>
      <c r="L19" s="393">
        <f>+PL推移!H18</f>
        <v>0</v>
      </c>
      <c r="M19" s="383">
        <f t="shared" si="30"/>
        <v>-112.5</v>
      </c>
      <c r="N19" s="363">
        <f t="shared" si="11"/>
        <v>0</v>
      </c>
      <c r="O19" s="320">
        <f>+収支計画!S19/1000</f>
        <v>0</v>
      </c>
      <c r="P19" s="393">
        <f>+PL推移!J18</f>
        <v>0</v>
      </c>
      <c r="Q19" s="383">
        <f t="shared" si="46"/>
        <v>0</v>
      </c>
      <c r="R19" s="363" t="str">
        <f t="shared" si="12"/>
        <v>-</v>
      </c>
      <c r="S19" s="320">
        <f>+収支計画!U19/1000</f>
        <v>0</v>
      </c>
      <c r="T19" s="393">
        <f>+PL推移!L18</f>
        <v>0</v>
      </c>
      <c r="U19" s="383">
        <f t="shared" si="47"/>
        <v>0</v>
      </c>
      <c r="V19" s="363" t="str">
        <f t="shared" si="13"/>
        <v>-</v>
      </c>
      <c r="W19" s="320">
        <f>+収支計画!W19/1000</f>
        <v>0</v>
      </c>
      <c r="X19" s="393">
        <f>+PL推移!N18</f>
        <v>0</v>
      </c>
      <c r="Y19" s="383">
        <f t="shared" si="48"/>
        <v>0</v>
      </c>
      <c r="Z19" s="363" t="str">
        <f t="shared" si="14"/>
        <v>-</v>
      </c>
      <c r="AA19" s="320">
        <f>+収支計画!Y19/1000</f>
        <v>0</v>
      </c>
      <c r="AB19" s="393">
        <f>+PL推移!P18</f>
        <v>0</v>
      </c>
      <c r="AC19" s="383">
        <f t="shared" si="49"/>
        <v>0</v>
      </c>
      <c r="AD19" s="363" t="str">
        <f t="shared" si="15"/>
        <v>-</v>
      </c>
      <c r="AE19" s="320">
        <f>+収支計画!AA19/1000</f>
        <v>0</v>
      </c>
      <c r="AF19" s="393">
        <f>+PL推移!R18</f>
        <v>92</v>
      </c>
      <c r="AG19" s="383">
        <f t="shared" si="50"/>
        <v>92</v>
      </c>
      <c r="AH19" s="363" t="str">
        <f t="shared" si="16"/>
        <v>-</v>
      </c>
      <c r="AI19" s="320">
        <f>+収支計画!AC19/1000</f>
        <v>0</v>
      </c>
      <c r="AJ19" s="393">
        <f>+PL推移!T18</f>
        <v>143</v>
      </c>
      <c r="AK19" s="383">
        <f t="shared" si="51"/>
        <v>143</v>
      </c>
      <c r="AL19" s="403" t="str">
        <f t="shared" si="17"/>
        <v>-</v>
      </c>
      <c r="AM19" s="320">
        <f>+収支計画!AG19/1000</f>
        <v>0</v>
      </c>
      <c r="AN19" s="393">
        <f>+PL推移!V18</f>
        <v>82</v>
      </c>
      <c r="AO19" s="383">
        <f t="shared" si="18"/>
        <v>82</v>
      </c>
      <c r="AP19" s="403" t="str">
        <f t="shared" si="19"/>
        <v>-</v>
      </c>
      <c r="AQ19" s="320">
        <f>+収支計画!AG19/1000</f>
        <v>0</v>
      </c>
      <c r="AR19" s="393">
        <f>+PL推移!X18</f>
        <v>115</v>
      </c>
      <c r="AS19" s="383">
        <f t="shared" si="20"/>
        <v>115</v>
      </c>
      <c r="AT19" s="403" t="str">
        <f t="shared" si="21"/>
        <v>-</v>
      </c>
      <c r="AU19" s="320">
        <f>+収支計画!AI19/1000</f>
        <v>0</v>
      </c>
      <c r="AV19" s="393">
        <f>+PL推移!Z18</f>
        <v>120</v>
      </c>
      <c r="AW19" s="383">
        <f t="shared" si="22"/>
        <v>120</v>
      </c>
      <c r="AX19" s="403" t="str">
        <f t="shared" si="23"/>
        <v>-</v>
      </c>
      <c r="AY19" s="318">
        <f t="shared" si="24"/>
        <v>337.5</v>
      </c>
      <c r="AZ19" s="393">
        <f t="shared" si="25"/>
        <v>674</v>
      </c>
      <c r="BA19" s="383">
        <f t="shared" si="26"/>
        <v>336.5</v>
      </c>
      <c r="BB19" s="373">
        <f t="shared" si="27"/>
        <v>1.9970370370370369</v>
      </c>
      <c r="BC19" s="320">
        <f>+PL推移!N18-収支計画!W19/1000</f>
        <v>0</v>
      </c>
      <c r="BD19" s="321" t="e">
        <f>+BC19/(収支計画!W19/1000)</f>
        <v>#DIV/0!</v>
      </c>
      <c r="BE19" s="322">
        <f>+PL推移!P18-収支計画!Y19/1000</f>
        <v>0</v>
      </c>
      <c r="BF19" s="319" t="e">
        <f>+BE19/(収支計画!Y19/1000)</f>
        <v>#DIV/0!</v>
      </c>
      <c r="BG19" s="320">
        <f>+PL推移!R18-収支計画!AA19/1000</f>
        <v>92</v>
      </c>
      <c r="BH19" s="321" t="e">
        <f>+BG19/(収支計画!AA19/1000)</f>
        <v>#DIV/0!</v>
      </c>
      <c r="BI19" s="322">
        <f>+PL推移!T18-収支計画!AC19/1000</f>
        <v>143</v>
      </c>
      <c r="BJ19" s="319" t="e">
        <f>+BI19/(収支計画!AC19/1000)</f>
        <v>#DIV/0!</v>
      </c>
      <c r="BK19" s="320">
        <f>+PL推移!V18-収支計画!AE19/1000</f>
        <v>82</v>
      </c>
      <c r="BL19" s="321" t="e">
        <f>+BK19/(収支計画!AE19/1000)</f>
        <v>#DIV/0!</v>
      </c>
      <c r="BM19" s="322">
        <f>+PL推移!X18-収支計画!AG19/1000</f>
        <v>115</v>
      </c>
      <c r="BN19" s="319" t="e">
        <f>+BM19/(収支計画!AG19/1000)</f>
        <v>#DIV/0!</v>
      </c>
      <c r="BO19" s="320">
        <f>+PL推移!Z18-収支計画!AI19/1000</f>
        <v>120</v>
      </c>
      <c r="BP19" s="321" t="e">
        <f>+BO19/(収支計画!AI19/1000)</f>
        <v>#DIV/0!</v>
      </c>
    </row>
    <row r="20" spans="1:68">
      <c r="A20" s="179"/>
      <c r="B20" s="5" t="str">
        <f>+B14</f>
        <v>弁当</v>
      </c>
      <c r="C20" s="318">
        <f>+収支計画!G20/1000</f>
        <v>157.5</v>
      </c>
      <c r="D20" s="486">
        <f>+PL推移!D19</f>
        <v>126</v>
      </c>
      <c r="E20" s="383">
        <f t="shared" si="28"/>
        <v>-31.5</v>
      </c>
      <c r="F20" s="363">
        <f t="shared" si="9"/>
        <v>0.8</v>
      </c>
      <c r="G20" s="320">
        <f>+収支計画!K20/1000</f>
        <v>140</v>
      </c>
      <c r="H20" s="393">
        <f>+PL推移!F19</f>
        <v>0</v>
      </c>
      <c r="I20" s="383">
        <f t="shared" si="29"/>
        <v>-140</v>
      </c>
      <c r="J20" s="403">
        <f t="shared" si="10"/>
        <v>0</v>
      </c>
      <c r="K20" s="320">
        <f>+収支計画!O20/1000</f>
        <v>140</v>
      </c>
      <c r="L20" s="393">
        <f>+PL推移!H19</f>
        <v>0</v>
      </c>
      <c r="M20" s="383">
        <f t="shared" si="30"/>
        <v>-140</v>
      </c>
      <c r="N20" s="363">
        <f t="shared" si="11"/>
        <v>0</v>
      </c>
      <c r="O20" s="320">
        <f>+収支計画!S20/1000</f>
        <v>0</v>
      </c>
      <c r="P20" s="393">
        <f>+PL推移!J19</f>
        <v>0</v>
      </c>
      <c r="Q20" s="383">
        <f t="shared" si="46"/>
        <v>0</v>
      </c>
      <c r="R20" s="363" t="str">
        <f t="shared" si="12"/>
        <v>-</v>
      </c>
      <c r="S20" s="320">
        <f>+収支計画!U20/1000</f>
        <v>0</v>
      </c>
      <c r="T20" s="393">
        <f>+PL推移!L19</f>
        <v>0</v>
      </c>
      <c r="U20" s="383">
        <f t="shared" si="47"/>
        <v>0</v>
      </c>
      <c r="V20" s="363" t="str">
        <f t="shared" si="13"/>
        <v>-</v>
      </c>
      <c r="W20" s="320">
        <f>+収支計画!W20/1000</f>
        <v>0</v>
      </c>
      <c r="X20" s="393">
        <f>+PL推移!N19</f>
        <v>0</v>
      </c>
      <c r="Y20" s="383">
        <f t="shared" si="48"/>
        <v>0</v>
      </c>
      <c r="Z20" s="363" t="str">
        <f t="shared" si="14"/>
        <v>-</v>
      </c>
      <c r="AA20" s="320">
        <f>+収支計画!Y20/1000</f>
        <v>0</v>
      </c>
      <c r="AB20" s="393">
        <f>+PL推移!P19</f>
        <v>0</v>
      </c>
      <c r="AC20" s="383">
        <f t="shared" si="49"/>
        <v>0</v>
      </c>
      <c r="AD20" s="363" t="str">
        <f t="shared" si="15"/>
        <v>-</v>
      </c>
      <c r="AE20" s="320">
        <f>+収支計画!AA20/1000</f>
        <v>0</v>
      </c>
      <c r="AF20" s="393">
        <f>+PL推移!R19</f>
        <v>87</v>
      </c>
      <c r="AG20" s="383">
        <f t="shared" si="50"/>
        <v>87</v>
      </c>
      <c r="AH20" s="363" t="str">
        <f t="shared" si="16"/>
        <v>-</v>
      </c>
      <c r="AI20" s="320">
        <f>+収支計画!AC20/1000</f>
        <v>0</v>
      </c>
      <c r="AJ20" s="393">
        <f>+PL推移!T19</f>
        <v>154</v>
      </c>
      <c r="AK20" s="383">
        <f t="shared" si="51"/>
        <v>154</v>
      </c>
      <c r="AL20" s="403" t="str">
        <f t="shared" si="17"/>
        <v>-</v>
      </c>
      <c r="AM20" s="320">
        <f>+収支計画!AG20/1000</f>
        <v>0</v>
      </c>
      <c r="AN20" s="393">
        <f>+PL推移!V19</f>
        <v>151</v>
      </c>
      <c r="AO20" s="383">
        <f t="shared" si="18"/>
        <v>151</v>
      </c>
      <c r="AP20" s="403" t="str">
        <f t="shared" si="19"/>
        <v>-</v>
      </c>
      <c r="AQ20" s="320">
        <f>+収支計画!AG20/1000</f>
        <v>0</v>
      </c>
      <c r="AR20" s="393">
        <f>+PL推移!X19</f>
        <v>167</v>
      </c>
      <c r="AS20" s="383">
        <f t="shared" si="20"/>
        <v>167</v>
      </c>
      <c r="AT20" s="403" t="str">
        <f t="shared" si="21"/>
        <v>-</v>
      </c>
      <c r="AU20" s="320">
        <f>+収支計画!AI20/1000</f>
        <v>0</v>
      </c>
      <c r="AV20" s="393">
        <f>+PL推移!Z19</f>
        <v>184</v>
      </c>
      <c r="AW20" s="383">
        <f t="shared" si="22"/>
        <v>184</v>
      </c>
      <c r="AX20" s="403" t="str">
        <f t="shared" si="23"/>
        <v>-</v>
      </c>
      <c r="AY20" s="318">
        <f t="shared" si="24"/>
        <v>437.5</v>
      </c>
      <c r="AZ20" s="393">
        <f t="shared" si="25"/>
        <v>869</v>
      </c>
      <c r="BA20" s="383">
        <f t="shared" si="26"/>
        <v>431.5</v>
      </c>
      <c r="BB20" s="373">
        <f t="shared" si="27"/>
        <v>1.9862857142857142</v>
      </c>
      <c r="BC20" s="320">
        <f>+PL推移!N19-収支計画!W20/1000</f>
        <v>0</v>
      </c>
      <c r="BD20" s="321" t="e">
        <f>+BC20/(収支計画!W20/1000)</f>
        <v>#DIV/0!</v>
      </c>
      <c r="BE20" s="322">
        <f>+PL推移!P19-収支計画!Y20/1000</f>
        <v>0</v>
      </c>
      <c r="BF20" s="319" t="e">
        <f>+BE20/(収支計画!Y20/1000)</f>
        <v>#DIV/0!</v>
      </c>
      <c r="BG20" s="320">
        <f>+PL推移!R19-収支計画!AA20/1000</f>
        <v>87</v>
      </c>
      <c r="BH20" s="321" t="e">
        <f>+BG20/(収支計画!AA20/1000)</f>
        <v>#DIV/0!</v>
      </c>
      <c r="BI20" s="322">
        <f>+PL推移!T19-収支計画!AC20/1000</f>
        <v>154</v>
      </c>
      <c r="BJ20" s="319" t="e">
        <f>+BI20/(収支計画!AC20/1000)</f>
        <v>#DIV/0!</v>
      </c>
      <c r="BK20" s="320">
        <f>+PL推移!V19-収支計画!AE20/1000</f>
        <v>151</v>
      </c>
      <c r="BL20" s="321" t="e">
        <f>+BK20/(収支計画!AE20/1000)</f>
        <v>#DIV/0!</v>
      </c>
      <c r="BM20" s="322">
        <f>+PL推移!X19-収支計画!AG20/1000</f>
        <v>167</v>
      </c>
      <c r="BN20" s="319" t="e">
        <f>+BM20/(収支計画!AG20/1000)</f>
        <v>#DIV/0!</v>
      </c>
      <c r="BO20" s="320">
        <f>+PL推移!Z19-収支計画!AI20/1000</f>
        <v>184</v>
      </c>
      <c r="BP20" s="321" t="e">
        <f>+BO20/(収支計画!AI20/1000)</f>
        <v>#DIV/0!</v>
      </c>
    </row>
    <row r="21" spans="1:68">
      <c r="A21" s="179"/>
      <c r="B21" s="5" t="str">
        <f t="shared" ref="B21:B22" si="52">+B15</f>
        <v>シェア</v>
      </c>
      <c r="C21" s="318">
        <f>+収支計画!G21/1000</f>
        <v>45</v>
      </c>
      <c r="D21" s="486">
        <f>+PL推移!D20</f>
        <v>19</v>
      </c>
      <c r="E21" s="383">
        <f t="shared" si="28"/>
        <v>-26</v>
      </c>
      <c r="F21" s="363">
        <f t="shared" si="9"/>
        <v>0.42222222222222222</v>
      </c>
      <c r="G21" s="320">
        <f>+収支計画!K21/1000</f>
        <v>45</v>
      </c>
      <c r="H21" s="393">
        <f>+PL推移!F20</f>
        <v>0</v>
      </c>
      <c r="I21" s="383">
        <f t="shared" si="29"/>
        <v>-45</v>
      </c>
      <c r="J21" s="403">
        <f t="shared" si="10"/>
        <v>0</v>
      </c>
      <c r="K21" s="320">
        <f>+収支計画!O21/1000</f>
        <v>37.5</v>
      </c>
      <c r="L21" s="393">
        <f>+PL推移!H20</f>
        <v>0</v>
      </c>
      <c r="M21" s="383">
        <f t="shared" si="30"/>
        <v>-37.5</v>
      </c>
      <c r="N21" s="363">
        <f t="shared" si="11"/>
        <v>0</v>
      </c>
      <c r="O21" s="320">
        <f>+収支計画!S21/1000</f>
        <v>0</v>
      </c>
      <c r="P21" s="393">
        <f>+PL推移!J20</f>
        <v>0</v>
      </c>
      <c r="Q21" s="383">
        <f t="shared" si="46"/>
        <v>0</v>
      </c>
      <c r="R21" s="363" t="str">
        <f t="shared" si="12"/>
        <v>-</v>
      </c>
      <c r="S21" s="320">
        <f>+収支計画!U21/1000</f>
        <v>0</v>
      </c>
      <c r="T21" s="393">
        <f>+PL推移!L20</f>
        <v>0</v>
      </c>
      <c r="U21" s="383">
        <f t="shared" si="47"/>
        <v>0</v>
      </c>
      <c r="V21" s="363" t="str">
        <f t="shared" si="13"/>
        <v>-</v>
      </c>
      <c r="W21" s="320">
        <f>+収支計画!W21/1000</f>
        <v>0</v>
      </c>
      <c r="X21" s="393">
        <f>+PL推移!N20</f>
        <v>0</v>
      </c>
      <c r="Y21" s="383">
        <f t="shared" si="48"/>
        <v>0</v>
      </c>
      <c r="Z21" s="363" t="str">
        <f t="shared" si="14"/>
        <v>-</v>
      </c>
      <c r="AA21" s="320">
        <f>+収支計画!Y21/1000</f>
        <v>0</v>
      </c>
      <c r="AB21" s="393">
        <f>+PL推移!P20</f>
        <v>0</v>
      </c>
      <c r="AC21" s="383">
        <f t="shared" si="49"/>
        <v>0</v>
      </c>
      <c r="AD21" s="363" t="str">
        <f t="shared" si="15"/>
        <v>-</v>
      </c>
      <c r="AE21" s="320">
        <f>+収支計画!AA21/1000</f>
        <v>0</v>
      </c>
      <c r="AF21" s="393">
        <f>+PL推移!R20</f>
        <v>25</v>
      </c>
      <c r="AG21" s="383">
        <f t="shared" si="50"/>
        <v>25</v>
      </c>
      <c r="AH21" s="363" t="str">
        <f t="shared" si="16"/>
        <v>-</v>
      </c>
      <c r="AI21" s="320">
        <f>+収支計画!AC21/1000</f>
        <v>0</v>
      </c>
      <c r="AJ21" s="393">
        <f>+PL推移!T20</f>
        <v>73</v>
      </c>
      <c r="AK21" s="383">
        <f t="shared" si="51"/>
        <v>73</v>
      </c>
      <c r="AL21" s="403" t="str">
        <f t="shared" si="17"/>
        <v>-</v>
      </c>
      <c r="AM21" s="320">
        <f>+収支計画!AG21/1000</f>
        <v>0</v>
      </c>
      <c r="AN21" s="393">
        <f>+PL推移!V20</f>
        <v>38</v>
      </c>
      <c r="AO21" s="383">
        <f t="shared" si="18"/>
        <v>38</v>
      </c>
      <c r="AP21" s="403" t="str">
        <f t="shared" si="19"/>
        <v>-</v>
      </c>
      <c r="AQ21" s="320">
        <f>+収支計画!AG21/1000</f>
        <v>0</v>
      </c>
      <c r="AR21" s="393">
        <f>+PL推移!X20</f>
        <v>32</v>
      </c>
      <c r="AS21" s="383">
        <f t="shared" si="20"/>
        <v>32</v>
      </c>
      <c r="AT21" s="403" t="str">
        <f t="shared" si="21"/>
        <v>-</v>
      </c>
      <c r="AU21" s="320">
        <f>+収支計画!AI21/1000</f>
        <v>0</v>
      </c>
      <c r="AV21" s="393">
        <f>+PL推移!Z20</f>
        <v>37</v>
      </c>
      <c r="AW21" s="383">
        <f t="shared" si="22"/>
        <v>37</v>
      </c>
      <c r="AX21" s="403" t="str">
        <f t="shared" si="23"/>
        <v>-</v>
      </c>
      <c r="AY21" s="318">
        <f t="shared" si="24"/>
        <v>127.5</v>
      </c>
      <c r="AZ21" s="393">
        <f t="shared" si="25"/>
        <v>224</v>
      </c>
      <c r="BA21" s="383">
        <f t="shared" si="26"/>
        <v>96.5</v>
      </c>
      <c r="BB21" s="373">
        <f t="shared" si="27"/>
        <v>1.7568627450980392</v>
      </c>
      <c r="BC21" s="320">
        <f>+PL推移!N20-収支計画!W21/1000</f>
        <v>0</v>
      </c>
      <c r="BD21" s="321" t="e">
        <f>+BC21/(収支計画!W21/1000)</f>
        <v>#DIV/0!</v>
      </c>
      <c r="BE21" s="322">
        <f>+PL推移!P20-収支計画!Y21/1000</f>
        <v>0</v>
      </c>
      <c r="BF21" s="319" t="e">
        <f>+BE21/(収支計画!Y21/1000)</f>
        <v>#DIV/0!</v>
      </c>
      <c r="BG21" s="320">
        <f>+PL推移!R20-収支計画!AA21/1000</f>
        <v>25</v>
      </c>
      <c r="BH21" s="321" t="e">
        <f>+BG21/(収支計画!AA21/1000)</f>
        <v>#DIV/0!</v>
      </c>
      <c r="BI21" s="322">
        <f>+PL推移!T20-収支計画!AC21/1000</f>
        <v>73</v>
      </c>
      <c r="BJ21" s="319" t="e">
        <f>+BI21/(収支計画!AC21/1000)</f>
        <v>#DIV/0!</v>
      </c>
      <c r="BK21" s="320">
        <f>+PL推移!V20-収支計画!AE21/1000</f>
        <v>38</v>
      </c>
      <c r="BL21" s="321" t="e">
        <f>+BK21/(収支計画!AE21/1000)</f>
        <v>#DIV/0!</v>
      </c>
      <c r="BM21" s="322">
        <f>+PL推移!X20-収支計画!AG21/1000</f>
        <v>32</v>
      </c>
      <c r="BN21" s="319" t="e">
        <f>+BM21/(収支計画!AG21/1000)</f>
        <v>#DIV/0!</v>
      </c>
      <c r="BO21" s="320">
        <f>+PL推移!Z20-収支計画!AI21/1000</f>
        <v>37</v>
      </c>
      <c r="BP21" s="321" t="e">
        <f>+BO21/(収支計画!AI21/1000)</f>
        <v>#DIV/0!</v>
      </c>
    </row>
    <row r="22" spans="1:68">
      <c r="A22" s="190"/>
      <c r="B22" s="7" t="str">
        <f t="shared" si="52"/>
        <v>サウナ</v>
      </c>
      <c r="C22" s="323">
        <f>+収支計画!G22/1000</f>
        <v>100</v>
      </c>
      <c r="D22" s="487">
        <f>+PL推移!D21</f>
        <v>27</v>
      </c>
      <c r="E22" s="384">
        <f t="shared" si="28"/>
        <v>-73</v>
      </c>
      <c r="F22" s="364">
        <f t="shared" si="9"/>
        <v>0.27</v>
      </c>
      <c r="G22" s="325">
        <f>+収支計画!K22/1000</f>
        <v>50</v>
      </c>
      <c r="H22" s="394">
        <f>+PL推移!F21</f>
        <v>0</v>
      </c>
      <c r="I22" s="384">
        <f t="shared" si="29"/>
        <v>-50</v>
      </c>
      <c r="J22" s="404">
        <f t="shared" si="10"/>
        <v>0</v>
      </c>
      <c r="K22" s="325">
        <f>+収支計画!O22/1000</f>
        <v>50</v>
      </c>
      <c r="L22" s="394">
        <f>+PL推移!H21</f>
        <v>0</v>
      </c>
      <c r="M22" s="384">
        <f t="shared" si="30"/>
        <v>-50</v>
      </c>
      <c r="N22" s="364">
        <f t="shared" si="11"/>
        <v>0</v>
      </c>
      <c r="O22" s="325">
        <f>+収支計画!S22/1000</f>
        <v>0</v>
      </c>
      <c r="P22" s="394">
        <f>+PL推移!J21</f>
        <v>0</v>
      </c>
      <c r="Q22" s="384">
        <f t="shared" si="46"/>
        <v>0</v>
      </c>
      <c r="R22" s="364" t="str">
        <f t="shared" si="12"/>
        <v>-</v>
      </c>
      <c r="S22" s="325">
        <f>+収支計画!U22/1000</f>
        <v>0</v>
      </c>
      <c r="T22" s="394">
        <f>+PL推移!L21</f>
        <v>0</v>
      </c>
      <c r="U22" s="384">
        <f t="shared" si="47"/>
        <v>0</v>
      </c>
      <c r="V22" s="364" t="str">
        <f t="shared" si="13"/>
        <v>-</v>
      </c>
      <c r="W22" s="325">
        <f>+収支計画!W22/1000</f>
        <v>0</v>
      </c>
      <c r="X22" s="394">
        <f>+PL推移!N21</f>
        <v>0</v>
      </c>
      <c r="Y22" s="384">
        <f t="shared" si="48"/>
        <v>0</v>
      </c>
      <c r="Z22" s="364" t="str">
        <f t="shared" si="14"/>
        <v>-</v>
      </c>
      <c r="AA22" s="325">
        <f>+収支計画!Y22/1000</f>
        <v>0</v>
      </c>
      <c r="AB22" s="394">
        <f>+PL推移!P21</f>
        <v>0</v>
      </c>
      <c r="AC22" s="384">
        <f t="shared" si="49"/>
        <v>0</v>
      </c>
      <c r="AD22" s="364" t="str">
        <f t="shared" si="15"/>
        <v>-</v>
      </c>
      <c r="AE22" s="325">
        <f>+収支計画!AA22/1000</f>
        <v>0</v>
      </c>
      <c r="AF22" s="394">
        <f>+PL推移!R21</f>
        <v>62</v>
      </c>
      <c r="AG22" s="384">
        <f t="shared" si="50"/>
        <v>62</v>
      </c>
      <c r="AH22" s="364" t="str">
        <f t="shared" si="16"/>
        <v>-</v>
      </c>
      <c r="AI22" s="325">
        <f>+収支計画!AC22/1000</f>
        <v>0</v>
      </c>
      <c r="AJ22" s="394">
        <f>+PL推移!T21</f>
        <v>32</v>
      </c>
      <c r="AK22" s="384">
        <f t="shared" si="51"/>
        <v>32</v>
      </c>
      <c r="AL22" s="404" t="str">
        <f t="shared" si="17"/>
        <v>-</v>
      </c>
      <c r="AM22" s="325">
        <f>+収支計画!AG22/1000</f>
        <v>0</v>
      </c>
      <c r="AN22" s="394">
        <f>+PL推移!V21</f>
        <v>33</v>
      </c>
      <c r="AO22" s="384">
        <f t="shared" si="18"/>
        <v>33</v>
      </c>
      <c r="AP22" s="404" t="str">
        <f t="shared" si="19"/>
        <v>-</v>
      </c>
      <c r="AQ22" s="325">
        <f>+収支計画!AG22/1000</f>
        <v>0</v>
      </c>
      <c r="AR22" s="394">
        <f>+PL推移!X21</f>
        <v>52</v>
      </c>
      <c r="AS22" s="384">
        <f t="shared" si="20"/>
        <v>52</v>
      </c>
      <c r="AT22" s="404" t="str">
        <f t="shared" si="21"/>
        <v>-</v>
      </c>
      <c r="AU22" s="325">
        <f>+収支計画!AI22/1000</f>
        <v>0</v>
      </c>
      <c r="AV22" s="394">
        <f>+PL推移!Z21</f>
        <v>23</v>
      </c>
      <c r="AW22" s="384">
        <f t="shared" si="22"/>
        <v>23</v>
      </c>
      <c r="AX22" s="404" t="str">
        <f t="shared" si="23"/>
        <v>-</v>
      </c>
      <c r="AY22" s="323">
        <f t="shared" si="24"/>
        <v>200</v>
      </c>
      <c r="AZ22" s="394">
        <f t="shared" si="25"/>
        <v>229</v>
      </c>
      <c r="BA22" s="384">
        <f t="shared" si="26"/>
        <v>29</v>
      </c>
      <c r="BB22" s="374">
        <f t="shared" si="27"/>
        <v>1.145</v>
      </c>
      <c r="BC22" s="325">
        <f>+PL推移!N21-収支計画!W22/1000</f>
        <v>0</v>
      </c>
      <c r="BD22" s="326" t="e">
        <f>+BC22/(収支計画!W22/1000)</f>
        <v>#DIV/0!</v>
      </c>
      <c r="BE22" s="327">
        <f>+PL推移!P21-収支計画!Y22/1000</f>
        <v>0</v>
      </c>
      <c r="BF22" s="324" t="e">
        <f>+BE22/(収支計画!Y22/1000)</f>
        <v>#DIV/0!</v>
      </c>
      <c r="BG22" s="325">
        <f>+PL推移!R21-収支計画!AA22/1000</f>
        <v>62</v>
      </c>
      <c r="BH22" s="326" t="e">
        <f>+BG22/(収支計画!AA22/1000)</f>
        <v>#DIV/0!</v>
      </c>
      <c r="BI22" s="327">
        <f>+PL推移!T21-収支計画!AC22/1000</f>
        <v>32</v>
      </c>
      <c r="BJ22" s="324" t="e">
        <f>+BI22/(収支計画!AC22/1000)</f>
        <v>#DIV/0!</v>
      </c>
      <c r="BK22" s="325">
        <f>+PL推移!V21-収支計画!AE22/1000</f>
        <v>33</v>
      </c>
      <c r="BL22" s="326" t="e">
        <f>+BK22/(収支計画!AE22/1000)</f>
        <v>#DIV/0!</v>
      </c>
      <c r="BM22" s="327">
        <f>+PL推移!X21-収支計画!AG22/1000</f>
        <v>52</v>
      </c>
      <c r="BN22" s="324" t="e">
        <f>+BM22/(収支計画!AG22/1000)</f>
        <v>#DIV/0!</v>
      </c>
      <c r="BO22" s="325">
        <f>+PL推移!Z21-収支計画!AI22/1000</f>
        <v>23</v>
      </c>
      <c r="BP22" s="326" t="e">
        <f>+BO22/(収支計画!AI22/1000)</f>
        <v>#DIV/0!</v>
      </c>
    </row>
    <row r="23" spans="1:68" s="47" customFormat="1">
      <c r="A23" s="47" t="s">
        <v>143</v>
      </c>
      <c r="C23" s="345">
        <f>+C11-C17</f>
        <v>7050</v>
      </c>
      <c r="D23" s="484">
        <f>+D11-D17</f>
        <v>6610.009</v>
      </c>
      <c r="E23" s="381">
        <f>+E11-E17</f>
        <v>-440</v>
      </c>
      <c r="F23" s="361">
        <f t="shared" si="9"/>
        <v>0.93758992907801419</v>
      </c>
      <c r="G23" s="347">
        <f>SUM(G24:G28)</f>
        <v>7117.5</v>
      </c>
      <c r="H23" s="391">
        <f>+PL推移!F22</f>
        <v>0</v>
      </c>
      <c r="I23" s="381">
        <f>+I11-I17</f>
        <v>-7117.5</v>
      </c>
      <c r="J23" s="401">
        <f t="shared" si="10"/>
        <v>0</v>
      </c>
      <c r="K23" s="347">
        <f>SUM(K24:K28)</f>
        <v>8242.5</v>
      </c>
      <c r="L23" s="391">
        <f>+PL推移!H22</f>
        <v>0</v>
      </c>
      <c r="M23" s="381">
        <f>+M11-M17</f>
        <v>-8242.5</v>
      </c>
      <c r="N23" s="361">
        <f t="shared" si="11"/>
        <v>0</v>
      </c>
      <c r="O23" s="347">
        <f>SUM(O24:O28)</f>
        <v>0</v>
      </c>
      <c r="P23" s="391">
        <f>+PL推移!J22</f>
        <v>0</v>
      </c>
      <c r="Q23" s="381">
        <f>+Q11-Q17</f>
        <v>0</v>
      </c>
      <c r="R23" s="361" t="str">
        <f t="shared" si="12"/>
        <v>-</v>
      </c>
      <c r="S23" s="347">
        <f>SUM(S24:S28)</f>
        <v>0</v>
      </c>
      <c r="T23" s="391">
        <f>+T11-T17</f>
        <v>0</v>
      </c>
      <c r="U23" s="381">
        <f>+U11-U17</f>
        <v>0</v>
      </c>
      <c r="V23" s="361" t="str">
        <f t="shared" si="13"/>
        <v>-</v>
      </c>
      <c r="W23" s="347">
        <f>SUM(W24:W28)</f>
        <v>0</v>
      </c>
      <c r="X23" s="391">
        <f>+X11-X17</f>
        <v>0</v>
      </c>
      <c r="Y23" s="381">
        <f>+Y11-Y17</f>
        <v>0</v>
      </c>
      <c r="Z23" s="361" t="str">
        <f t="shared" si="14"/>
        <v>-</v>
      </c>
      <c r="AA23" s="347">
        <f>+AA11-AA17</f>
        <v>0</v>
      </c>
      <c r="AB23" s="391">
        <f>+AB11-AB17</f>
        <v>0</v>
      </c>
      <c r="AC23" s="381">
        <f>+AC11-AC17</f>
        <v>0</v>
      </c>
      <c r="AD23" s="361" t="str">
        <f t="shared" si="15"/>
        <v>-</v>
      </c>
      <c r="AE23" s="347">
        <f>SUM(AE24:AE28)</f>
        <v>0</v>
      </c>
      <c r="AF23" s="391">
        <f>+PL推移!R22</f>
        <v>0</v>
      </c>
      <c r="AG23" s="381">
        <f>+AG11-AG17</f>
        <v>-1900</v>
      </c>
      <c r="AH23" s="361" t="str">
        <f t="shared" si="16"/>
        <v>-</v>
      </c>
      <c r="AI23" s="347">
        <f>SUM(AI24:AI28)</f>
        <v>0</v>
      </c>
      <c r="AJ23" s="391">
        <f>+AJ11-AJ17</f>
        <v>350</v>
      </c>
      <c r="AK23" s="381">
        <f>+AK11-AK17</f>
        <v>-2266</v>
      </c>
      <c r="AL23" s="401" t="str">
        <f t="shared" si="17"/>
        <v>-</v>
      </c>
      <c r="AM23" s="347">
        <f>+AM11-AM17</f>
        <v>0</v>
      </c>
      <c r="AN23" s="391">
        <f>+AN11-AN17</f>
        <v>8454</v>
      </c>
      <c r="AO23" s="381">
        <f t="shared" si="18"/>
        <v>8454</v>
      </c>
      <c r="AP23" s="401" t="str">
        <f t="shared" si="19"/>
        <v>-</v>
      </c>
      <c r="AQ23" s="347">
        <f>+AQ11-AQ17</f>
        <v>0</v>
      </c>
      <c r="AR23" s="391">
        <f>+AR11-AR17</f>
        <v>9017</v>
      </c>
      <c r="AS23" s="381">
        <f t="shared" si="20"/>
        <v>9017</v>
      </c>
      <c r="AT23" s="401" t="str">
        <f t="shared" si="21"/>
        <v>-</v>
      </c>
      <c r="AU23" s="347">
        <f>+AU11-AU17</f>
        <v>0</v>
      </c>
      <c r="AV23" s="391">
        <f>+AV11-AV17</f>
        <v>8610</v>
      </c>
      <c r="AW23" s="381">
        <f t="shared" si="22"/>
        <v>8610</v>
      </c>
      <c r="AX23" s="401" t="str">
        <f t="shared" si="23"/>
        <v>-</v>
      </c>
      <c r="AY23" s="345">
        <f t="shared" si="24"/>
        <v>22410</v>
      </c>
      <c r="AZ23" s="391">
        <f t="shared" si="25"/>
        <v>33041.008999999998</v>
      </c>
      <c r="BA23" s="381">
        <f t="shared" si="26"/>
        <v>10631.008999999998</v>
      </c>
      <c r="BB23" s="371">
        <f t="shared" si="27"/>
        <v>1.4743868362338242</v>
      </c>
      <c r="BC23" s="347">
        <f>+PL推移!N22-収支計画!W25/1000</f>
        <v>0</v>
      </c>
      <c r="BD23" s="348" t="e">
        <f>+BC23/(収支計画!W25/1000)</f>
        <v>#DIV/0!</v>
      </c>
      <c r="BE23" s="349">
        <f>+PL推移!P22-収支計画!Y25/1000</f>
        <v>0</v>
      </c>
      <c r="BF23" s="346" t="e">
        <f>+BE23/(収支計画!Y25/1000)</f>
        <v>#DIV/0!</v>
      </c>
      <c r="BG23" s="347">
        <f>+PL推移!R22-収支計画!AA25/1000</f>
        <v>0</v>
      </c>
      <c r="BH23" s="348" t="e">
        <f>+BG23/(収支計画!AA25/1000)</f>
        <v>#DIV/0!</v>
      </c>
      <c r="BI23" s="349">
        <f>+PL推移!T22-収支計画!AC25/1000</f>
        <v>350</v>
      </c>
      <c r="BJ23" s="346" t="e">
        <f>+BI23/(収支計画!AC25/1000)</f>
        <v>#DIV/0!</v>
      </c>
      <c r="BK23" s="347">
        <f>+PL推移!V22-収支計画!AE25/1000</f>
        <v>8454</v>
      </c>
      <c r="BL23" s="348" t="e">
        <f>+BK23/(収支計画!AE25/1000)</f>
        <v>#DIV/0!</v>
      </c>
      <c r="BM23" s="349">
        <f>+PL推移!X22-収支計画!AG25/1000</f>
        <v>9017</v>
      </c>
      <c r="BN23" s="346" t="e">
        <f>+BM23/(収支計画!AG25/1000)</f>
        <v>#DIV/0!</v>
      </c>
      <c r="BO23" s="347">
        <f>+PL推移!Z22-収支計画!AI25/1000</f>
        <v>8610</v>
      </c>
      <c r="BP23" s="348" t="e">
        <f>+BO23/(収支計画!AI25/1000)</f>
        <v>#DIV/0!</v>
      </c>
    </row>
    <row r="24" spans="1:68">
      <c r="A24" s="179"/>
      <c r="B24" s="8" t="str">
        <f>+B18</f>
        <v>恵愛</v>
      </c>
      <c r="C24" s="313">
        <f>+C12-C18</f>
        <v>5215</v>
      </c>
      <c r="D24" s="485">
        <f>+PL推移!D23</f>
        <v>4697</v>
      </c>
      <c r="E24" s="382">
        <f t="shared" si="28"/>
        <v>-518</v>
      </c>
      <c r="F24" s="362">
        <f t="shared" si="9"/>
        <v>0.90067114093959733</v>
      </c>
      <c r="G24" s="315">
        <f>+G12-G18</f>
        <v>5215</v>
      </c>
      <c r="H24" s="392">
        <f>+PL推移!F23</f>
        <v>0</v>
      </c>
      <c r="I24" s="382">
        <f t="shared" si="29"/>
        <v>-5215</v>
      </c>
      <c r="J24" s="402">
        <f t="shared" si="10"/>
        <v>0</v>
      </c>
      <c r="K24" s="315">
        <f>+K12-K18</f>
        <v>6332.5</v>
      </c>
      <c r="L24" s="392">
        <f>+PL推移!H23</f>
        <v>0</v>
      </c>
      <c r="M24" s="382">
        <f t="shared" si="30"/>
        <v>-6332.5</v>
      </c>
      <c r="N24" s="362">
        <f t="shared" si="11"/>
        <v>0</v>
      </c>
      <c r="O24" s="315">
        <f>+O12-O18</f>
        <v>0</v>
      </c>
      <c r="P24" s="392">
        <f>+PL推移!J23</f>
        <v>0</v>
      </c>
      <c r="Q24" s="382">
        <f t="shared" ref="Q24:Q28" si="53">+P24-O24</f>
        <v>0</v>
      </c>
      <c r="R24" s="362" t="str">
        <f t="shared" si="12"/>
        <v>-</v>
      </c>
      <c r="S24" s="315">
        <f>+S12-S18</f>
        <v>0</v>
      </c>
      <c r="T24" s="392">
        <f>+T12-T18</f>
        <v>0</v>
      </c>
      <c r="U24" s="382">
        <f t="shared" ref="U24:U28" si="54">+T24-S24</f>
        <v>0</v>
      </c>
      <c r="V24" s="362" t="str">
        <f t="shared" si="13"/>
        <v>-</v>
      </c>
      <c r="W24" s="315">
        <f>+W12-W18</f>
        <v>0</v>
      </c>
      <c r="X24" s="392">
        <f>+X12-X18</f>
        <v>0</v>
      </c>
      <c r="Y24" s="431">
        <f t="shared" ref="Y24:Y28" si="55">+X24-W24</f>
        <v>0</v>
      </c>
      <c r="Z24" s="362" t="str">
        <f t="shared" si="14"/>
        <v>-</v>
      </c>
      <c r="AA24" s="315">
        <f>+AA12-AA18</f>
        <v>0</v>
      </c>
      <c r="AB24" s="392">
        <f>+AB12-AB18</f>
        <v>0</v>
      </c>
      <c r="AC24" s="431">
        <f t="shared" ref="AC24:AC28" si="56">+AB24-AA24</f>
        <v>0</v>
      </c>
      <c r="AD24" s="362" t="str">
        <f t="shared" si="15"/>
        <v>-</v>
      </c>
      <c r="AE24" s="315">
        <f>+AE12-AE18</f>
        <v>0</v>
      </c>
      <c r="AF24" s="392">
        <f>+PL推移!R23</f>
        <v>-1634</v>
      </c>
      <c r="AG24" s="431">
        <f t="shared" ref="AG24:AG28" si="57">+AF24-AE24</f>
        <v>-1634</v>
      </c>
      <c r="AH24" s="362" t="str">
        <f t="shared" si="16"/>
        <v>-</v>
      </c>
      <c r="AI24" s="315">
        <f>+AI12-AI18</f>
        <v>0</v>
      </c>
      <c r="AJ24" s="392">
        <f>+AJ12-AJ18</f>
        <v>-1864</v>
      </c>
      <c r="AK24" s="431">
        <f t="shared" ref="AK24:AK28" si="58">+AJ24-AI24</f>
        <v>-1864</v>
      </c>
      <c r="AL24" s="402" t="str">
        <f t="shared" si="17"/>
        <v>-</v>
      </c>
      <c r="AM24" s="315">
        <f>+AM12-AM18</f>
        <v>0</v>
      </c>
      <c r="AN24" s="392">
        <f>+AN12-AN18</f>
        <v>4406</v>
      </c>
      <c r="AO24" s="431">
        <f t="shared" si="18"/>
        <v>4406</v>
      </c>
      <c r="AP24" s="402" t="str">
        <f t="shared" si="19"/>
        <v>-</v>
      </c>
      <c r="AQ24" s="315">
        <f>+AQ12-AQ18</f>
        <v>0</v>
      </c>
      <c r="AR24" s="392">
        <f>+AR12-AR18</f>
        <v>5104</v>
      </c>
      <c r="AS24" s="431">
        <f t="shared" si="20"/>
        <v>5104</v>
      </c>
      <c r="AT24" s="402" t="str">
        <f t="shared" si="21"/>
        <v>-</v>
      </c>
      <c r="AU24" s="315">
        <f>+AU12-AU18</f>
        <v>0</v>
      </c>
      <c r="AV24" s="392">
        <f>+AV12-AV18</f>
        <v>4542</v>
      </c>
      <c r="AW24" s="431">
        <f t="shared" si="22"/>
        <v>4542</v>
      </c>
      <c r="AX24" s="402" t="str">
        <f t="shared" si="23"/>
        <v>-</v>
      </c>
      <c r="AY24" s="313">
        <f t="shared" si="24"/>
        <v>16762.5</v>
      </c>
      <c r="AZ24" s="392">
        <f t="shared" si="25"/>
        <v>15251</v>
      </c>
      <c r="BA24" s="382">
        <f t="shared" si="26"/>
        <v>-1511.5</v>
      </c>
      <c r="BB24" s="372">
        <f t="shared" si="27"/>
        <v>0.9098284862043251</v>
      </c>
      <c r="BC24" s="315" t="e">
        <f>+PL推移!N23-収支計画!W26/1000</f>
        <v>#DIV/0!</v>
      </c>
      <c r="BD24" s="316" t="e">
        <f>+BC24/(収支計画!W26/1000)</f>
        <v>#DIV/0!</v>
      </c>
      <c r="BE24" s="317" t="e">
        <f>+PL推移!P23-収支計画!Y26/1000</f>
        <v>#DIV/0!</v>
      </c>
      <c r="BF24" s="314" t="e">
        <f>+BE24/(収支計画!Y26/1000)</f>
        <v>#DIV/0!</v>
      </c>
      <c r="BG24" s="315">
        <f>+PL推移!R23-収支計画!AA26/1000</f>
        <v>-1634</v>
      </c>
      <c r="BH24" s="316" t="e">
        <f>+BG24/(収支計画!AA26/1000)</f>
        <v>#DIV/0!</v>
      </c>
      <c r="BI24" s="317">
        <f>+PL推移!T23-収支計画!AC26/1000</f>
        <v>-1864</v>
      </c>
      <c r="BJ24" s="314" t="e">
        <f>+BI24/(収支計画!AC26/1000)</f>
        <v>#DIV/0!</v>
      </c>
      <c r="BK24" s="315">
        <f>+PL推移!V23-収支計画!AE26/1000</f>
        <v>4406</v>
      </c>
      <c r="BL24" s="316" t="e">
        <f>+BK24/(収支計画!AE26/1000)</f>
        <v>#DIV/0!</v>
      </c>
      <c r="BM24" s="317">
        <f>+PL推移!X23-収支計画!AG26/1000</f>
        <v>5104</v>
      </c>
      <c r="BN24" s="314" t="e">
        <f>+BM24/(収支計画!AG26/1000)</f>
        <v>#DIV/0!</v>
      </c>
      <c r="BO24" s="315">
        <f>+PL推移!Z23-収支計画!AI26/1000</f>
        <v>4542</v>
      </c>
      <c r="BP24" s="316" t="e">
        <f>+BO24/(収支計画!AI26/1000)</f>
        <v>#DIV/0!</v>
      </c>
    </row>
    <row r="25" spans="1:68">
      <c r="A25" s="179"/>
      <c r="B25" s="5" t="str">
        <f>+B19</f>
        <v>村</v>
      </c>
      <c r="C25" s="318">
        <f t="shared" ref="C25:C28" si="59">+C13-C19</f>
        <v>637.5</v>
      </c>
      <c r="D25" s="486">
        <f>+PL推移!D24</f>
        <v>524</v>
      </c>
      <c r="E25" s="383">
        <f t="shared" ref="E25:E28" si="60">+D25-C25</f>
        <v>-113.5</v>
      </c>
      <c r="F25" s="363">
        <f t="shared" si="9"/>
        <v>0.82196078431372555</v>
      </c>
      <c r="G25" s="320">
        <f t="shared" ref="G25:G28" si="61">+G13-G19</f>
        <v>637.5</v>
      </c>
      <c r="H25" s="393">
        <f>+PL推移!F24</f>
        <v>0</v>
      </c>
      <c r="I25" s="383">
        <f t="shared" si="29"/>
        <v>-637.5</v>
      </c>
      <c r="J25" s="403">
        <f t="shared" si="10"/>
        <v>0</v>
      </c>
      <c r="K25" s="320">
        <f t="shared" ref="K25:K28" si="62">+K13-K19</f>
        <v>637.5</v>
      </c>
      <c r="L25" s="393">
        <f>+PL推移!H24</f>
        <v>0</v>
      </c>
      <c r="M25" s="383">
        <f t="shared" si="30"/>
        <v>-637.5</v>
      </c>
      <c r="N25" s="363">
        <f t="shared" si="11"/>
        <v>0</v>
      </c>
      <c r="O25" s="320">
        <f t="shared" ref="O25:O28" si="63">+O13-O19</f>
        <v>0</v>
      </c>
      <c r="P25" s="393">
        <f>+PL推移!J24</f>
        <v>0</v>
      </c>
      <c r="Q25" s="383">
        <f t="shared" si="53"/>
        <v>0</v>
      </c>
      <c r="R25" s="363" t="str">
        <f t="shared" si="12"/>
        <v>-</v>
      </c>
      <c r="S25" s="320">
        <f t="shared" ref="S25:T28" si="64">+S13-S19</f>
        <v>0</v>
      </c>
      <c r="T25" s="393">
        <f t="shared" si="64"/>
        <v>0</v>
      </c>
      <c r="U25" s="383">
        <f t="shared" si="54"/>
        <v>0</v>
      </c>
      <c r="V25" s="363" t="str">
        <f t="shared" si="13"/>
        <v>-</v>
      </c>
      <c r="W25" s="320">
        <f t="shared" ref="W25:X25" si="65">+W13-W19</f>
        <v>0</v>
      </c>
      <c r="X25" s="393">
        <f t="shared" si="65"/>
        <v>0</v>
      </c>
      <c r="Y25" s="414">
        <f t="shared" si="55"/>
        <v>0</v>
      </c>
      <c r="Z25" s="363" t="str">
        <f t="shared" si="14"/>
        <v>-</v>
      </c>
      <c r="AA25" s="320">
        <f t="shared" ref="AA25:AB25" si="66">+AA13-AA19</f>
        <v>0</v>
      </c>
      <c r="AB25" s="393">
        <f t="shared" si="66"/>
        <v>0</v>
      </c>
      <c r="AC25" s="414">
        <f t="shared" si="56"/>
        <v>0</v>
      </c>
      <c r="AD25" s="363" t="str">
        <f t="shared" si="15"/>
        <v>-</v>
      </c>
      <c r="AE25" s="320">
        <f t="shared" ref="AE25" si="67">+AE13-AE19</f>
        <v>0</v>
      </c>
      <c r="AF25" s="393">
        <f>+PL推移!R24</f>
        <v>-92</v>
      </c>
      <c r="AG25" s="414">
        <f t="shared" si="57"/>
        <v>-92</v>
      </c>
      <c r="AH25" s="363" t="str">
        <f t="shared" si="16"/>
        <v>-</v>
      </c>
      <c r="AI25" s="320">
        <f t="shared" ref="AI25:AI28" si="68">+AI13-AI19</f>
        <v>0</v>
      </c>
      <c r="AJ25" s="393">
        <f t="shared" ref="AJ25" si="69">+AJ13-AJ19</f>
        <v>-143</v>
      </c>
      <c r="AK25" s="414">
        <f t="shared" si="58"/>
        <v>-143</v>
      </c>
      <c r="AL25" s="403" t="str">
        <f t="shared" si="17"/>
        <v>-</v>
      </c>
      <c r="AM25" s="320">
        <f t="shared" ref="AM25:AN28" si="70">+AM13-AM19</f>
        <v>0</v>
      </c>
      <c r="AN25" s="393">
        <f t="shared" si="70"/>
        <v>709</v>
      </c>
      <c r="AO25" s="414">
        <f t="shared" si="18"/>
        <v>709</v>
      </c>
      <c r="AP25" s="403" t="str">
        <f t="shared" si="19"/>
        <v>-</v>
      </c>
      <c r="AQ25" s="320">
        <f t="shared" ref="AQ25:AR25" si="71">+AQ13-AQ19</f>
        <v>0</v>
      </c>
      <c r="AR25" s="393">
        <f t="shared" si="71"/>
        <v>-115</v>
      </c>
      <c r="AS25" s="414">
        <f t="shared" si="20"/>
        <v>-115</v>
      </c>
      <c r="AT25" s="403" t="str">
        <f t="shared" si="21"/>
        <v>-</v>
      </c>
      <c r="AU25" s="320">
        <f t="shared" ref="AU25:AV25" si="72">+AU13-AU19</f>
        <v>0</v>
      </c>
      <c r="AV25" s="393">
        <f t="shared" si="72"/>
        <v>-120</v>
      </c>
      <c r="AW25" s="414">
        <f t="shared" si="22"/>
        <v>-120</v>
      </c>
      <c r="AX25" s="403" t="str">
        <f t="shared" si="23"/>
        <v>-</v>
      </c>
      <c r="AY25" s="318">
        <f t="shared" si="24"/>
        <v>1912.5</v>
      </c>
      <c r="AZ25" s="393">
        <f t="shared" si="25"/>
        <v>763</v>
      </c>
      <c r="BA25" s="383">
        <f t="shared" si="26"/>
        <v>-1149.5</v>
      </c>
      <c r="BB25" s="373">
        <f t="shared" si="27"/>
        <v>0.39895424836601306</v>
      </c>
      <c r="BC25" s="320">
        <f>+PL推移!N24-収支計画!W27/1000</f>
        <v>0</v>
      </c>
      <c r="BD25" s="321" t="e">
        <f>+BC25/(収支計画!W27/1000)</f>
        <v>#DIV/0!</v>
      </c>
      <c r="BE25" s="322">
        <f>+PL推移!P24-収支計画!Y27/1000</f>
        <v>0</v>
      </c>
      <c r="BF25" s="319" t="e">
        <f>+BE25/(収支計画!Y27/1000)</f>
        <v>#DIV/0!</v>
      </c>
      <c r="BG25" s="320">
        <f>+PL推移!R24-収支計画!AA27/1000</f>
        <v>-92</v>
      </c>
      <c r="BH25" s="321" t="e">
        <f>+BG25/(収支計画!AA27/1000)</f>
        <v>#DIV/0!</v>
      </c>
      <c r="BI25" s="322">
        <f>+PL推移!T24-収支計画!AC27/1000</f>
        <v>-143</v>
      </c>
      <c r="BJ25" s="319" t="e">
        <f>+BI25/(収支計画!AC27/1000)</f>
        <v>#DIV/0!</v>
      </c>
      <c r="BK25" s="320">
        <f>+PL推移!V24-収支計画!AE27/1000</f>
        <v>709</v>
      </c>
      <c r="BL25" s="321" t="e">
        <f>+BK25/(収支計画!AE27/1000)</f>
        <v>#DIV/0!</v>
      </c>
      <c r="BM25" s="322">
        <f>+PL推移!X24-収支計画!AG27/1000</f>
        <v>-115</v>
      </c>
      <c r="BN25" s="319" t="e">
        <f>+BM25/(収支計画!AG27/1000)</f>
        <v>#DIV/0!</v>
      </c>
      <c r="BO25" s="320">
        <f>+PL推移!Z24-収支計画!AI27/1000</f>
        <v>-120</v>
      </c>
      <c r="BP25" s="321" t="e">
        <f>+BO25/(収支計画!AI27/1000)</f>
        <v>#DIV/0!</v>
      </c>
    </row>
    <row r="26" spans="1:68">
      <c r="A26" s="179"/>
      <c r="B26" s="5" t="str">
        <f t="shared" ref="B26:B28" si="73">+B20</f>
        <v>弁当</v>
      </c>
      <c r="C26" s="318">
        <f t="shared" si="59"/>
        <v>192.5</v>
      </c>
      <c r="D26" s="486">
        <f>+PL推移!D25</f>
        <v>399</v>
      </c>
      <c r="E26" s="383">
        <f t="shared" si="60"/>
        <v>206.5</v>
      </c>
      <c r="F26" s="363">
        <f t="shared" si="9"/>
        <v>2.0727272727272728</v>
      </c>
      <c r="G26" s="320">
        <f t="shared" si="61"/>
        <v>210</v>
      </c>
      <c r="H26" s="393">
        <f>+PL推移!F25</f>
        <v>0</v>
      </c>
      <c r="I26" s="383">
        <f t="shared" si="29"/>
        <v>-210</v>
      </c>
      <c r="J26" s="403">
        <f t="shared" si="10"/>
        <v>0</v>
      </c>
      <c r="K26" s="320">
        <f t="shared" si="62"/>
        <v>210</v>
      </c>
      <c r="L26" s="393">
        <f>+PL推移!H25</f>
        <v>0</v>
      </c>
      <c r="M26" s="383">
        <f t="shared" si="30"/>
        <v>-210</v>
      </c>
      <c r="N26" s="363">
        <f t="shared" si="11"/>
        <v>0</v>
      </c>
      <c r="O26" s="320">
        <f t="shared" si="63"/>
        <v>0</v>
      </c>
      <c r="P26" s="393">
        <f>+PL推移!J25</f>
        <v>0</v>
      </c>
      <c r="Q26" s="383">
        <f t="shared" si="53"/>
        <v>0</v>
      </c>
      <c r="R26" s="363" t="str">
        <f t="shared" si="12"/>
        <v>-</v>
      </c>
      <c r="S26" s="320">
        <f t="shared" si="64"/>
        <v>0</v>
      </c>
      <c r="T26" s="393">
        <f t="shared" si="64"/>
        <v>0</v>
      </c>
      <c r="U26" s="383">
        <f t="shared" si="54"/>
        <v>0</v>
      </c>
      <c r="V26" s="363" t="str">
        <f t="shared" si="13"/>
        <v>-</v>
      </c>
      <c r="W26" s="320">
        <f t="shared" ref="W26:X26" si="74">+W14-W20</f>
        <v>0</v>
      </c>
      <c r="X26" s="393">
        <f t="shared" si="74"/>
        <v>0</v>
      </c>
      <c r="Y26" s="414">
        <f t="shared" si="55"/>
        <v>0</v>
      </c>
      <c r="Z26" s="363" t="str">
        <f t="shared" si="14"/>
        <v>-</v>
      </c>
      <c r="AA26" s="320">
        <f t="shared" ref="AA26:AB26" si="75">+AA14-AA20</f>
        <v>0</v>
      </c>
      <c r="AB26" s="393">
        <f t="shared" si="75"/>
        <v>0</v>
      </c>
      <c r="AC26" s="414">
        <f t="shared" si="56"/>
        <v>0</v>
      </c>
      <c r="AD26" s="363" t="str">
        <f t="shared" si="15"/>
        <v>-</v>
      </c>
      <c r="AE26" s="320">
        <f t="shared" ref="AE26" si="76">+AE14-AE20</f>
        <v>0</v>
      </c>
      <c r="AF26" s="393">
        <f>+PL推移!R25</f>
        <v>-87</v>
      </c>
      <c r="AG26" s="410">
        <f t="shared" si="57"/>
        <v>-87</v>
      </c>
      <c r="AH26" s="363" t="str">
        <f t="shared" si="16"/>
        <v>-</v>
      </c>
      <c r="AI26" s="320">
        <f t="shared" si="68"/>
        <v>0</v>
      </c>
      <c r="AJ26" s="393">
        <f t="shared" ref="AJ26" si="77">+AJ14-AJ20</f>
        <v>-154</v>
      </c>
      <c r="AK26" s="410">
        <f t="shared" si="58"/>
        <v>-154</v>
      </c>
      <c r="AL26" s="403" t="str">
        <f t="shared" si="17"/>
        <v>-</v>
      </c>
      <c r="AM26" s="320">
        <f t="shared" si="70"/>
        <v>0</v>
      </c>
      <c r="AN26" s="393">
        <f t="shared" si="70"/>
        <v>209</v>
      </c>
      <c r="AO26" s="414">
        <f t="shared" si="18"/>
        <v>209</v>
      </c>
      <c r="AP26" s="403" t="str">
        <f t="shared" si="19"/>
        <v>-</v>
      </c>
      <c r="AQ26" s="320">
        <f t="shared" ref="AQ26:AR26" si="78">+AQ14-AQ20</f>
        <v>0</v>
      </c>
      <c r="AR26" s="393">
        <f t="shared" si="78"/>
        <v>208</v>
      </c>
      <c r="AS26" s="414">
        <f t="shared" si="20"/>
        <v>208</v>
      </c>
      <c r="AT26" s="403" t="str">
        <f t="shared" si="21"/>
        <v>-</v>
      </c>
      <c r="AU26" s="320">
        <f t="shared" ref="AU26:AV26" si="79">+AU14-AU20</f>
        <v>0</v>
      </c>
      <c r="AV26" s="393">
        <f t="shared" si="79"/>
        <v>221</v>
      </c>
      <c r="AW26" s="414">
        <f t="shared" si="22"/>
        <v>221</v>
      </c>
      <c r="AX26" s="403" t="str">
        <f t="shared" si="23"/>
        <v>-</v>
      </c>
      <c r="AY26" s="318">
        <f t="shared" si="24"/>
        <v>612.5</v>
      </c>
      <c r="AZ26" s="393">
        <f t="shared" si="25"/>
        <v>796</v>
      </c>
      <c r="BA26" s="383">
        <f t="shared" si="26"/>
        <v>183.5</v>
      </c>
      <c r="BB26" s="373">
        <f t="shared" si="27"/>
        <v>1.2995918367346939</v>
      </c>
      <c r="BC26" s="320">
        <f>+PL推移!N25-収支計画!W28/1000</f>
        <v>0</v>
      </c>
      <c r="BD26" s="321" t="e">
        <f>+BC26/(収支計画!W28/1000)</f>
        <v>#DIV/0!</v>
      </c>
      <c r="BE26" s="322">
        <f>+PL推移!P25-収支計画!Y28/1000</f>
        <v>0</v>
      </c>
      <c r="BF26" s="319" t="e">
        <f>+BE26/(収支計画!Y28/1000)</f>
        <v>#DIV/0!</v>
      </c>
      <c r="BG26" s="320">
        <f>+PL推移!R25-収支計画!AA28/1000</f>
        <v>-87</v>
      </c>
      <c r="BH26" s="321" t="e">
        <f>+BG26/(収支計画!AA28/1000)</f>
        <v>#DIV/0!</v>
      </c>
      <c r="BI26" s="322">
        <f>+PL推移!T25-収支計画!AC28/1000</f>
        <v>-154</v>
      </c>
      <c r="BJ26" s="319" t="e">
        <f>+BI26/(収支計画!AC28/1000)</f>
        <v>#DIV/0!</v>
      </c>
      <c r="BK26" s="320">
        <f>+PL推移!V25-収支計画!AE28/1000</f>
        <v>209</v>
      </c>
      <c r="BL26" s="321" t="e">
        <f>+BK26/(収支計画!AE28/1000)</f>
        <v>#DIV/0!</v>
      </c>
      <c r="BM26" s="322">
        <f>+PL推移!X25-収支計画!AG28/1000</f>
        <v>208</v>
      </c>
      <c r="BN26" s="319" t="e">
        <f>+BM26/(収支計画!AG28/1000)</f>
        <v>#DIV/0!</v>
      </c>
      <c r="BO26" s="320">
        <f>+PL推移!Z25-収支計画!AI28/1000</f>
        <v>221</v>
      </c>
      <c r="BP26" s="321" t="e">
        <f>+BO26/(収支計画!AI28/1000)</f>
        <v>#DIV/0!</v>
      </c>
    </row>
    <row r="27" spans="1:68">
      <c r="A27" s="179"/>
      <c r="B27" s="5" t="str">
        <f t="shared" si="73"/>
        <v>シェア</v>
      </c>
      <c r="C27" s="318">
        <f t="shared" si="59"/>
        <v>105</v>
      </c>
      <c r="D27" s="486">
        <f>+PL推移!D26</f>
        <v>44</v>
      </c>
      <c r="E27" s="383">
        <f t="shared" si="60"/>
        <v>-61</v>
      </c>
      <c r="F27" s="363">
        <f t="shared" si="9"/>
        <v>0.41904761904761906</v>
      </c>
      <c r="G27" s="320">
        <f t="shared" si="61"/>
        <v>105</v>
      </c>
      <c r="H27" s="393">
        <f>+PL推移!F26</f>
        <v>0</v>
      </c>
      <c r="I27" s="383">
        <f t="shared" si="29"/>
        <v>-105</v>
      </c>
      <c r="J27" s="403">
        <f t="shared" si="10"/>
        <v>0</v>
      </c>
      <c r="K27" s="320">
        <f t="shared" si="62"/>
        <v>112.5</v>
      </c>
      <c r="L27" s="393">
        <f>+PL推移!H26</f>
        <v>0</v>
      </c>
      <c r="M27" s="383">
        <f t="shared" si="30"/>
        <v>-112.5</v>
      </c>
      <c r="N27" s="363">
        <f t="shared" si="11"/>
        <v>0</v>
      </c>
      <c r="O27" s="320">
        <f t="shared" si="63"/>
        <v>0</v>
      </c>
      <c r="P27" s="393">
        <f>+PL推移!J26</f>
        <v>0</v>
      </c>
      <c r="Q27" s="383">
        <f t="shared" si="53"/>
        <v>0</v>
      </c>
      <c r="R27" s="363" t="str">
        <f t="shared" si="12"/>
        <v>-</v>
      </c>
      <c r="S27" s="320">
        <f t="shared" si="64"/>
        <v>0</v>
      </c>
      <c r="T27" s="393">
        <f t="shared" si="64"/>
        <v>0</v>
      </c>
      <c r="U27" s="383">
        <f t="shared" si="54"/>
        <v>0</v>
      </c>
      <c r="V27" s="363" t="str">
        <f t="shared" si="13"/>
        <v>-</v>
      </c>
      <c r="W27" s="320">
        <f t="shared" ref="W27:X27" si="80">+W15-W21</f>
        <v>0</v>
      </c>
      <c r="X27" s="393">
        <f t="shared" si="80"/>
        <v>0</v>
      </c>
      <c r="Y27" s="383">
        <f t="shared" si="55"/>
        <v>0</v>
      </c>
      <c r="Z27" s="363" t="str">
        <f t="shared" si="14"/>
        <v>-</v>
      </c>
      <c r="AA27" s="320">
        <f t="shared" ref="AA27:AB27" si="81">+AA15-AA21</f>
        <v>0</v>
      </c>
      <c r="AB27" s="393">
        <f t="shared" si="81"/>
        <v>0</v>
      </c>
      <c r="AC27" s="383">
        <f t="shared" si="56"/>
        <v>0</v>
      </c>
      <c r="AD27" s="363" t="str">
        <f t="shared" si="15"/>
        <v>-</v>
      </c>
      <c r="AE27" s="320">
        <f t="shared" ref="AE27" si="82">+AE15-AE21</f>
        <v>0</v>
      </c>
      <c r="AF27" s="393">
        <f>+PL推移!R26</f>
        <v>-25</v>
      </c>
      <c r="AG27" s="383">
        <f t="shared" si="57"/>
        <v>-25</v>
      </c>
      <c r="AH27" s="363" t="str">
        <f t="shared" si="16"/>
        <v>-</v>
      </c>
      <c r="AI27" s="320">
        <f t="shared" si="68"/>
        <v>0</v>
      </c>
      <c r="AJ27" s="393">
        <f t="shared" ref="AJ27" si="83">+AJ15-AJ21</f>
        <v>-73</v>
      </c>
      <c r="AK27" s="383">
        <f t="shared" si="58"/>
        <v>-73</v>
      </c>
      <c r="AL27" s="403" t="str">
        <f t="shared" si="17"/>
        <v>-</v>
      </c>
      <c r="AM27" s="320">
        <f t="shared" si="70"/>
        <v>0</v>
      </c>
      <c r="AN27" s="393">
        <f t="shared" si="70"/>
        <v>90</v>
      </c>
      <c r="AO27" s="383">
        <f t="shared" si="18"/>
        <v>90</v>
      </c>
      <c r="AP27" s="403" t="str">
        <f t="shared" si="19"/>
        <v>-</v>
      </c>
      <c r="AQ27" s="320">
        <f t="shared" ref="AQ27:AR27" si="84">+AQ15-AQ21</f>
        <v>0</v>
      </c>
      <c r="AR27" s="393">
        <f t="shared" si="84"/>
        <v>76</v>
      </c>
      <c r="AS27" s="383">
        <f t="shared" si="20"/>
        <v>76</v>
      </c>
      <c r="AT27" s="403" t="str">
        <f t="shared" si="21"/>
        <v>-</v>
      </c>
      <c r="AU27" s="320">
        <f t="shared" ref="AU27:AV27" si="85">+AU15-AU21</f>
        <v>0</v>
      </c>
      <c r="AV27" s="393">
        <f t="shared" si="85"/>
        <v>85</v>
      </c>
      <c r="AW27" s="383">
        <f t="shared" si="22"/>
        <v>85</v>
      </c>
      <c r="AX27" s="403" t="str">
        <f t="shared" si="23"/>
        <v>-</v>
      </c>
      <c r="AY27" s="318">
        <f t="shared" si="24"/>
        <v>322.5</v>
      </c>
      <c r="AZ27" s="393">
        <f t="shared" si="25"/>
        <v>197</v>
      </c>
      <c r="BA27" s="383">
        <f t="shared" si="26"/>
        <v>-125.5</v>
      </c>
      <c r="BB27" s="373">
        <f t="shared" si="27"/>
        <v>0.61085271317829459</v>
      </c>
      <c r="BC27" s="320">
        <f>+PL推移!N26-収支計画!W29/1000</f>
        <v>0</v>
      </c>
      <c r="BD27" s="321" t="e">
        <f>+BC27/(収支計画!W29/1000)</f>
        <v>#DIV/0!</v>
      </c>
      <c r="BE27" s="322">
        <f>+PL推移!P26-収支計画!Y29/1000</f>
        <v>0</v>
      </c>
      <c r="BF27" s="319" t="e">
        <f>+BE27/(収支計画!Y29/1000)</f>
        <v>#DIV/0!</v>
      </c>
      <c r="BG27" s="320">
        <f>+PL推移!R26-収支計画!AA29/1000</f>
        <v>-25</v>
      </c>
      <c r="BH27" s="321" t="e">
        <f>+BG27/(収支計画!AA29/1000)</f>
        <v>#DIV/0!</v>
      </c>
      <c r="BI27" s="322">
        <f>+PL推移!T26-収支計画!AC29/1000</f>
        <v>-73</v>
      </c>
      <c r="BJ27" s="319" t="e">
        <f>+BI27/(収支計画!AC29/1000)</f>
        <v>#DIV/0!</v>
      </c>
      <c r="BK27" s="320">
        <f>+PL推移!V26-収支計画!AE29/1000</f>
        <v>90</v>
      </c>
      <c r="BL27" s="321" t="e">
        <f>+BK27/(収支計画!AE29/1000)</f>
        <v>#DIV/0!</v>
      </c>
      <c r="BM27" s="322">
        <f>+PL推移!X26-収支計画!AG29/1000</f>
        <v>76</v>
      </c>
      <c r="BN27" s="319" t="e">
        <f>+BM27/(収支計画!AG29/1000)</f>
        <v>#DIV/0!</v>
      </c>
      <c r="BO27" s="320">
        <f>+PL推移!Z26-収支計画!AI29/1000</f>
        <v>85</v>
      </c>
      <c r="BP27" s="321" t="e">
        <f>+BO27/(収支計画!AI29/1000)</f>
        <v>#DIV/0!</v>
      </c>
    </row>
    <row r="28" spans="1:68">
      <c r="A28" s="190"/>
      <c r="B28" s="7" t="str">
        <f t="shared" si="73"/>
        <v>サウナ</v>
      </c>
      <c r="C28" s="323">
        <f t="shared" si="59"/>
        <v>900</v>
      </c>
      <c r="D28" s="487">
        <f>+PL推移!D27</f>
        <v>946</v>
      </c>
      <c r="E28" s="384">
        <f t="shared" si="60"/>
        <v>46</v>
      </c>
      <c r="F28" s="364">
        <f t="shared" si="9"/>
        <v>1.0511111111111111</v>
      </c>
      <c r="G28" s="325">
        <f t="shared" si="61"/>
        <v>950</v>
      </c>
      <c r="H28" s="394">
        <f>+PL推移!F27</f>
        <v>0</v>
      </c>
      <c r="I28" s="384">
        <f t="shared" si="29"/>
        <v>-950</v>
      </c>
      <c r="J28" s="404">
        <f t="shared" si="10"/>
        <v>0</v>
      </c>
      <c r="K28" s="325">
        <f t="shared" si="62"/>
        <v>950</v>
      </c>
      <c r="L28" s="394">
        <f>+PL推移!H27</f>
        <v>0</v>
      </c>
      <c r="M28" s="384">
        <f t="shared" si="30"/>
        <v>-950</v>
      </c>
      <c r="N28" s="364">
        <f t="shared" si="11"/>
        <v>0</v>
      </c>
      <c r="O28" s="325">
        <f t="shared" si="63"/>
        <v>0</v>
      </c>
      <c r="P28" s="394">
        <f>+PL推移!J27</f>
        <v>0</v>
      </c>
      <c r="Q28" s="384">
        <f t="shared" si="53"/>
        <v>0</v>
      </c>
      <c r="R28" s="364" t="str">
        <f t="shared" si="12"/>
        <v>-</v>
      </c>
      <c r="S28" s="325">
        <f t="shared" si="64"/>
        <v>0</v>
      </c>
      <c r="T28" s="394">
        <f t="shared" si="64"/>
        <v>0</v>
      </c>
      <c r="U28" s="384">
        <f t="shared" si="54"/>
        <v>0</v>
      </c>
      <c r="V28" s="364" t="str">
        <f t="shared" si="13"/>
        <v>-</v>
      </c>
      <c r="W28" s="325">
        <f t="shared" ref="W28:X28" si="86">+W16-W22</f>
        <v>0</v>
      </c>
      <c r="X28" s="394">
        <f t="shared" si="86"/>
        <v>0</v>
      </c>
      <c r="Y28" s="384">
        <f t="shared" si="55"/>
        <v>0</v>
      </c>
      <c r="Z28" s="364" t="str">
        <f t="shared" si="14"/>
        <v>-</v>
      </c>
      <c r="AA28" s="325">
        <f t="shared" ref="AA28:AB28" si="87">+AA16-AA22</f>
        <v>0</v>
      </c>
      <c r="AB28" s="394">
        <f t="shared" si="87"/>
        <v>0</v>
      </c>
      <c r="AC28" s="384">
        <f t="shared" si="56"/>
        <v>0</v>
      </c>
      <c r="AD28" s="364" t="str">
        <f t="shared" si="15"/>
        <v>-</v>
      </c>
      <c r="AE28" s="325">
        <f t="shared" ref="AE28" si="88">+AE16-AE22</f>
        <v>0</v>
      </c>
      <c r="AF28" s="394">
        <f>+PL推移!R27</f>
        <v>-62</v>
      </c>
      <c r="AG28" s="384">
        <f t="shared" si="57"/>
        <v>-62</v>
      </c>
      <c r="AH28" s="364" t="str">
        <f t="shared" si="16"/>
        <v>-</v>
      </c>
      <c r="AI28" s="325">
        <f t="shared" si="68"/>
        <v>0</v>
      </c>
      <c r="AJ28" s="394">
        <f t="shared" ref="AJ28" si="89">+AJ16-AJ22</f>
        <v>-32</v>
      </c>
      <c r="AK28" s="384">
        <f t="shared" si="58"/>
        <v>-32</v>
      </c>
      <c r="AL28" s="404" t="str">
        <f t="shared" si="17"/>
        <v>-</v>
      </c>
      <c r="AM28" s="325">
        <f t="shared" si="70"/>
        <v>0</v>
      </c>
      <c r="AN28" s="394">
        <f t="shared" si="70"/>
        <v>779</v>
      </c>
      <c r="AO28" s="384">
        <f t="shared" si="18"/>
        <v>779</v>
      </c>
      <c r="AP28" s="404" t="str">
        <f t="shared" si="19"/>
        <v>-</v>
      </c>
      <c r="AQ28" s="325">
        <f t="shared" ref="AQ28:AR28" si="90">+AQ16-AQ22</f>
        <v>0</v>
      </c>
      <c r="AR28" s="394">
        <f t="shared" si="90"/>
        <v>1277</v>
      </c>
      <c r="AS28" s="384">
        <f t="shared" si="20"/>
        <v>1277</v>
      </c>
      <c r="AT28" s="404" t="str">
        <f t="shared" si="21"/>
        <v>-</v>
      </c>
      <c r="AU28" s="325">
        <f t="shared" ref="AU28:AV28" si="91">+AU16-AU22</f>
        <v>0</v>
      </c>
      <c r="AV28" s="394">
        <f t="shared" si="91"/>
        <v>869</v>
      </c>
      <c r="AW28" s="384">
        <f t="shared" si="22"/>
        <v>869</v>
      </c>
      <c r="AX28" s="404" t="str">
        <f t="shared" si="23"/>
        <v>-</v>
      </c>
      <c r="AY28" s="323">
        <f t="shared" si="24"/>
        <v>2800</v>
      </c>
      <c r="AZ28" s="394">
        <f t="shared" si="25"/>
        <v>3777</v>
      </c>
      <c r="BA28" s="384">
        <f t="shared" si="26"/>
        <v>977</v>
      </c>
      <c r="BB28" s="374">
        <f t="shared" si="27"/>
        <v>1.3489285714285715</v>
      </c>
      <c r="BC28" s="325">
        <f>+PL推移!N27-収支計画!W30/1000</f>
        <v>0</v>
      </c>
      <c r="BD28" s="326" t="e">
        <f>+BC28/(収支計画!W30/1000)</f>
        <v>#DIV/0!</v>
      </c>
      <c r="BE28" s="327">
        <f>+PL推移!P27-収支計画!Y30/1000</f>
        <v>0</v>
      </c>
      <c r="BF28" s="324" t="e">
        <f>+BE28/(収支計画!Y30/1000)</f>
        <v>#DIV/0!</v>
      </c>
      <c r="BG28" s="325">
        <f>+PL推移!R27-収支計画!AA30/1000</f>
        <v>-62</v>
      </c>
      <c r="BH28" s="326" t="e">
        <f>+BG28/(収支計画!AA30/1000)</f>
        <v>#DIV/0!</v>
      </c>
      <c r="BI28" s="327">
        <f>+PL推移!T27-収支計画!AC30/1000</f>
        <v>-32</v>
      </c>
      <c r="BJ28" s="324" t="e">
        <f>+BI28/(収支計画!AC30/1000)</f>
        <v>#DIV/0!</v>
      </c>
      <c r="BK28" s="325">
        <f>+PL推移!V27-収支計画!AE30/1000</f>
        <v>779</v>
      </c>
      <c r="BL28" s="326" t="e">
        <f>+BK28/(収支計画!AE30/1000)</f>
        <v>#DIV/0!</v>
      </c>
      <c r="BM28" s="327">
        <f>+PL推移!X27-収支計画!AG30/1000</f>
        <v>1277</v>
      </c>
      <c r="BN28" s="324" t="e">
        <f>+BM28/(収支計画!AG30/1000)</f>
        <v>#DIV/0!</v>
      </c>
      <c r="BO28" s="325">
        <f>+PL推移!Z27-収支計画!AI30/1000</f>
        <v>869</v>
      </c>
      <c r="BP28" s="326" t="e">
        <f>+BO28/(収支計画!AI30/1000)</f>
        <v>#DIV/0!</v>
      </c>
    </row>
    <row r="29" spans="1:68" s="47" customFormat="1">
      <c r="A29" s="47" t="s">
        <v>144</v>
      </c>
      <c r="C29" s="345">
        <f>SUM(C30:C50)</f>
        <v>6560.3990000000003</v>
      </c>
      <c r="D29" s="484">
        <f t="shared" ref="D29:E29" si="92">SUM(D30:D50)</f>
        <v>6195.8609999999999</v>
      </c>
      <c r="E29" s="381">
        <f t="shared" si="92"/>
        <v>-364.53799999999978</v>
      </c>
      <c r="F29" s="361">
        <f t="shared" si="9"/>
        <v>0.9444335626537349</v>
      </c>
      <c r="G29" s="347">
        <f>SUM(G30:G50)</f>
        <v>14610.58</v>
      </c>
      <c r="H29" s="391">
        <f>+PL推移!F28</f>
        <v>0</v>
      </c>
      <c r="I29" s="381">
        <f t="shared" ref="I29" si="93">SUM(I30:I50)</f>
        <v>-14610.58</v>
      </c>
      <c r="J29" s="401">
        <f t="shared" si="10"/>
        <v>0</v>
      </c>
      <c r="K29" s="347">
        <f>SUM(K30:K50)</f>
        <v>16042.82</v>
      </c>
      <c r="L29" s="391">
        <f>+PL推移!H28</f>
        <v>0</v>
      </c>
      <c r="M29" s="381">
        <f t="shared" ref="M29" si="94">SUM(M30:M50)</f>
        <v>-16042.82</v>
      </c>
      <c r="N29" s="361">
        <f t="shared" si="11"/>
        <v>0</v>
      </c>
      <c r="O29" s="347">
        <f>SUM(O30:O50)</f>
        <v>7969.11</v>
      </c>
      <c r="P29" s="391">
        <f>+PL推移!J28</f>
        <v>0</v>
      </c>
      <c r="Q29" s="381">
        <f t="shared" ref="Q29" si="95">SUM(Q30:Q50)</f>
        <v>-7969.11</v>
      </c>
      <c r="R29" s="361">
        <f t="shared" si="12"/>
        <v>0</v>
      </c>
      <c r="S29" s="347">
        <f>SUM(S30:S50)</f>
        <v>0</v>
      </c>
      <c r="T29" s="391">
        <f>+PL推移!L28</f>
        <v>0</v>
      </c>
      <c r="U29" s="381">
        <f t="shared" ref="U29" si="96">SUM(U30:U50)</f>
        <v>0</v>
      </c>
      <c r="V29" s="361" t="str">
        <f t="shared" si="13"/>
        <v>-</v>
      </c>
      <c r="W29" s="347">
        <f>SUM(W30:W50)</f>
        <v>0</v>
      </c>
      <c r="X29" s="391">
        <f>+PL推移!P28</f>
        <v>0</v>
      </c>
      <c r="Y29" s="381">
        <f t="shared" ref="Y29" si="97">SUM(Y30:Y50)</f>
        <v>0</v>
      </c>
      <c r="Z29" s="361" t="str">
        <f t="shared" si="14"/>
        <v>-</v>
      </c>
      <c r="AA29" s="347">
        <f>SUM(AA30:AA50)</f>
        <v>0</v>
      </c>
      <c r="AB29" s="391">
        <f>+PL推移!P28</f>
        <v>0</v>
      </c>
      <c r="AC29" s="381">
        <f t="shared" ref="AC29" si="98">SUM(AC30:AC50)</f>
        <v>0</v>
      </c>
      <c r="AD29" s="361" t="str">
        <f t="shared" si="15"/>
        <v>-</v>
      </c>
      <c r="AE29" s="347">
        <f>+収支計画!AA62/1000</f>
        <v>0</v>
      </c>
      <c r="AF29" s="391">
        <f>+PL推移!R28</f>
        <v>0</v>
      </c>
      <c r="AG29" s="381">
        <f t="shared" ref="AG29" si="99">SUM(AG30:AG50)</f>
        <v>0</v>
      </c>
      <c r="AH29" s="361" t="str">
        <f t="shared" si="16"/>
        <v>-</v>
      </c>
      <c r="AI29" s="347">
        <f>+収支計画!AC62/1000</f>
        <v>0</v>
      </c>
      <c r="AJ29" s="391">
        <f>+PL推移!T28</f>
        <v>0</v>
      </c>
      <c r="AK29" s="381">
        <f t="shared" ref="AK29" si="100">SUM(AK30:AK50)</f>
        <v>0</v>
      </c>
      <c r="AL29" s="401" t="str">
        <f t="shared" si="17"/>
        <v>-</v>
      </c>
      <c r="AM29" s="347">
        <f>+収支計画!AE62/1000</f>
        <v>0</v>
      </c>
      <c r="AN29" s="391">
        <f>+PL推移!V28</f>
        <v>0</v>
      </c>
      <c r="AO29" s="381">
        <f t="shared" si="18"/>
        <v>0</v>
      </c>
      <c r="AP29" s="401" t="str">
        <f t="shared" si="19"/>
        <v>-</v>
      </c>
      <c r="AQ29" s="347">
        <f>SUM(AQ30:AQ50)</f>
        <v>0</v>
      </c>
      <c r="AR29" s="391">
        <f>+PL推移!X28</f>
        <v>0</v>
      </c>
      <c r="AS29" s="381">
        <f t="shared" si="20"/>
        <v>0</v>
      </c>
      <c r="AT29" s="401" t="str">
        <f t="shared" si="21"/>
        <v>-</v>
      </c>
      <c r="AU29" s="347">
        <f>+収支計画!AI62/1000</f>
        <v>0</v>
      </c>
      <c r="AV29" s="391">
        <f>+PL推移!Z28</f>
        <v>0</v>
      </c>
      <c r="AW29" s="381">
        <f t="shared" si="22"/>
        <v>0</v>
      </c>
      <c r="AX29" s="401" t="str">
        <f t="shared" si="23"/>
        <v>-</v>
      </c>
      <c r="AY29" s="345">
        <f t="shared" si="24"/>
        <v>45182.909</v>
      </c>
      <c r="AZ29" s="391">
        <f t="shared" si="25"/>
        <v>6195.8609999999999</v>
      </c>
      <c r="BA29" s="381">
        <f t="shared" si="26"/>
        <v>-38987.048000000003</v>
      </c>
      <c r="BB29" s="371">
        <f t="shared" si="27"/>
        <v>0.13712842172247033</v>
      </c>
      <c r="BC29" s="347">
        <f>+PL推移!N28-収支計画!W62/1000</f>
        <v>0</v>
      </c>
      <c r="BD29" s="348" t="e">
        <f>+BC29/(収支計画!W62/1000)</f>
        <v>#DIV/0!</v>
      </c>
      <c r="BE29" s="349">
        <f>+PL推移!P28-収支計画!Y62/1000</f>
        <v>0</v>
      </c>
      <c r="BF29" s="346" t="e">
        <f>+BE29/(収支計画!Y62/1000)</f>
        <v>#DIV/0!</v>
      </c>
      <c r="BG29" s="347">
        <f>+PL推移!R28-収支計画!AA62/1000</f>
        <v>0</v>
      </c>
      <c r="BH29" s="348" t="e">
        <f>+BG29/(収支計画!AA62/1000)</f>
        <v>#DIV/0!</v>
      </c>
      <c r="BI29" s="349">
        <f>+PL推移!T28-収支計画!AC62/1000</f>
        <v>0</v>
      </c>
      <c r="BJ29" s="346" t="e">
        <f>+BI29/(収支計画!AC62/1000)</f>
        <v>#DIV/0!</v>
      </c>
      <c r="BK29" s="347">
        <f>+PL推移!V28-収支計画!AE62/1000</f>
        <v>0</v>
      </c>
      <c r="BL29" s="348" t="e">
        <f>+BK29/(収支計画!AE62/1000)</f>
        <v>#DIV/0!</v>
      </c>
      <c r="BM29" s="349">
        <f>+PL推移!X28-収支計画!AG62/1000</f>
        <v>0</v>
      </c>
      <c r="BN29" s="346" t="e">
        <f>+BM29/(収支計画!AG62/1000)</f>
        <v>#DIV/0!</v>
      </c>
      <c r="BO29" s="347">
        <f>+PL推移!Z28-収支計画!AI62/1000</f>
        <v>0</v>
      </c>
      <c r="BP29" s="348" t="e">
        <f>+BO29/(収支計画!AI62/1000)</f>
        <v>#DIV/0!</v>
      </c>
    </row>
    <row r="30" spans="1:68">
      <c r="B30" s="8" t="s">
        <v>145</v>
      </c>
      <c r="C30" s="313">
        <f>+収支計画!G34/1000</f>
        <v>2722.319</v>
      </c>
      <c r="D30" s="485">
        <f>+PL推移!D29</f>
        <v>2462.8760000000002</v>
      </c>
      <c r="E30" s="382">
        <f>+D30-C30</f>
        <v>-259.44299999999976</v>
      </c>
      <c r="F30" s="362">
        <f t="shared" si="9"/>
        <v>0.90469779625385571</v>
      </c>
      <c r="G30" s="315">
        <f>+収支計画!K40/1000</f>
        <v>749.95399999999995</v>
      </c>
      <c r="H30" s="392">
        <f>+PL推移!F29</f>
        <v>0</v>
      </c>
      <c r="I30" s="382">
        <f>+H30-G30</f>
        <v>-749.95399999999995</v>
      </c>
      <c r="J30" s="402">
        <f t="shared" si="10"/>
        <v>0</v>
      </c>
      <c r="K30" s="315">
        <f>+収支計画!O40/1000</f>
        <v>749.95399999999995</v>
      </c>
      <c r="L30" s="392">
        <f>+PL推移!H29</f>
        <v>0</v>
      </c>
      <c r="M30" s="382">
        <f>+L30-K30</f>
        <v>-749.95399999999995</v>
      </c>
      <c r="N30" s="362">
        <f t="shared" si="11"/>
        <v>0</v>
      </c>
      <c r="O30" s="315">
        <f>+収支計画!S40/1000</f>
        <v>749.95399999999995</v>
      </c>
      <c r="P30" s="392">
        <f>+PL推移!J29</f>
        <v>0</v>
      </c>
      <c r="Q30" s="382">
        <f>+P30-O30</f>
        <v>-749.95399999999995</v>
      </c>
      <c r="R30" s="362">
        <f t="shared" si="12"/>
        <v>0</v>
      </c>
      <c r="S30" s="315">
        <f>+収支計画!U40/1000</f>
        <v>0</v>
      </c>
      <c r="T30" s="392">
        <f>+PL推移!L29</f>
        <v>0</v>
      </c>
      <c r="U30" s="382">
        <f>+T30-S30</f>
        <v>0</v>
      </c>
      <c r="V30" s="362" t="str">
        <f t="shared" si="13"/>
        <v>-</v>
      </c>
      <c r="W30" s="315">
        <f>+収支計画!W40/1000</f>
        <v>0</v>
      </c>
      <c r="X30" s="392">
        <f>+PL推移!N29</f>
        <v>0</v>
      </c>
      <c r="Y30" s="382">
        <f>+X30-W30</f>
        <v>0</v>
      </c>
      <c r="Z30" s="362" t="str">
        <f t="shared" si="14"/>
        <v>-</v>
      </c>
      <c r="AA30" s="315">
        <f>+収支計画!Y40/1000</f>
        <v>0</v>
      </c>
      <c r="AB30" s="392">
        <f>+PL推移!P29</f>
        <v>0</v>
      </c>
      <c r="AC30" s="382">
        <f>+AB30-AA30</f>
        <v>0</v>
      </c>
      <c r="AD30" s="362" t="str">
        <f t="shared" si="15"/>
        <v>-</v>
      </c>
      <c r="AE30" s="315">
        <f>+収支計画!AA40/1000</f>
        <v>0</v>
      </c>
      <c r="AF30" s="392">
        <f>+PL推移!R29</f>
        <v>0</v>
      </c>
      <c r="AG30" s="430">
        <f>+AF30-AE30</f>
        <v>0</v>
      </c>
      <c r="AH30" s="362" t="str">
        <f t="shared" si="16"/>
        <v>-</v>
      </c>
      <c r="AI30" s="315">
        <f>+収支計画!AC40/1000</f>
        <v>0</v>
      </c>
      <c r="AJ30" s="392">
        <f>+PL推移!T29</f>
        <v>0</v>
      </c>
      <c r="AK30" s="430">
        <f>+AJ30-AI30</f>
        <v>0</v>
      </c>
      <c r="AL30" s="402" t="str">
        <f t="shared" si="17"/>
        <v>-</v>
      </c>
      <c r="AM30" s="315">
        <f>+収支計画!AG40/1000</f>
        <v>0</v>
      </c>
      <c r="AN30" s="392">
        <f>+PL推移!V29</f>
        <v>0</v>
      </c>
      <c r="AO30" s="430">
        <f t="shared" si="18"/>
        <v>0</v>
      </c>
      <c r="AP30" s="402" t="str">
        <f t="shared" si="19"/>
        <v>-</v>
      </c>
      <c r="AQ30" s="315">
        <f>+収支計画!AG40/1000</f>
        <v>0</v>
      </c>
      <c r="AR30" s="392">
        <f>+PL推移!X29</f>
        <v>0</v>
      </c>
      <c r="AS30" s="431">
        <f t="shared" si="20"/>
        <v>0</v>
      </c>
      <c r="AT30" s="402" t="str">
        <f t="shared" si="21"/>
        <v>-</v>
      </c>
      <c r="AU30" s="315">
        <f>+収支計画!AI40/1000</f>
        <v>0</v>
      </c>
      <c r="AV30" s="392">
        <f>+PL推移!Z29</f>
        <v>0</v>
      </c>
      <c r="AW30" s="431">
        <f t="shared" si="22"/>
        <v>0</v>
      </c>
      <c r="AX30" s="402" t="str">
        <f t="shared" si="23"/>
        <v>-</v>
      </c>
      <c r="AY30" s="313">
        <f t="shared" si="24"/>
        <v>4972.1809999999996</v>
      </c>
      <c r="AZ30" s="392">
        <f t="shared" si="25"/>
        <v>2462.8760000000002</v>
      </c>
      <c r="BA30" s="382">
        <f t="shared" si="26"/>
        <v>-2509.3049999999994</v>
      </c>
      <c r="BB30" s="372">
        <f t="shared" si="27"/>
        <v>0.49533112330383799</v>
      </c>
      <c r="BC30" s="315">
        <f>+PL推移!N29-収支計画!W40/1000</f>
        <v>0</v>
      </c>
      <c r="BD30" s="316" t="e">
        <f>+BC30/(収支計画!W40/1000)</f>
        <v>#DIV/0!</v>
      </c>
      <c r="BE30" s="317">
        <f>+PL推移!P29-収支計画!Y40/1000</f>
        <v>0</v>
      </c>
      <c r="BF30" s="314" t="e">
        <f>+BE30/(収支計画!Y40/1000)</f>
        <v>#DIV/0!</v>
      </c>
      <c r="BG30" s="315">
        <f>+PL推移!R29-収支計画!AA40/1000</f>
        <v>0</v>
      </c>
      <c r="BH30" s="316" t="e">
        <f>+BG30/(収支計画!AA40/1000)</f>
        <v>#DIV/0!</v>
      </c>
      <c r="BI30" s="317">
        <f>+PL推移!T29-収支計画!AC40/1000</f>
        <v>0</v>
      </c>
      <c r="BJ30" s="314" t="e">
        <f>+BI30/(収支計画!AC40/1000)</f>
        <v>#DIV/0!</v>
      </c>
      <c r="BK30" s="315">
        <f>+PL推移!V29-収支計画!AE40/1000</f>
        <v>0</v>
      </c>
      <c r="BL30" s="316" t="e">
        <f>+BK30/(収支計画!AE40/1000)</f>
        <v>#DIV/0!</v>
      </c>
      <c r="BM30" s="317">
        <f>+PL推移!X29-収支計画!AG40/1000</f>
        <v>0</v>
      </c>
      <c r="BN30" s="314" t="e">
        <f>+BM30/(収支計画!AG40/1000)</f>
        <v>#DIV/0!</v>
      </c>
      <c r="BO30" s="315">
        <f>+PL推移!Z29-収支計画!AI40/1000</f>
        <v>0</v>
      </c>
      <c r="BP30" s="316" t="e">
        <f>+BO30/(収支計画!AI40/1000)</f>
        <v>#DIV/0!</v>
      </c>
    </row>
    <row r="31" spans="1:68">
      <c r="B31" s="5" t="s">
        <v>230</v>
      </c>
      <c r="C31" s="318">
        <f>+収支計画!G35/1000</f>
        <v>50</v>
      </c>
      <c r="D31" s="486">
        <f>+PL推移!D30</f>
        <v>41.261000000000003</v>
      </c>
      <c r="E31" s="383">
        <f t="shared" ref="E31:E49" si="101">+D31-C31</f>
        <v>-8.7389999999999972</v>
      </c>
      <c r="F31" s="363">
        <f t="shared" si="9"/>
        <v>0.82522000000000006</v>
      </c>
      <c r="G31" s="320">
        <f>+収支計画!K41/1000</f>
        <v>30</v>
      </c>
      <c r="H31" s="393">
        <f>+PL推移!F30</f>
        <v>0</v>
      </c>
      <c r="I31" s="383">
        <f t="shared" ref="I31:I49" si="102">+H31-G31</f>
        <v>-30</v>
      </c>
      <c r="J31" s="403">
        <f t="shared" si="10"/>
        <v>0</v>
      </c>
      <c r="K31" s="320">
        <f>+収支計画!O41/1000</f>
        <v>30</v>
      </c>
      <c r="L31" s="393">
        <f>+PL推移!H30</f>
        <v>0</v>
      </c>
      <c r="M31" s="383">
        <f t="shared" ref="M31:M49" si="103">+L31-K31</f>
        <v>-30</v>
      </c>
      <c r="N31" s="363">
        <f t="shared" si="11"/>
        <v>0</v>
      </c>
      <c r="O31" s="320">
        <f>+収支計画!S41/1000</f>
        <v>30</v>
      </c>
      <c r="P31" s="393">
        <f>+PL推移!J30</f>
        <v>0</v>
      </c>
      <c r="Q31" s="383">
        <f t="shared" ref="Q31:Q49" si="104">+P31-O31</f>
        <v>-30</v>
      </c>
      <c r="R31" s="363">
        <f t="shared" si="12"/>
        <v>0</v>
      </c>
      <c r="S31" s="320">
        <f>+収支計画!U41/1000</f>
        <v>0</v>
      </c>
      <c r="T31" s="393">
        <f>+PL推移!L30</f>
        <v>0</v>
      </c>
      <c r="U31" s="383">
        <f t="shared" ref="U31:U49" si="105">+T31-S31</f>
        <v>0</v>
      </c>
      <c r="V31" s="363" t="str">
        <f t="shared" si="13"/>
        <v>-</v>
      </c>
      <c r="W31" s="320">
        <f>+収支計画!W41/1000</f>
        <v>0</v>
      </c>
      <c r="X31" s="393">
        <f>+PL推移!N30</f>
        <v>0</v>
      </c>
      <c r="Y31" s="383">
        <f t="shared" ref="Y31:Y49" si="106">+X31-W31</f>
        <v>0</v>
      </c>
      <c r="Z31" s="363" t="str">
        <f t="shared" si="14"/>
        <v>-</v>
      </c>
      <c r="AA31" s="320">
        <f>+収支計画!Y41/1000</f>
        <v>0</v>
      </c>
      <c r="AB31" s="393">
        <f>+PL推移!P30</f>
        <v>0</v>
      </c>
      <c r="AC31" s="383">
        <f t="shared" ref="AC31:AC49" si="107">+AB31-AA31</f>
        <v>0</v>
      </c>
      <c r="AD31" s="363" t="str">
        <f t="shared" si="15"/>
        <v>-</v>
      </c>
      <c r="AE31" s="320">
        <f>+収支計画!AA41/1000</f>
        <v>0</v>
      </c>
      <c r="AF31" s="393">
        <f>+PL推移!R30</f>
        <v>0</v>
      </c>
      <c r="AG31" s="383">
        <f t="shared" ref="AG31:AG49" si="108">+AF31-AE31</f>
        <v>0</v>
      </c>
      <c r="AH31" s="363" t="str">
        <f t="shared" si="16"/>
        <v>-</v>
      </c>
      <c r="AI31" s="320">
        <f>+収支計画!AC41/1000</f>
        <v>0</v>
      </c>
      <c r="AJ31" s="393">
        <f>+PL推移!T30</f>
        <v>0</v>
      </c>
      <c r="AK31" s="383">
        <f t="shared" ref="AK31:AK49" si="109">+AJ31-AI31</f>
        <v>0</v>
      </c>
      <c r="AL31" s="403" t="str">
        <f t="shared" si="17"/>
        <v>-</v>
      </c>
      <c r="AM31" s="320">
        <f>+収支計画!AG41/1000</f>
        <v>0</v>
      </c>
      <c r="AN31" s="393">
        <f>+PL推移!V30</f>
        <v>0</v>
      </c>
      <c r="AO31" s="383">
        <f t="shared" si="18"/>
        <v>0</v>
      </c>
      <c r="AP31" s="403" t="str">
        <f t="shared" si="19"/>
        <v>-</v>
      </c>
      <c r="AQ31" s="320">
        <f>+収支計画!AG41/1000</f>
        <v>0</v>
      </c>
      <c r="AR31" s="393">
        <f>+PL推移!X30</f>
        <v>0</v>
      </c>
      <c r="AS31" s="383">
        <f t="shared" si="20"/>
        <v>0</v>
      </c>
      <c r="AT31" s="403" t="str">
        <f t="shared" si="21"/>
        <v>-</v>
      </c>
      <c r="AU31" s="320">
        <f>+収支計画!AI41/1000</f>
        <v>0</v>
      </c>
      <c r="AV31" s="393">
        <f>+PL推移!Z30</f>
        <v>0</v>
      </c>
      <c r="AW31" s="383">
        <f t="shared" si="22"/>
        <v>0</v>
      </c>
      <c r="AX31" s="403" t="str">
        <f t="shared" si="23"/>
        <v>-</v>
      </c>
      <c r="AY31" s="318">
        <f t="shared" si="24"/>
        <v>140</v>
      </c>
      <c r="AZ31" s="393">
        <f t="shared" si="25"/>
        <v>41.261000000000003</v>
      </c>
      <c r="BA31" s="383">
        <f t="shared" si="26"/>
        <v>-98.739000000000004</v>
      </c>
      <c r="BB31" s="373">
        <f t="shared" si="27"/>
        <v>0.29472142857142858</v>
      </c>
      <c r="BC31" s="320">
        <f>+PL推移!N30-収支計画!W41/1000</f>
        <v>0</v>
      </c>
      <c r="BD31" s="321" t="e">
        <f>+BC31/(収支計画!W41/1000)</f>
        <v>#DIV/0!</v>
      </c>
      <c r="BE31" s="322">
        <f>+PL推移!P30-収支計画!Y41/1000</f>
        <v>0</v>
      </c>
      <c r="BF31" s="319" t="e">
        <f>+BE31/(収支計画!Y41/1000)</f>
        <v>#DIV/0!</v>
      </c>
      <c r="BG31" s="320">
        <f>+PL推移!R30-収支計画!AA41/1000</f>
        <v>0</v>
      </c>
      <c r="BH31" s="321" t="e">
        <f>+BG31/(収支計画!AA41/1000)</f>
        <v>#DIV/0!</v>
      </c>
      <c r="BI31" s="322">
        <f>+PL推移!T30-収支計画!AC41/1000</f>
        <v>0</v>
      </c>
      <c r="BJ31" s="319" t="e">
        <f>+BI31/(収支計画!AC41/1000)</f>
        <v>#DIV/0!</v>
      </c>
      <c r="BK31" s="320">
        <f>+PL推移!V30-収支計画!AE41/1000</f>
        <v>0</v>
      </c>
      <c r="BL31" s="321" t="e">
        <f>+BK31/(収支計画!AE41/1000)</f>
        <v>#DIV/0!</v>
      </c>
      <c r="BM31" s="322">
        <f>+PL推移!X30-収支計画!AG41/1000</f>
        <v>0</v>
      </c>
      <c r="BN31" s="319" t="e">
        <f>+BM31/(収支計画!AG41/1000)</f>
        <v>#DIV/0!</v>
      </c>
      <c r="BO31" s="320">
        <f>+PL推移!Z30-収支計画!AI41/1000</f>
        <v>0</v>
      </c>
      <c r="BP31" s="321" t="e">
        <f>+BO31/(収支計画!AI41/1000)</f>
        <v>#DIV/0!</v>
      </c>
    </row>
    <row r="32" spans="1:68">
      <c r="B32" s="5" t="s">
        <v>231</v>
      </c>
      <c r="C32" s="318">
        <f>+収支計画!G36/1000</f>
        <v>63.05</v>
      </c>
      <c r="D32" s="486">
        <f>+PL推移!D31</f>
        <v>62.421999999999997</v>
      </c>
      <c r="E32" s="383">
        <f t="shared" si="101"/>
        <v>-0.62800000000000011</v>
      </c>
      <c r="F32" s="363">
        <f t="shared" si="9"/>
        <v>0.9900396510705789</v>
      </c>
      <c r="G32" s="320">
        <f>+収支計画!K42/1000</f>
        <v>1295.6610000000001</v>
      </c>
      <c r="H32" s="393">
        <f>+PL推移!F31</f>
        <v>0</v>
      </c>
      <c r="I32" s="383">
        <f t="shared" si="102"/>
        <v>-1295.6610000000001</v>
      </c>
      <c r="J32" s="403">
        <f t="shared" si="10"/>
        <v>0</v>
      </c>
      <c r="K32" s="320">
        <f>+収支計画!O42/1000</f>
        <v>1295.6610000000001</v>
      </c>
      <c r="L32" s="393">
        <f>+PL推移!H31</f>
        <v>0</v>
      </c>
      <c r="M32" s="383">
        <f t="shared" si="103"/>
        <v>-1295.6610000000001</v>
      </c>
      <c r="N32" s="363">
        <f t="shared" si="11"/>
        <v>0</v>
      </c>
      <c r="O32" s="320">
        <f>+収支計画!S42/1000</f>
        <v>1295.6610000000001</v>
      </c>
      <c r="P32" s="393">
        <f>+PL推移!J31</f>
        <v>0</v>
      </c>
      <c r="Q32" s="383">
        <f t="shared" si="104"/>
        <v>-1295.6610000000001</v>
      </c>
      <c r="R32" s="363">
        <f t="shared" si="12"/>
        <v>0</v>
      </c>
      <c r="S32" s="320">
        <f>+収支計画!U42/1000</f>
        <v>0</v>
      </c>
      <c r="T32" s="393">
        <f>+PL推移!L31</f>
        <v>0</v>
      </c>
      <c r="U32" s="383">
        <f t="shared" si="105"/>
        <v>0</v>
      </c>
      <c r="V32" s="363" t="str">
        <f t="shared" si="13"/>
        <v>-</v>
      </c>
      <c r="W32" s="320">
        <f>+収支計画!W42/1000</f>
        <v>0</v>
      </c>
      <c r="X32" s="393">
        <f>+PL推移!N31</f>
        <v>0</v>
      </c>
      <c r="Y32" s="383">
        <f t="shared" si="106"/>
        <v>0</v>
      </c>
      <c r="Z32" s="363" t="str">
        <f t="shared" si="14"/>
        <v>-</v>
      </c>
      <c r="AA32" s="320">
        <f>+収支計画!Y42/1000</f>
        <v>0</v>
      </c>
      <c r="AB32" s="393">
        <f>+PL推移!P31</f>
        <v>0</v>
      </c>
      <c r="AC32" s="383">
        <f t="shared" si="107"/>
        <v>0</v>
      </c>
      <c r="AD32" s="363" t="str">
        <f t="shared" si="15"/>
        <v>-</v>
      </c>
      <c r="AE32" s="320">
        <f>+収支計画!AA42/1000</f>
        <v>0</v>
      </c>
      <c r="AF32" s="393">
        <f>+PL推移!R31</f>
        <v>0</v>
      </c>
      <c r="AG32" s="383">
        <f t="shared" si="108"/>
        <v>0</v>
      </c>
      <c r="AH32" s="363" t="str">
        <f t="shared" si="16"/>
        <v>-</v>
      </c>
      <c r="AI32" s="320">
        <f>+収支計画!AC42/1000</f>
        <v>0</v>
      </c>
      <c r="AJ32" s="393">
        <f>+PL推移!T31</f>
        <v>0</v>
      </c>
      <c r="AK32" s="383">
        <f t="shared" si="109"/>
        <v>0</v>
      </c>
      <c r="AL32" s="403" t="str">
        <f t="shared" si="17"/>
        <v>-</v>
      </c>
      <c r="AM32" s="320">
        <f>+収支計画!AG42/1000</f>
        <v>0</v>
      </c>
      <c r="AN32" s="393">
        <f>+PL推移!V31</f>
        <v>0</v>
      </c>
      <c r="AO32" s="383">
        <f t="shared" si="18"/>
        <v>0</v>
      </c>
      <c r="AP32" s="403" t="str">
        <f t="shared" si="19"/>
        <v>-</v>
      </c>
      <c r="AQ32" s="320">
        <f>+収支計画!AG42/1000</f>
        <v>0</v>
      </c>
      <c r="AR32" s="393">
        <f>+PL推移!X31</f>
        <v>0</v>
      </c>
      <c r="AS32" s="383">
        <f t="shared" si="20"/>
        <v>0</v>
      </c>
      <c r="AT32" s="403" t="str">
        <f t="shared" si="21"/>
        <v>-</v>
      </c>
      <c r="AU32" s="320">
        <f>+収支計画!AI42/1000</f>
        <v>0</v>
      </c>
      <c r="AV32" s="393">
        <f>+PL推移!Z31</f>
        <v>0</v>
      </c>
      <c r="AW32" s="383">
        <f t="shared" si="22"/>
        <v>0</v>
      </c>
      <c r="AX32" s="403" t="str">
        <f t="shared" si="23"/>
        <v>-</v>
      </c>
      <c r="AY32" s="318">
        <f t="shared" si="24"/>
        <v>3950.0330000000004</v>
      </c>
      <c r="AZ32" s="393">
        <f t="shared" si="25"/>
        <v>62.421999999999997</v>
      </c>
      <c r="BA32" s="383">
        <f t="shared" si="26"/>
        <v>-3887.6110000000003</v>
      </c>
      <c r="BB32" s="373">
        <f t="shared" si="27"/>
        <v>1.5802905950405982E-2</v>
      </c>
      <c r="BC32" s="320">
        <f>+PL推移!N31-収支計画!W42/1000</f>
        <v>0</v>
      </c>
      <c r="BD32" s="321" t="e">
        <f>+BC32/(収支計画!W42/1000)</f>
        <v>#DIV/0!</v>
      </c>
      <c r="BE32" s="322">
        <f>+PL推移!P31-収支計画!Y42/1000</f>
        <v>0</v>
      </c>
      <c r="BF32" s="319" t="e">
        <f>+BE32/(収支計画!Y42/1000)</f>
        <v>#DIV/0!</v>
      </c>
      <c r="BG32" s="320">
        <f>+PL推移!R31-収支計画!AA42/1000</f>
        <v>0</v>
      </c>
      <c r="BH32" s="321" t="e">
        <f>+BG32/(収支計画!AA42/1000)</f>
        <v>#DIV/0!</v>
      </c>
      <c r="BI32" s="322">
        <f>+PL推移!T31-収支計画!AC42/1000</f>
        <v>0</v>
      </c>
      <c r="BJ32" s="319" t="e">
        <f>+BI32/(収支計画!AC42/1000)</f>
        <v>#DIV/0!</v>
      </c>
      <c r="BK32" s="320">
        <f>+PL推移!V31-収支計画!AE42/1000</f>
        <v>0</v>
      </c>
      <c r="BL32" s="321" t="e">
        <f>+BK32/(収支計画!AE42/1000)</f>
        <v>#DIV/0!</v>
      </c>
      <c r="BM32" s="322">
        <f>+PL推移!X31-収支計画!AG42/1000</f>
        <v>0</v>
      </c>
      <c r="BN32" s="319" t="e">
        <f>+BM32/(収支計画!AG42/1000)</f>
        <v>#DIV/0!</v>
      </c>
      <c r="BO32" s="320">
        <f>+PL推移!Z31-収支計画!AI42/1000</f>
        <v>0</v>
      </c>
      <c r="BP32" s="321" t="e">
        <f>+BO32/(収支計画!AI42/1000)</f>
        <v>#DIV/0!</v>
      </c>
    </row>
    <row r="33" spans="2:68">
      <c r="B33" s="5" t="s">
        <v>232</v>
      </c>
      <c r="C33" s="318">
        <f>+収支計画!G37/1000</f>
        <v>0</v>
      </c>
      <c r="D33" s="486">
        <f>+PL推移!D32</f>
        <v>0</v>
      </c>
      <c r="E33" s="383">
        <f t="shared" si="101"/>
        <v>0</v>
      </c>
      <c r="F33" s="363" t="str">
        <f t="shared" si="9"/>
        <v>-</v>
      </c>
      <c r="G33" s="320">
        <f>+収支計画!K43/1000</f>
        <v>49.7</v>
      </c>
      <c r="H33" s="393">
        <f>+PL推移!F32</f>
        <v>0</v>
      </c>
      <c r="I33" s="383">
        <f t="shared" si="102"/>
        <v>-49.7</v>
      </c>
      <c r="J33" s="403">
        <f t="shared" si="10"/>
        <v>0</v>
      </c>
      <c r="K33" s="320">
        <f>+収支計画!O43/1000</f>
        <v>49.7</v>
      </c>
      <c r="L33" s="393">
        <f>+PL推移!H32</f>
        <v>0</v>
      </c>
      <c r="M33" s="383">
        <f t="shared" si="103"/>
        <v>-49.7</v>
      </c>
      <c r="N33" s="363">
        <f t="shared" si="11"/>
        <v>0</v>
      </c>
      <c r="O33" s="320">
        <f>+収支計画!S43/1000</f>
        <v>49.7</v>
      </c>
      <c r="P33" s="393">
        <f>+PL推移!J32</f>
        <v>0</v>
      </c>
      <c r="Q33" s="383">
        <f t="shared" si="104"/>
        <v>-49.7</v>
      </c>
      <c r="R33" s="363">
        <f t="shared" si="12"/>
        <v>0</v>
      </c>
      <c r="S33" s="320">
        <f>+収支計画!U43/1000</f>
        <v>0</v>
      </c>
      <c r="T33" s="393">
        <f>+PL推移!L32</f>
        <v>0</v>
      </c>
      <c r="U33" s="383">
        <f t="shared" si="105"/>
        <v>0</v>
      </c>
      <c r="V33" s="363" t="str">
        <f t="shared" si="13"/>
        <v>-</v>
      </c>
      <c r="W33" s="320">
        <f>+収支計画!W43/1000</f>
        <v>0</v>
      </c>
      <c r="X33" s="393">
        <f>+PL推移!N32</f>
        <v>0</v>
      </c>
      <c r="Y33" s="383">
        <f t="shared" si="106"/>
        <v>0</v>
      </c>
      <c r="Z33" s="363" t="str">
        <f t="shared" si="14"/>
        <v>-</v>
      </c>
      <c r="AA33" s="320">
        <f>+収支計画!Y43/1000</f>
        <v>0</v>
      </c>
      <c r="AB33" s="393">
        <f>+PL推移!P32</f>
        <v>0</v>
      </c>
      <c r="AC33" s="383">
        <f t="shared" si="107"/>
        <v>0</v>
      </c>
      <c r="AD33" s="363" t="str">
        <f t="shared" si="15"/>
        <v>-</v>
      </c>
      <c r="AE33" s="320">
        <f>+収支計画!AA43/1000</f>
        <v>0</v>
      </c>
      <c r="AF33" s="393">
        <f>+PL推移!R32</f>
        <v>0</v>
      </c>
      <c r="AG33" s="383">
        <f t="shared" si="108"/>
        <v>0</v>
      </c>
      <c r="AH33" s="363" t="str">
        <f t="shared" si="16"/>
        <v>-</v>
      </c>
      <c r="AI33" s="320">
        <f>+収支計画!AC43/1000</f>
        <v>0</v>
      </c>
      <c r="AJ33" s="393">
        <f>+PL推移!T32</f>
        <v>0</v>
      </c>
      <c r="AK33" s="383">
        <f t="shared" si="109"/>
        <v>0</v>
      </c>
      <c r="AL33" s="403" t="str">
        <f t="shared" si="17"/>
        <v>-</v>
      </c>
      <c r="AM33" s="320">
        <f>+収支計画!AG43/1000</f>
        <v>0</v>
      </c>
      <c r="AN33" s="393">
        <f>+PL推移!V32</f>
        <v>0</v>
      </c>
      <c r="AO33" s="383">
        <f t="shared" si="18"/>
        <v>0</v>
      </c>
      <c r="AP33" s="403" t="str">
        <f t="shared" si="19"/>
        <v>-</v>
      </c>
      <c r="AQ33" s="320">
        <f>+収支計画!AG43/1000</f>
        <v>0</v>
      </c>
      <c r="AR33" s="393">
        <f>+PL推移!X32</f>
        <v>0</v>
      </c>
      <c r="AS33" s="383">
        <f t="shared" si="20"/>
        <v>0</v>
      </c>
      <c r="AT33" s="403" t="str">
        <f t="shared" si="21"/>
        <v>-</v>
      </c>
      <c r="AU33" s="320">
        <f>+収支計画!AI43/1000</f>
        <v>0</v>
      </c>
      <c r="AV33" s="393">
        <f>+PL推移!Z32</f>
        <v>0</v>
      </c>
      <c r="AW33" s="383">
        <f t="shared" si="22"/>
        <v>0</v>
      </c>
      <c r="AX33" s="403" t="str">
        <f t="shared" si="23"/>
        <v>-</v>
      </c>
      <c r="AY33" s="318">
        <f t="shared" si="24"/>
        <v>149.10000000000002</v>
      </c>
      <c r="AZ33" s="393">
        <f t="shared" si="25"/>
        <v>0</v>
      </c>
      <c r="BA33" s="383">
        <f t="shared" si="26"/>
        <v>-149.10000000000002</v>
      </c>
      <c r="BB33" s="373">
        <f t="shared" si="27"/>
        <v>0</v>
      </c>
      <c r="BC33" s="320">
        <f>+PL推移!N32-収支計画!W43/1000</f>
        <v>0</v>
      </c>
      <c r="BD33" s="321" t="e">
        <f>+BC33/(収支計画!W43/1000)</f>
        <v>#DIV/0!</v>
      </c>
      <c r="BE33" s="322">
        <f>+PL推移!P32-収支計画!Y43/1000</f>
        <v>0</v>
      </c>
      <c r="BF33" s="319" t="e">
        <f>+BE33/(収支計画!Y43/1000)</f>
        <v>#DIV/0!</v>
      </c>
      <c r="BG33" s="320">
        <f>+PL推移!R32-収支計画!AA43/1000</f>
        <v>0</v>
      </c>
      <c r="BH33" s="321" t="e">
        <f>+BG33/(収支計画!AA43/1000)</f>
        <v>#DIV/0!</v>
      </c>
      <c r="BI33" s="322">
        <f>+PL推移!T32-収支計画!AC43/1000</f>
        <v>0</v>
      </c>
      <c r="BJ33" s="319" t="e">
        <f>+BI33/(収支計画!AC43/1000)</f>
        <v>#DIV/0!</v>
      </c>
      <c r="BK33" s="320">
        <f>+PL推移!V32-収支計画!AE43/1000</f>
        <v>0</v>
      </c>
      <c r="BL33" s="321" t="e">
        <f>+BK33/(収支計画!AE43/1000)</f>
        <v>#DIV/0!</v>
      </c>
      <c r="BM33" s="322">
        <f>+PL推移!X32-収支計画!AG43/1000</f>
        <v>0</v>
      </c>
      <c r="BN33" s="319" t="e">
        <f>+BM33/(収支計画!AG43/1000)</f>
        <v>#DIV/0!</v>
      </c>
      <c r="BO33" s="320">
        <f>+PL推移!Z32-収支計画!AI43/1000</f>
        <v>0</v>
      </c>
      <c r="BP33" s="321" t="e">
        <f>+BO33/(収支計画!AI43/1000)</f>
        <v>#DIV/0!</v>
      </c>
    </row>
    <row r="34" spans="2:68">
      <c r="B34" s="5" t="s">
        <v>233</v>
      </c>
      <c r="C34" s="318">
        <f>+収支計画!G38/1000</f>
        <v>0</v>
      </c>
      <c r="D34" s="486">
        <f>+PL推移!D33</f>
        <v>0</v>
      </c>
      <c r="E34" s="383">
        <f t="shared" si="101"/>
        <v>0</v>
      </c>
      <c r="F34" s="363" t="str">
        <f t="shared" si="9"/>
        <v>-</v>
      </c>
      <c r="G34" s="320">
        <f>+収支計画!K44/1000</f>
        <v>10</v>
      </c>
      <c r="H34" s="393">
        <f>+PL推移!F33</f>
        <v>0</v>
      </c>
      <c r="I34" s="383">
        <f t="shared" si="102"/>
        <v>-10</v>
      </c>
      <c r="J34" s="403">
        <f t="shared" si="10"/>
        <v>0</v>
      </c>
      <c r="K34" s="320">
        <f>+収支計画!O44/1000</f>
        <v>10</v>
      </c>
      <c r="L34" s="393">
        <f>+PL推移!H33</f>
        <v>0</v>
      </c>
      <c r="M34" s="383">
        <f t="shared" si="103"/>
        <v>-10</v>
      </c>
      <c r="N34" s="363">
        <f t="shared" si="11"/>
        <v>0</v>
      </c>
      <c r="O34" s="320">
        <f>+収支計画!S44/1000</f>
        <v>10</v>
      </c>
      <c r="P34" s="393">
        <f>+PL推移!J33</f>
        <v>0</v>
      </c>
      <c r="Q34" s="383">
        <f t="shared" si="104"/>
        <v>-10</v>
      </c>
      <c r="R34" s="363">
        <f t="shared" si="12"/>
        <v>0</v>
      </c>
      <c r="S34" s="320">
        <f>+収支計画!U44/1000</f>
        <v>0</v>
      </c>
      <c r="T34" s="393">
        <f>+PL推移!L33</f>
        <v>0</v>
      </c>
      <c r="U34" s="383">
        <f t="shared" si="105"/>
        <v>0</v>
      </c>
      <c r="V34" s="363" t="str">
        <f t="shared" si="13"/>
        <v>-</v>
      </c>
      <c r="W34" s="320">
        <f>+収支計画!W44/1000</f>
        <v>0</v>
      </c>
      <c r="X34" s="393">
        <f>+PL推移!N33</f>
        <v>0</v>
      </c>
      <c r="Y34" s="383">
        <f t="shared" si="106"/>
        <v>0</v>
      </c>
      <c r="Z34" s="363" t="str">
        <f t="shared" si="14"/>
        <v>-</v>
      </c>
      <c r="AA34" s="320">
        <f>+収支計画!Y44/1000</f>
        <v>0</v>
      </c>
      <c r="AB34" s="393">
        <f>+PL推移!P33</f>
        <v>0</v>
      </c>
      <c r="AC34" s="383">
        <f t="shared" si="107"/>
        <v>0</v>
      </c>
      <c r="AD34" s="363" t="str">
        <f t="shared" si="15"/>
        <v>-</v>
      </c>
      <c r="AE34" s="320">
        <f>+収支計画!AA44/1000</f>
        <v>0</v>
      </c>
      <c r="AF34" s="393">
        <f>+PL推移!R33</f>
        <v>0</v>
      </c>
      <c r="AG34" s="383">
        <f t="shared" si="108"/>
        <v>0</v>
      </c>
      <c r="AH34" s="363" t="str">
        <f t="shared" si="16"/>
        <v>-</v>
      </c>
      <c r="AI34" s="320">
        <f>+収支計画!AC44/1000</f>
        <v>0</v>
      </c>
      <c r="AJ34" s="393">
        <f>+PL推移!T33</f>
        <v>0</v>
      </c>
      <c r="AK34" s="383">
        <f t="shared" si="109"/>
        <v>0</v>
      </c>
      <c r="AL34" s="403" t="str">
        <f t="shared" si="17"/>
        <v>-</v>
      </c>
      <c r="AM34" s="320">
        <f>+収支計画!AG44/1000</f>
        <v>0</v>
      </c>
      <c r="AN34" s="393">
        <f>+PL推移!V33</f>
        <v>0</v>
      </c>
      <c r="AO34" s="383">
        <f t="shared" si="18"/>
        <v>0</v>
      </c>
      <c r="AP34" s="403" t="str">
        <f t="shared" si="19"/>
        <v>-</v>
      </c>
      <c r="AQ34" s="320">
        <f>+収支計画!AG44/1000</f>
        <v>0</v>
      </c>
      <c r="AR34" s="393">
        <f>+PL推移!X33</f>
        <v>0</v>
      </c>
      <c r="AS34" s="383">
        <f t="shared" si="20"/>
        <v>0</v>
      </c>
      <c r="AT34" s="403" t="str">
        <f t="shared" si="21"/>
        <v>-</v>
      </c>
      <c r="AU34" s="320">
        <f>+収支計画!AI44/1000</f>
        <v>0</v>
      </c>
      <c r="AV34" s="393">
        <f>+PL推移!Z33</f>
        <v>0</v>
      </c>
      <c r="AW34" s="383">
        <f t="shared" si="22"/>
        <v>0</v>
      </c>
      <c r="AX34" s="403" t="str">
        <f t="shared" si="23"/>
        <v>-</v>
      </c>
      <c r="AY34" s="318">
        <f t="shared" si="24"/>
        <v>30</v>
      </c>
      <c r="AZ34" s="393">
        <f t="shared" si="25"/>
        <v>0</v>
      </c>
      <c r="BA34" s="383">
        <f t="shared" si="26"/>
        <v>-30</v>
      </c>
      <c r="BB34" s="373">
        <f t="shared" si="27"/>
        <v>0</v>
      </c>
      <c r="BC34" s="320">
        <f>+PL推移!N33-収支計画!W44/1000</f>
        <v>0</v>
      </c>
      <c r="BD34" s="321" t="e">
        <f>+BC34/(収支計画!W44/1000)</f>
        <v>#DIV/0!</v>
      </c>
      <c r="BE34" s="322">
        <f>+PL推移!P33-収支計画!Y44/1000</f>
        <v>0</v>
      </c>
      <c r="BF34" s="319" t="e">
        <f>+BE34/(収支計画!Y44/1000)</f>
        <v>#DIV/0!</v>
      </c>
      <c r="BG34" s="320">
        <f>+PL推移!R33-収支計画!AA44/1000</f>
        <v>0</v>
      </c>
      <c r="BH34" s="321" t="e">
        <f>+BG34/(収支計画!AA44/1000)</f>
        <v>#DIV/0!</v>
      </c>
      <c r="BI34" s="322">
        <f>+PL推移!T33-収支計画!AC44/1000</f>
        <v>0</v>
      </c>
      <c r="BJ34" s="319" t="e">
        <f>+BI34/(収支計画!AC44/1000)</f>
        <v>#DIV/0!</v>
      </c>
      <c r="BK34" s="320">
        <f>+PL推移!V33-収支計画!AE44/1000</f>
        <v>0</v>
      </c>
      <c r="BL34" s="321" t="e">
        <f>+BK34/(収支計画!AE44/1000)</f>
        <v>#DIV/0!</v>
      </c>
      <c r="BM34" s="322">
        <f>+PL推移!X33-収支計画!AG44/1000</f>
        <v>0</v>
      </c>
      <c r="BN34" s="319" t="e">
        <f>+BM34/(収支計画!AG44/1000)</f>
        <v>#DIV/0!</v>
      </c>
      <c r="BO34" s="320">
        <f>+PL推移!Z33-収支計画!AI44/1000</f>
        <v>0</v>
      </c>
      <c r="BP34" s="321" t="e">
        <f>+BO34/(収支計画!AI44/1000)</f>
        <v>#DIV/0!</v>
      </c>
    </row>
    <row r="35" spans="2:68">
      <c r="B35" s="5" t="s">
        <v>234</v>
      </c>
      <c r="C35" s="318">
        <f>+収支計画!G39/1000</f>
        <v>10</v>
      </c>
      <c r="D35" s="486">
        <f>+PL推移!D34</f>
        <v>7.2729999999999997</v>
      </c>
      <c r="E35" s="383">
        <f t="shared" si="101"/>
        <v>-2.7270000000000003</v>
      </c>
      <c r="F35" s="363">
        <f t="shared" si="9"/>
        <v>0.72729999999999995</v>
      </c>
      <c r="G35" s="320">
        <f>+収支計画!K45/1000</f>
        <v>25.32</v>
      </c>
      <c r="H35" s="393">
        <f>+PL推移!F34</f>
        <v>0</v>
      </c>
      <c r="I35" s="383">
        <f t="shared" si="102"/>
        <v>-25.32</v>
      </c>
      <c r="J35" s="403">
        <f t="shared" si="10"/>
        <v>0</v>
      </c>
      <c r="K35" s="320">
        <f>+収支計画!O45/1000</f>
        <v>25.32</v>
      </c>
      <c r="L35" s="393">
        <f>+PL推移!H34</f>
        <v>0</v>
      </c>
      <c r="M35" s="383">
        <f t="shared" si="103"/>
        <v>-25.32</v>
      </c>
      <c r="N35" s="363">
        <f t="shared" si="11"/>
        <v>0</v>
      </c>
      <c r="O35" s="320">
        <f>+収支計画!S45/1000</f>
        <v>22.215</v>
      </c>
      <c r="P35" s="393">
        <f>+PL推移!J34</f>
        <v>0</v>
      </c>
      <c r="Q35" s="383">
        <f t="shared" si="104"/>
        <v>-22.215</v>
      </c>
      <c r="R35" s="363">
        <f t="shared" si="12"/>
        <v>0</v>
      </c>
      <c r="S35" s="320">
        <f>+収支計画!W45/1000</f>
        <v>0</v>
      </c>
      <c r="T35" s="393">
        <f>+PL推移!L34</f>
        <v>0</v>
      </c>
      <c r="U35" s="383">
        <f t="shared" si="105"/>
        <v>0</v>
      </c>
      <c r="V35" s="363" t="str">
        <f t="shared" si="13"/>
        <v>-</v>
      </c>
      <c r="W35" s="320">
        <f>+収支計画!W45/1000</f>
        <v>0</v>
      </c>
      <c r="X35" s="393">
        <f>+PL推移!N34</f>
        <v>0</v>
      </c>
      <c r="Y35" s="383">
        <f t="shared" si="106"/>
        <v>0</v>
      </c>
      <c r="Z35" s="363" t="str">
        <f t="shared" si="14"/>
        <v>-</v>
      </c>
      <c r="AA35" s="320">
        <f>+収支計画!Y45/1000</f>
        <v>0</v>
      </c>
      <c r="AB35" s="393">
        <f>+PL推移!P34</f>
        <v>0</v>
      </c>
      <c r="AC35" s="383">
        <f t="shared" si="107"/>
        <v>0</v>
      </c>
      <c r="AD35" s="363" t="str">
        <f t="shared" si="15"/>
        <v>-</v>
      </c>
      <c r="AE35" s="320">
        <f>+収支計画!AA45/1000</f>
        <v>0</v>
      </c>
      <c r="AF35" s="393">
        <f>+PL推移!R34</f>
        <v>0</v>
      </c>
      <c r="AG35" s="383">
        <f t="shared" si="108"/>
        <v>0</v>
      </c>
      <c r="AH35" s="363" t="str">
        <f t="shared" si="16"/>
        <v>-</v>
      </c>
      <c r="AI35" s="320">
        <f>+収支計画!AC45/1000</f>
        <v>0</v>
      </c>
      <c r="AJ35" s="393">
        <f>+PL推移!T34</f>
        <v>0</v>
      </c>
      <c r="AK35" s="383">
        <f t="shared" si="109"/>
        <v>0</v>
      </c>
      <c r="AL35" s="403" t="str">
        <f t="shared" si="17"/>
        <v>-</v>
      </c>
      <c r="AM35" s="320">
        <f>+収支計画!AG45/1000</f>
        <v>0</v>
      </c>
      <c r="AN35" s="393">
        <f>+PL推移!V34</f>
        <v>0</v>
      </c>
      <c r="AO35" s="383">
        <f t="shared" si="18"/>
        <v>0</v>
      </c>
      <c r="AP35" s="403" t="str">
        <f t="shared" si="19"/>
        <v>-</v>
      </c>
      <c r="AQ35" s="320">
        <f>+収支計画!AG45/1000</f>
        <v>0</v>
      </c>
      <c r="AR35" s="393">
        <f>+PL推移!X34</f>
        <v>0</v>
      </c>
      <c r="AS35" s="383">
        <f t="shared" si="20"/>
        <v>0</v>
      </c>
      <c r="AT35" s="403" t="str">
        <f t="shared" si="21"/>
        <v>-</v>
      </c>
      <c r="AU35" s="320">
        <f>+収支計画!AI45/1000</f>
        <v>0</v>
      </c>
      <c r="AV35" s="393">
        <f>+PL推移!Z34</f>
        <v>0</v>
      </c>
      <c r="AW35" s="383">
        <f t="shared" si="22"/>
        <v>0</v>
      </c>
      <c r="AX35" s="403" t="str">
        <f t="shared" si="23"/>
        <v>-</v>
      </c>
      <c r="AY35" s="318">
        <f t="shared" si="24"/>
        <v>82.855000000000004</v>
      </c>
      <c r="AZ35" s="393">
        <f t="shared" si="25"/>
        <v>7.2729999999999997</v>
      </c>
      <c r="BA35" s="383">
        <f t="shared" si="26"/>
        <v>-75.582000000000008</v>
      </c>
      <c r="BB35" s="373">
        <f t="shared" si="27"/>
        <v>8.7779856375595919E-2</v>
      </c>
      <c r="BC35" s="320">
        <f>+PL推移!N34-収支計画!W45/1000</f>
        <v>0</v>
      </c>
      <c r="BD35" s="321" t="e">
        <f>+BC35/(収支計画!W45/1000)</f>
        <v>#DIV/0!</v>
      </c>
      <c r="BE35" s="322">
        <f>+PL推移!P34-収支計画!Y45/1000</f>
        <v>0</v>
      </c>
      <c r="BF35" s="319" t="e">
        <f>+BE35/(収支計画!Y45/1000)</f>
        <v>#DIV/0!</v>
      </c>
      <c r="BG35" s="320">
        <f>+PL推移!R34-収支計画!AA45/1000</f>
        <v>0</v>
      </c>
      <c r="BH35" s="321" t="e">
        <f>+BG35/(収支計画!AA45/1000)</f>
        <v>#DIV/0!</v>
      </c>
      <c r="BI35" s="322">
        <f>+PL推移!T34-収支計画!AC45/1000</f>
        <v>0</v>
      </c>
      <c r="BJ35" s="319" t="e">
        <f>+BI35/(収支計画!AC45/1000)</f>
        <v>#DIV/0!</v>
      </c>
      <c r="BK35" s="320">
        <f>+PL推移!V34-収支計画!AE45/1000</f>
        <v>0</v>
      </c>
      <c r="BL35" s="321" t="e">
        <f>+BK35/(収支計画!AE45/1000)</f>
        <v>#DIV/0!</v>
      </c>
      <c r="BM35" s="322">
        <f>+PL推移!X34-収支計画!AG45/1000</f>
        <v>0</v>
      </c>
      <c r="BN35" s="319" t="e">
        <f>+BM35/(収支計画!AG45/1000)</f>
        <v>#DIV/0!</v>
      </c>
      <c r="BO35" s="320">
        <f>+PL推移!Z34-収支計画!AI45/1000</f>
        <v>0</v>
      </c>
      <c r="BP35" s="321" t="e">
        <f>+BO35/(収支計画!AI45/1000)</f>
        <v>#DIV/0!</v>
      </c>
    </row>
    <row r="36" spans="2:68">
      <c r="B36" s="5" t="s">
        <v>235</v>
      </c>
      <c r="C36" s="318">
        <f>+収支計画!G40/1000</f>
        <v>749.95399999999995</v>
      </c>
      <c r="D36" s="486">
        <f>+PL推移!D35</f>
        <v>749.95399999999995</v>
      </c>
      <c r="E36" s="383">
        <f t="shared" si="101"/>
        <v>0</v>
      </c>
      <c r="F36" s="363">
        <f t="shared" si="9"/>
        <v>1</v>
      </c>
      <c r="G36" s="320">
        <f>+収支計画!K46/1000</f>
        <v>660</v>
      </c>
      <c r="H36" s="393">
        <f>+PL推移!F35</f>
        <v>0</v>
      </c>
      <c r="I36" s="383">
        <f t="shared" si="102"/>
        <v>-660</v>
      </c>
      <c r="J36" s="403">
        <f t="shared" si="10"/>
        <v>0</v>
      </c>
      <c r="K36" s="320">
        <f>+収支計画!O46/1000</f>
        <v>780</v>
      </c>
      <c r="L36" s="393">
        <f>+PL推移!H35</f>
        <v>0</v>
      </c>
      <c r="M36" s="383">
        <f t="shared" si="103"/>
        <v>-780</v>
      </c>
      <c r="N36" s="363">
        <f t="shared" si="11"/>
        <v>0</v>
      </c>
      <c r="O36" s="320">
        <f>+収支計画!S46/1000</f>
        <v>860</v>
      </c>
      <c r="P36" s="393">
        <f>+PL推移!J35</f>
        <v>0</v>
      </c>
      <c r="Q36" s="383">
        <f t="shared" si="104"/>
        <v>-860</v>
      </c>
      <c r="R36" s="363">
        <f t="shared" si="12"/>
        <v>0</v>
      </c>
      <c r="S36" s="320">
        <f>+収支計画!U46/1000</f>
        <v>0</v>
      </c>
      <c r="T36" s="393">
        <f>+PL推移!L35</f>
        <v>0</v>
      </c>
      <c r="U36" s="383">
        <f t="shared" si="105"/>
        <v>0</v>
      </c>
      <c r="V36" s="363" t="str">
        <f t="shared" si="13"/>
        <v>-</v>
      </c>
      <c r="W36" s="320">
        <f>+収支計画!W46/1000</f>
        <v>0</v>
      </c>
      <c r="X36" s="393">
        <f>+PL推移!N35</f>
        <v>0</v>
      </c>
      <c r="Y36" s="383">
        <f t="shared" si="106"/>
        <v>0</v>
      </c>
      <c r="Z36" s="363" t="str">
        <f t="shared" si="14"/>
        <v>-</v>
      </c>
      <c r="AA36" s="320">
        <f>+収支計画!Y46/1000</f>
        <v>0</v>
      </c>
      <c r="AB36" s="393">
        <f>+PL推移!P35</f>
        <v>0</v>
      </c>
      <c r="AC36" s="383">
        <f t="shared" si="107"/>
        <v>0</v>
      </c>
      <c r="AD36" s="363" t="str">
        <f t="shared" si="15"/>
        <v>-</v>
      </c>
      <c r="AE36" s="320">
        <f>+収支計画!AA46/1000</f>
        <v>0</v>
      </c>
      <c r="AF36" s="393">
        <f>+PL推移!R35</f>
        <v>0</v>
      </c>
      <c r="AG36" s="383">
        <f t="shared" si="108"/>
        <v>0</v>
      </c>
      <c r="AH36" s="363" t="str">
        <f t="shared" si="16"/>
        <v>-</v>
      </c>
      <c r="AI36" s="320">
        <f>+収支計画!AC46/1000</f>
        <v>0</v>
      </c>
      <c r="AJ36" s="393">
        <f>+PL推移!T35</f>
        <v>0</v>
      </c>
      <c r="AK36" s="383">
        <f t="shared" si="109"/>
        <v>0</v>
      </c>
      <c r="AL36" s="403" t="str">
        <f t="shared" si="17"/>
        <v>-</v>
      </c>
      <c r="AM36" s="320">
        <f>+収支計画!AG46/1000</f>
        <v>0</v>
      </c>
      <c r="AN36" s="393">
        <f>+PL推移!V35</f>
        <v>0</v>
      </c>
      <c r="AO36" s="383">
        <f t="shared" si="18"/>
        <v>0</v>
      </c>
      <c r="AP36" s="403" t="str">
        <f t="shared" si="19"/>
        <v>-</v>
      </c>
      <c r="AQ36" s="320">
        <f>+収支計画!AG46/1000</f>
        <v>0</v>
      </c>
      <c r="AR36" s="393">
        <f>+PL推移!X35</f>
        <v>0</v>
      </c>
      <c r="AS36" s="383">
        <f t="shared" si="20"/>
        <v>0</v>
      </c>
      <c r="AT36" s="403" t="str">
        <f t="shared" si="21"/>
        <v>-</v>
      </c>
      <c r="AU36" s="320">
        <f>+収支計画!AI46/1000</f>
        <v>0</v>
      </c>
      <c r="AV36" s="393">
        <f>+PL推移!Z35</f>
        <v>0</v>
      </c>
      <c r="AW36" s="383">
        <f t="shared" si="22"/>
        <v>0</v>
      </c>
      <c r="AX36" s="403" t="str">
        <f t="shared" si="23"/>
        <v>-</v>
      </c>
      <c r="AY36" s="318">
        <f t="shared" si="24"/>
        <v>3049.9539999999997</v>
      </c>
      <c r="AZ36" s="393">
        <f t="shared" si="25"/>
        <v>749.95399999999995</v>
      </c>
      <c r="BA36" s="383">
        <f t="shared" si="26"/>
        <v>-2300</v>
      </c>
      <c r="BB36" s="373">
        <f t="shared" si="27"/>
        <v>0.24589026588597732</v>
      </c>
      <c r="BC36" s="320">
        <f>+PL推移!N35-収支計画!W46/1000</f>
        <v>0</v>
      </c>
      <c r="BD36" s="321" t="e">
        <f>+BC36/(収支計画!W46/1000)</f>
        <v>#DIV/0!</v>
      </c>
      <c r="BE36" s="322">
        <f>+PL推移!P35-収支計画!Y46/1000</f>
        <v>0</v>
      </c>
      <c r="BF36" s="319" t="e">
        <f>+BE36/(収支計画!Y46/1000)</f>
        <v>#DIV/0!</v>
      </c>
      <c r="BG36" s="320">
        <f>+PL推移!R35-収支計画!AA46/1000</f>
        <v>0</v>
      </c>
      <c r="BH36" s="321" t="e">
        <f>+BG36/(収支計画!AA46/1000)</f>
        <v>#DIV/0!</v>
      </c>
      <c r="BI36" s="322">
        <f>+PL推移!T35-収支計画!AC46/1000</f>
        <v>0</v>
      </c>
      <c r="BJ36" s="319" t="e">
        <f>+BI36/(収支計画!AC46/1000)</f>
        <v>#DIV/0!</v>
      </c>
      <c r="BK36" s="320">
        <f>+PL推移!V35-収支計画!AE46/1000</f>
        <v>0</v>
      </c>
      <c r="BL36" s="321" t="e">
        <f>+BK36/(収支計画!AE46/1000)</f>
        <v>#DIV/0!</v>
      </c>
      <c r="BM36" s="322">
        <f>+PL推移!X35-収支計画!AG46/1000</f>
        <v>0</v>
      </c>
      <c r="BN36" s="319" t="e">
        <f>+BM36/(収支計画!AG46/1000)</f>
        <v>#DIV/0!</v>
      </c>
      <c r="BO36" s="320">
        <f>+PL推移!Z35-収支計画!AI46/1000</f>
        <v>0</v>
      </c>
      <c r="BP36" s="321" t="e">
        <f>+BO36/(収支計画!AI46/1000)</f>
        <v>#DIV/0!</v>
      </c>
    </row>
    <row r="37" spans="2:68">
      <c r="B37" s="5" t="s">
        <v>236</v>
      </c>
      <c r="C37" s="318">
        <f>+収支計画!G41/1000</f>
        <v>30</v>
      </c>
      <c r="D37" s="486">
        <f>+PL推移!D36</f>
        <v>30</v>
      </c>
      <c r="E37" s="383">
        <f t="shared" si="101"/>
        <v>0</v>
      </c>
      <c r="F37" s="363">
        <f t="shared" si="9"/>
        <v>1</v>
      </c>
      <c r="G37" s="320">
        <f>+収支計画!K47/1000</f>
        <v>180</v>
      </c>
      <c r="H37" s="393">
        <f>+PL推移!F36</f>
        <v>0</v>
      </c>
      <c r="I37" s="383">
        <f t="shared" si="102"/>
        <v>-180</v>
      </c>
      <c r="J37" s="403">
        <f t="shared" si="10"/>
        <v>0</v>
      </c>
      <c r="K37" s="320">
        <f>+収支計画!O47/1000</f>
        <v>210</v>
      </c>
      <c r="L37" s="393">
        <f>+PL推移!H36</f>
        <v>0</v>
      </c>
      <c r="M37" s="383">
        <f t="shared" si="103"/>
        <v>-210</v>
      </c>
      <c r="N37" s="363">
        <f t="shared" si="11"/>
        <v>0</v>
      </c>
      <c r="O37" s="320">
        <f>+収支計画!S47/1000</f>
        <v>200</v>
      </c>
      <c r="P37" s="393">
        <f>+PL推移!J36</f>
        <v>0</v>
      </c>
      <c r="Q37" s="383">
        <f t="shared" si="104"/>
        <v>-200</v>
      </c>
      <c r="R37" s="363">
        <f t="shared" si="12"/>
        <v>0</v>
      </c>
      <c r="S37" s="320">
        <f>+収支計画!U47/1000</f>
        <v>0</v>
      </c>
      <c r="T37" s="393">
        <f>+PL推移!L36</f>
        <v>0</v>
      </c>
      <c r="U37" s="383">
        <f t="shared" si="105"/>
        <v>0</v>
      </c>
      <c r="V37" s="363" t="str">
        <f t="shared" si="13"/>
        <v>-</v>
      </c>
      <c r="W37" s="320">
        <f>+収支計画!W47/1000</f>
        <v>0</v>
      </c>
      <c r="X37" s="393">
        <f>+PL推移!N36</f>
        <v>0</v>
      </c>
      <c r="Y37" s="383">
        <f t="shared" si="106"/>
        <v>0</v>
      </c>
      <c r="Z37" s="363" t="str">
        <f t="shared" si="14"/>
        <v>-</v>
      </c>
      <c r="AA37" s="320">
        <f>+収支計画!Y47/1000</f>
        <v>0</v>
      </c>
      <c r="AB37" s="393">
        <f>+PL推移!P36</f>
        <v>0</v>
      </c>
      <c r="AC37" s="383">
        <f t="shared" si="107"/>
        <v>0</v>
      </c>
      <c r="AD37" s="363" t="str">
        <f t="shared" si="15"/>
        <v>-</v>
      </c>
      <c r="AE37" s="320">
        <f>+収支計画!AA47/1000</f>
        <v>0</v>
      </c>
      <c r="AF37" s="393">
        <f>+PL推移!R36</f>
        <v>0</v>
      </c>
      <c r="AG37" s="383">
        <f t="shared" si="108"/>
        <v>0</v>
      </c>
      <c r="AH37" s="363" t="str">
        <f t="shared" si="16"/>
        <v>-</v>
      </c>
      <c r="AI37" s="320">
        <f>+収支計画!AC47/1000</f>
        <v>0</v>
      </c>
      <c r="AJ37" s="393">
        <f>+PL推移!T36</f>
        <v>0</v>
      </c>
      <c r="AK37" s="383">
        <f t="shared" si="109"/>
        <v>0</v>
      </c>
      <c r="AL37" s="403" t="str">
        <f t="shared" si="17"/>
        <v>-</v>
      </c>
      <c r="AM37" s="320">
        <f>+収支計画!AG47/1000</f>
        <v>0</v>
      </c>
      <c r="AN37" s="393">
        <f>+PL推移!V36</f>
        <v>0</v>
      </c>
      <c r="AO37" s="383">
        <f t="shared" si="18"/>
        <v>0</v>
      </c>
      <c r="AP37" s="403" t="str">
        <f t="shared" si="19"/>
        <v>-</v>
      </c>
      <c r="AQ37" s="320">
        <f>+収支計画!AG47/1000</f>
        <v>0</v>
      </c>
      <c r="AR37" s="393">
        <f>+PL推移!X36</f>
        <v>0</v>
      </c>
      <c r="AS37" s="383">
        <f t="shared" si="20"/>
        <v>0</v>
      </c>
      <c r="AT37" s="403" t="str">
        <f t="shared" si="21"/>
        <v>-</v>
      </c>
      <c r="AU37" s="320">
        <f>+収支計画!AI47/1000</f>
        <v>0</v>
      </c>
      <c r="AV37" s="393">
        <f>+PL推移!Z36</f>
        <v>0</v>
      </c>
      <c r="AW37" s="383">
        <f t="shared" si="22"/>
        <v>0</v>
      </c>
      <c r="AX37" s="403" t="str">
        <f t="shared" si="23"/>
        <v>-</v>
      </c>
      <c r="AY37" s="318">
        <f t="shared" si="24"/>
        <v>620</v>
      </c>
      <c r="AZ37" s="393">
        <f t="shared" si="25"/>
        <v>30</v>
      </c>
      <c r="BA37" s="383">
        <f t="shared" si="26"/>
        <v>-590</v>
      </c>
      <c r="BB37" s="373">
        <f t="shared" si="27"/>
        <v>4.8387096774193547E-2</v>
      </c>
      <c r="BC37" s="320">
        <f>+PL推移!N36-収支計画!W47/1000</f>
        <v>0</v>
      </c>
      <c r="BD37" s="321" t="e">
        <f>+BC37/(収支計画!W47/1000)</f>
        <v>#DIV/0!</v>
      </c>
      <c r="BE37" s="322">
        <f>+PL推移!P36-収支計画!Y47/1000</f>
        <v>0</v>
      </c>
      <c r="BF37" s="319" t="e">
        <f>+BE37/(収支計画!Y47/1000)</f>
        <v>#DIV/0!</v>
      </c>
      <c r="BG37" s="320">
        <f>+PL推移!R36-収支計画!AA47/1000</f>
        <v>0</v>
      </c>
      <c r="BH37" s="321" t="e">
        <f>+BG37/(収支計画!AA47/1000)</f>
        <v>#DIV/0!</v>
      </c>
      <c r="BI37" s="322">
        <f>+PL推移!T36-収支計画!AC47/1000</f>
        <v>0</v>
      </c>
      <c r="BJ37" s="319" t="e">
        <f>+BI37/(収支計画!AC47/1000)</f>
        <v>#DIV/0!</v>
      </c>
      <c r="BK37" s="320">
        <f>+PL推移!V36-収支計画!AE47/1000</f>
        <v>0</v>
      </c>
      <c r="BL37" s="321" t="e">
        <f>+BK37/(収支計画!AE47/1000)</f>
        <v>#DIV/0!</v>
      </c>
      <c r="BM37" s="322">
        <f>+PL推移!X36-収支計画!AG47/1000</f>
        <v>0</v>
      </c>
      <c r="BN37" s="319" t="e">
        <f>+BM37/(収支計画!AG47/1000)</f>
        <v>#DIV/0!</v>
      </c>
      <c r="BO37" s="320">
        <f>+PL推移!Z36-収支計画!AI47/1000</f>
        <v>0</v>
      </c>
      <c r="BP37" s="321" t="e">
        <f>+BO37/(収支計画!AI47/1000)</f>
        <v>#DIV/0!</v>
      </c>
    </row>
    <row r="38" spans="2:68">
      <c r="B38" s="5" t="s">
        <v>237</v>
      </c>
      <c r="C38" s="318">
        <f>+収支計画!G42/1000</f>
        <v>1295.6610000000001</v>
      </c>
      <c r="D38" s="486">
        <f>+PL推移!D37</f>
        <v>1295.6610000000001</v>
      </c>
      <c r="E38" s="383">
        <f t="shared" si="101"/>
        <v>0</v>
      </c>
      <c r="F38" s="363">
        <f t="shared" si="9"/>
        <v>1</v>
      </c>
      <c r="G38" s="320">
        <f>+収支計画!K48/1000</f>
        <v>1</v>
      </c>
      <c r="H38" s="393">
        <f>+PL推移!F37</f>
        <v>0</v>
      </c>
      <c r="I38" s="383">
        <f t="shared" si="102"/>
        <v>-1</v>
      </c>
      <c r="J38" s="403">
        <f t="shared" si="10"/>
        <v>0</v>
      </c>
      <c r="K38" s="320">
        <f>+収支計画!O48/1000</f>
        <v>1</v>
      </c>
      <c r="L38" s="393">
        <f>+PL推移!H37</f>
        <v>0</v>
      </c>
      <c r="M38" s="383">
        <f t="shared" si="103"/>
        <v>-1</v>
      </c>
      <c r="N38" s="363">
        <f t="shared" si="11"/>
        <v>0</v>
      </c>
      <c r="O38" s="320">
        <f>+収支計画!S48/1000</f>
        <v>1</v>
      </c>
      <c r="P38" s="393">
        <f>+PL推移!J37</f>
        <v>0</v>
      </c>
      <c r="Q38" s="383">
        <f t="shared" si="104"/>
        <v>-1</v>
      </c>
      <c r="R38" s="363">
        <f t="shared" si="12"/>
        <v>0</v>
      </c>
      <c r="S38" s="320">
        <f>+収支計画!U48/1000</f>
        <v>0</v>
      </c>
      <c r="T38" s="393">
        <f>+PL推移!L37</f>
        <v>0</v>
      </c>
      <c r="U38" s="383">
        <f t="shared" si="105"/>
        <v>0</v>
      </c>
      <c r="V38" s="363" t="str">
        <f t="shared" si="13"/>
        <v>-</v>
      </c>
      <c r="W38" s="320">
        <f>+収支計画!W48/1000</f>
        <v>0</v>
      </c>
      <c r="X38" s="393">
        <f>+PL推移!N37</f>
        <v>0</v>
      </c>
      <c r="Y38" s="383">
        <f t="shared" si="106"/>
        <v>0</v>
      </c>
      <c r="Z38" s="363" t="str">
        <f t="shared" si="14"/>
        <v>-</v>
      </c>
      <c r="AA38" s="320">
        <f>+収支計画!Y48/1000</f>
        <v>0</v>
      </c>
      <c r="AB38" s="393">
        <f>+PL推移!P37</f>
        <v>0</v>
      </c>
      <c r="AC38" s="383">
        <f t="shared" si="107"/>
        <v>0</v>
      </c>
      <c r="AD38" s="363" t="str">
        <f t="shared" si="15"/>
        <v>-</v>
      </c>
      <c r="AE38" s="320">
        <f>+収支計画!AA48/1000</f>
        <v>0</v>
      </c>
      <c r="AF38" s="393">
        <f>+PL推移!R37</f>
        <v>0</v>
      </c>
      <c r="AG38" s="383">
        <f t="shared" si="108"/>
        <v>0</v>
      </c>
      <c r="AH38" s="363" t="str">
        <f t="shared" si="16"/>
        <v>-</v>
      </c>
      <c r="AI38" s="320">
        <f>+収支計画!AC48/1000</f>
        <v>0</v>
      </c>
      <c r="AJ38" s="393">
        <f>+PL推移!T37</f>
        <v>0</v>
      </c>
      <c r="AK38" s="383">
        <f t="shared" si="109"/>
        <v>0</v>
      </c>
      <c r="AL38" s="403" t="str">
        <f t="shared" si="17"/>
        <v>-</v>
      </c>
      <c r="AM38" s="320">
        <f>+収支計画!AG48/1000</f>
        <v>0</v>
      </c>
      <c r="AN38" s="393">
        <f>+PL推移!V37</f>
        <v>0</v>
      </c>
      <c r="AO38" s="383">
        <f t="shared" si="18"/>
        <v>0</v>
      </c>
      <c r="AP38" s="403" t="str">
        <f t="shared" si="19"/>
        <v>-</v>
      </c>
      <c r="AQ38" s="320">
        <f>+収支計画!AG48/1000</f>
        <v>0</v>
      </c>
      <c r="AR38" s="393">
        <f>+PL推移!X37</f>
        <v>0</v>
      </c>
      <c r="AS38" s="383">
        <f t="shared" si="20"/>
        <v>0</v>
      </c>
      <c r="AT38" s="403" t="str">
        <f t="shared" si="21"/>
        <v>-</v>
      </c>
      <c r="AU38" s="320">
        <f>+収支計画!AI48/1000</f>
        <v>0</v>
      </c>
      <c r="AV38" s="393">
        <f>+PL推移!Z37</f>
        <v>0</v>
      </c>
      <c r="AW38" s="383">
        <f t="shared" si="22"/>
        <v>0</v>
      </c>
      <c r="AX38" s="403" t="str">
        <f t="shared" si="23"/>
        <v>-</v>
      </c>
      <c r="AY38" s="318">
        <f t="shared" si="24"/>
        <v>1298.6610000000001</v>
      </c>
      <c r="AZ38" s="393">
        <f t="shared" si="25"/>
        <v>1295.6610000000001</v>
      </c>
      <c r="BA38" s="383">
        <f t="shared" si="26"/>
        <v>-3</v>
      </c>
      <c r="BB38" s="373">
        <f t="shared" si="27"/>
        <v>0.99768992831847569</v>
      </c>
      <c r="BC38" s="320">
        <f>+PL推移!N37-収支計画!W48/1000</f>
        <v>0</v>
      </c>
      <c r="BD38" s="321" t="e">
        <f>+BC38/(収支計画!W48/1000)</f>
        <v>#DIV/0!</v>
      </c>
      <c r="BE38" s="322">
        <f>+PL推移!P37-収支計画!Y48/1000</f>
        <v>0</v>
      </c>
      <c r="BF38" s="319" t="e">
        <f>+BE38/(収支計画!Y48/1000)</f>
        <v>#DIV/0!</v>
      </c>
      <c r="BG38" s="320">
        <f>+PL推移!R37-収支計画!AA48/1000</f>
        <v>0</v>
      </c>
      <c r="BH38" s="321" t="e">
        <f>+BG38/(収支計画!AA48/1000)</f>
        <v>#DIV/0!</v>
      </c>
      <c r="BI38" s="322">
        <f>+PL推移!T37-収支計画!AC48/1000</f>
        <v>0</v>
      </c>
      <c r="BJ38" s="319" t="e">
        <f>+BI38/(収支計画!AC48/1000)</f>
        <v>#DIV/0!</v>
      </c>
      <c r="BK38" s="320">
        <f>+PL推移!V37-収支計画!AE48/1000</f>
        <v>0</v>
      </c>
      <c r="BL38" s="321" t="e">
        <f>+BK38/(収支計画!AE48/1000)</f>
        <v>#DIV/0!</v>
      </c>
      <c r="BM38" s="322">
        <f>+PL推移!X37-収支計画!AG48/1000</f>
        <v>0</v>
      </c>
      <c r="BN38" s="319" t="e">
        <f>+BM38/(収支計画!AG48/1000)</f>
        <v>#DIV/0!</v>
      </c>
      <c r="BO38" s="320">
        <f>+PL推移!Z37-収支計画!AI48/1000</f>
        <v>0</v>
      </c>
      <c r="BP38" s="321" t="e">
        <f>+BO38/(収支計画!AI48/1000)</f>
        <v>#DIV/0!</v>
      </c>
    </row>
    <row r="39" spans="2:68">
      <c r="B39" s="5" t="s">
        <v>238</v>
      </c>
      <c r="C39" s="318">
        <f>+収支計画!G43/1000</f>
        <v>49.7</v>
      </c>
      <c r="D39" s="486">
        <f>+PL推移!D38</f>
        <v>49.7</v>
      </c>
      <c r="E39" s="383">
        <f t="shared" si="101"/>
        <v>0</v>
      </c>
      <c r="F39" s="363">
        <f t="shared" si="9"/>
        <v>1</v>
      </c>
      <c r="G39" s="320">
        <f>+収支計画!K49/1000</f>
        <v>165</v>
      </c>
      <c r="H39" s="393">
        <f>+PL推移!F38</f>
        <v>0</v>
      </c>
      <c r="I39" s="383">
        <f t="shared" si="102"/>
        <v>-165</v>
      </c>
      <c r="J39" s="403">
        <f t="shared" si="10"/>
        <v>0</v>
      </c>
      <c r="K39" s="320">
        <f>+収支計画!O49/1000</f>
        <v>165</v>
      </c>
      <c r="L39" s="393">
        <f>+PL推移!H38</f>
        <v>0</v>
      </c>
      <c r="M39" s="383">
        <f t="shared" si="103"/>
        <v>-165</v>
      </c>
      <c r="N39" s="363">
        <f t="shared" si="11"/>
        <v>0</v>
      </c>
      <c r="O39" s="320">
        <f>+収支計画!S49/1000</f>
        <v>165</v>
      </c>
      <c r="P39" s="393">
        <f>+PL推移!J38</f>
        <v>0</v>
      </c>
      <c r="Q39" s="383">
        <f t="shared" si="104"/>
        <v>-165</v>
      </c>
      <c r="R39" s="363">
        <f t="shared" si="12"/>
        <v>0</v>
      </c>
      <c r="S39" s="320">
        <f>+収支計画!U49/1000</f>
        <v>0</v>
      </c>
      <c r="T39" s="393">
        <f>+PL推移!L38</f>
        <v>0</v>
      </c>
      <c r="U39" s="383">
        <f t="shared" si="105"/>
        <v>0</v>
      </c>
      <c r="V39" s="363" t="str">
        <f t="shared" si="13"/>
        <v>-</v>
      </c>
      <c r="W39" s="320">
        <f>+収支計画!W49/1000</f>
        <v>0</v>
      </c>
      <c r="X39" s="393">
        <f>+PL推移!N38</f>
        <v>0</v>
      </c>
      <c r="Y39" s="383">
        <f t="shared" si="106"/>
        <v>0</v>
      </c>
      <c r="Z39" s="363" t="str">
        <f t="shared" si="14"/>
        <v>-</v>
      </c>
      <c r="AA39" s="320">
        <f>+収支計画!Y49/1000</f>
        <v>0</v>
      </c>
      <c r="AB39" s="393">
        <f>+PL推移!P38</f>
        <v>0</v>
      </c>
      <c r="AC39" s="383">
        <f t="shared" si="107"/>
        <v>0</v>
      </c>
      <c r="AD39" s="363" t="str">
        <f t="shared" si="15"/>
        <v>-</v>
      </c>
      <c r="AE39" s="320">
        <f>+収支計画!AA49/1000</f>
        <v>0</v>
      </c>
      <c r="AF39" s="393">
        <f>+PL推移!R38</f>
        <v>0</v>
      </c>
      <c r="AG39" s="383">
        <f t="shared" si="108"/>
        <v>0</v>
      </c>
      <c r="AH39" s="363" t="str">
        <f t="shared" si="16"/>
        <v>-</v>
      </c>
      <c r="AI39" s="320">
        <f>+収支計画!AC49/1000</f>
        <v>0</v>
      </c>
      <c r="AJ39" s="393">
        <f>+PL推移!T38</f>
        <v>0</v>
      </c>
      <c r="AK39" s="383">
        <f t="shared" si="109"/>
        <v>0</v>
      </c>
      <c r="AL39" s="403" t="str">
        <f t="shared" si="17"/>
        <v>-</v>
      </c>
      <c r="AM39" s="320">
        <f>+収支計画!AG49/1000</f>
        <v>0</v>
      </c>
      <c r="AN39" s="393">
        <f>+PL推移!V38</f>
        <v>0</v>
      </c>
      <c r="AO39" s="383">
        <f t="shared" si="18"/>
        <v>0</v>
      </c>
      <c r="AP39" s="403" t="str">
        <f t="shared" si="19"/>
        <v>-</v>
      </c>
      <c r="AQ39" s="320">
        <f>+収支計画!AG49/1000</f>
        <v>0</v>
      </c>
      <c r="AR39" s="393">
        <f>+PL推移!X38</f>
        <v>0</v>
      </c>
      <c r="AS39" s="383">
        <f t="shared" si="20"/>
        <v>0</v>
      </c>
      <c r="AT39" s="403" t="str">
        <f t="shared" si="21"/>
        <v>-</v>
      </c>
      <c r="AU39" s="320">
        <f>+収支計画!AI49/1000</f>
        <v>0</v>
      </c>
      <c r="AV39" s="393">
        <f>+PL推移!Z38</f>
        <v>0</v>
      </c>
      <c r="AW39" s="383">
        <f t="shared" si="22"/>
        <v>0</v>
      </c>
      <c r="AX39" s="403" t="str">
        <f t="shared" si="23"/>
        <v>-</v>
      </c>
      <c r="AY39" s="318">
        <f t="shared" si="24"/>
        <v>544.70000000000005</v>
      </c>
      <c r="AZ39" s="393">
        <f t="shared" si="25"/>
        <v>49.7</v>
      </c>
      <c r="BA39" s="383">
        <f t="shared" si="26"/>
        <v>-495.00000000000006</v>
      </c>
      <c r="BB39" s="373">
        <f t="shared" si="27"/>
        <v>9.124288599228933E-2</v>
      </c>
      <c r="BC39" s="320">
        <f>+PL推移!N38-収支計画!W49/1000</f>
        <v>0</v>
      </c>
      <c r="BD39" s="321" t="e">
        <f>+BC39/(収支計画!W49/1000)</f>
        <v>#DIV/0!</v>
      </c>
      <c r="BE39" s="322">
        <f>+PL推移!P38-収支計画!Y49/1000</f>
        <v>0</v>
      </c>
      <c r="BF39" s="319" t="e">
        <f>+BE39/(収支計画!Y49/1000)</f>
        <v>#DIV/0!</v>
      </c>
      <c r="BG39" s="320">
        <f>+PL推移!R38-収支計画!AA49/1000</f>
        <v>0</v>
      </c>
      <c r="BH39" s="321" t="e">
        <f>+BG39/(収支計画!AA49/1000)</f>
        <v>#DIV/0!</v>
      </c>
      <c r="BI39" s="322">
        <f>+PL推移!T38-収支計画!AC49/1000</f>
        <v>0</v>
      </c>
      <c r="BJ39" s="319" t="e">
        <f>+BI39/(収支計画!AC49/1000)</f>
        <v>#DIV/0!</v>
      </c>
      <c r="BK39" s="320">
        <f>+PL推移!V38-収支計画!AE49/1000</f>
        <v>0</v>
      </c>
      <c r="BL39" s="321" t="e">
        <f>+BK39/(収支計画!AE49/1000)</f>
        <v>#DIV/0!</v>
      </c>
      <c r="BM39" s="322">
        <f>+PL推移!X38-収支計画!AG49/1000</f>
        <v>0</v>
      </c>
      <c r="BN39" s="319" t="e">
        <f>+BM39/(収支計画!AG49/1000)</f>
        <v>#DIV/0!</v>
      </c>
      <c r="BO39" s="320">
        <f>+PL推移!Z38-収支計画!AI49/1000</f>
        <v>0</v>
      </c>
      <c r="BP39" s="321" t="e">
        <f>+BO39/(収支計画!AI49/1000)</f>
        <v>#DIV/0!</v>
      </c>
    </row>
    <row r="40" spans="2:68">
      <c r="B40" s="5" t="s">
        <v>239</v>
      </c>
      <c r="C40" s="318">
        <f>+収支計画!G44/1000</f>
        <v>10</v>
      </c>
      <c r="D40" s="486">
        <f>+PL推移!D39</f>
        <v>0</v>
      </c>
      <c r="E40" s="383">
        <f t="shared" si="101"/>
        <v>-10</v>
      </c>
      <c r="F40" s="363">
        <f t="shared" si="9"/>
        <v>0</v>
      </c>
      <c r="G40" s="320">
        <f>+収支計画!K50/1000</f>
        <v>292.5</v>
      </c>
      <c r="H40" s="393">
        <f>+PL推移!F39</f>
        <v>0</v>
      </c>
      <c r="I40" s="383">
        <f t="shared" si="102"/>
        <v>-292.5</v>
      </c>
      <c r="J40" s="403">
        <f t="shared" si="10"/>
        <v>0</v>
      </c>
      <c r="K40" s="320">
        <f>+収支計画!O50/1000</f>
        <v>324</v>
      </c>
      <c r="L40" s="393">
        <f>+PL推移!H39</f>
        <v>0</v>
      </c>
      <c r="M40" s="383">
        <f t="shared" si="103"/>
        <v>-324</v>
      </c>
      <c r="N40" s="363">
        <f t="shared" si="11"/>
        <v>0</v>
      </c>
      <c r="O40" s="320">
        <f>+収支計画!S50/1000</f>
        <v>331.5</v>
      </c>
      <c r="P40" s="393">
        <f>+PL推移!J39</f>
        <v>0</v>
      </c>
      <c r="Q40" s="383">
        <f t="shared" si="104"/>
        <v>-331.5</v>
      </c>
      <c r="R40" s="363">
        <f t="shared" si="12"/>
        <v>0</v>
      </c>
      <c r="S40" s="320">
        <f>+収支計画!U50/1000</f>
        <v>0</v>
      </c>
      <c r="T40" s="393">
        <f>+PL推移!L39</f>
        <v>0</v>
      </c>
      <c r="U40" s="383">
        <f t="shared" si="105"/>
        <v>0</v>
      </c>
      <c r="V40" s="363" t="str">
        <f t="shared" si="13"/>
        <v>-</v>
      </c>
      <c r="W40" s="320">
        <f>+収支計画!W50/1000</f>
        <v>0</v>
      </c>
      <c r="X40" s="393">
        <f>+PL推移!N39</f>
        <v>0</v>
      </c>
      <c r="Y40" s="383">
        <f t="shared" si="106"/>
        <v>0</v>
      </c>
      <c r="Z40" s="363" t="str">
        <f t="shared" si="14"/>
        <v>-</v>
      </c>
      <c r="AA40" s="320">
        <f>+収支計画!Y50/1000</f>
        <v>0</v>
      </c>
      <c r="AB40" s="393">
        <f>+PL推移!P39</f>
        <v>0</v>
      </c>
      <c r="AC40" s="383">
        <f t="shared" si="107"/>
        <v>0</v>
      </c>
      <c r="AD40" s="363" t="str">
        <f t="shared" si="15"/>
        <v>-</v>
      </c>
      <c r="AE40" s="320">
        <f>+収支計画!AA50/1000</f>
        <v>0</v>
      </c>
      <c r="AF40" s="393">
        <f>+PL推移!R39</f>
        <v>0</v>
      </c>
      <c r="AG40" s="383">
        <f t="shared" si="108"/>
        <v>0</v>
      </c>
      <c r="AH40" s="363" t="str">
        <f t="shared" si="16"/>
        <v>-</v>
      </c>
      <c r="AI40" s="320">
        <f>+収支計画!AC50/1000</f>
        <v>0</v>
      </c>
      <c r="AJ40" s="393">
        <f>+PL推移!T39</f>
        <v>0</v>
      </c>
      <c r="AK40" s="383">
        <f t="shared" si="109"/>
        <v>0</v>
      </c>
      <c r="AL40" s="403" t="str">
        <f t="shared" si="17"/>
        <v>-</v>
      </c>
      <c r="AM40" s="320">
        <f>+収支計画!AG50/1000</f>
        <v>0</v>
      </c>
      <c r="AN40" s="393">
        <f>+PL推移!V39</f>
        <v>0</v>
      </c>
      <c r="AO40" s="383">
        <f t="shared" si="18"/>
        <v>0</v>
      </c>
      <c r="AP40" s="403" t="str">
        <f t="shared" si="19"/>
        <v>-</v>
      </c>
      <c r="AQ40" s="320">
        <f>+収支計画!AG50/1000</f>
        <v>0</v>
      </c>
      <c r="AR40" s="393">
        <f>+PL推移!X39</f>
        <v>0</v>
      </c>
      <c r="AS40" s="383">
        <f t="shared" si="20"/>
        <v>0</v>
      </c>
      <c r="AT40" s="403" t="str">
        <f t="shared" si="21"/>
        <v>-</v>
      </c>
      <c r="AU40" s="320">
        <f>+収支計画!AI50/1000</f>
        <v>0</v>
      </c>
      <c r="AV40" s="393">
        <f>+PL推移!Z39</f>
        <v>0</v>
      </c>
      <c r="AW40" s="383">
        <f t="shared" si="22"/>
        <v>0</v>
      </c>
      <c r="AX40" s="403" t="str">
        <f t="shared" si="23"/>
        <v>-</v>
      </c>
      <c r="AY40" s="318">
        <f t="shared" si="24"/>
        <v>958</v>
      </c>
      <c r="AZ40" s="393">
        <f t="shared" si="25"/>
        <v>0</v>
      </c>
      <c r="BA40" s="383">
        <f t="shared" si="26"/>
        <v>-958</v>
      </c>
      <c r="BB40" s="373">
        <f t="shared" si="27"/>
        <v>0</v>
      </c>
      <c r="BC40" s="320">
        <f>+PL推移!N39-収支計画!W50/1000</f>
        <v>0</v>
      </c>
      <c r="BD40" s="321" t="e">
        <f>+BC40/(収支計画!W50/1000)</f>
        <v>#DIV/0!</v>
      </c>
      <c r="BE40" s="322">
        <f>+PL推移!P39-収支計画!Y50/1000</f>
        <v>0</v>
      </c>
      <c r="BF40" s="319" t="e">
        <f>+BE40/(収支計画!Y50/1000)</f>
        <v>#DIV/0!</v>
      </c>
      <c r="BG40" s="320">
        <f>+PL推移!R39-収支計画!AA50/1000</f>
        <v>0</v>
      </c>
      <c r="BH40" s="321" t="e">
        <f>+BG40/(収支計画!AA50/1000)</f>
        <v>#DIV/0!</v>
      </c>
      <c r="BI40" s="322">
        <f>+PL推移!T39-収支計画!AC50/1000</f>
        <v>0</v>
      </c>
      <c r="BJ40" s="319" t="e">
        <f>+BI40/(収支計画!AC50/1000)</f>
        <v>#DIV/0!</v>
      </c>
      <c r="BK40" s="320">
        <f>+PL推移!V39-収支計画!AE50/1000</f>
        <v>0</v>
      </c>
      <c r="BL40" s="321" t="e">
        <f>+BK40/(収支計画!AE50/1000)</f>
        <v>#DIV/0!</v>
      </c>
      <c r="BM40" s="322">
        <f>+PL推移!X39-収支計画!AG50/1000</f>
        <v>0</v>
      </c>
      <c r="BN40" s="319" t="e">
        <f>+BM40/(収支計画!AG50/1000)</f>
        <v>#DIV/0!</v>
      </c>
      <c r="BO40" s="320">
        <f>+PL推移!Z39-収支計画!AI50/1000</f>
        <v>0</v>
      </c>
      <c r="BP40" s="321" t="e">
        <f>+BO40/(収支計画!AI50/1000)</f>
        <v>#DIV/0!</v>
      </c>
    </row>
    <row r="41" spans="2:68">
      <c r="B41" s="5" t="s">
        <v>240</v>
      </c>
      <c r="C41" s="318">
        <f>+収支計画!G45/1000</f>
        <v>22.215</v>
      </c>
      <c r="D41" s="486">
        <f>+PL推移!D40</f>
        <v>28.375</v>
      </c>
      <c r="E41" s="383">
        <f t="shared" si="101"/>
        <v>6.16</v>
      </c>
      <c r="F41" s="363">
        <f t="shared" si="9"/>
        <v>1.2772901192887689</v>
      </c>
      <c r="G41" s="320">
        <f>+収支計画!K51/1000</f>
        <v>0</v>
      </c>
      <c r="H41" s="393">
        <f>+PL推移!F40</f>
        <v>0</v>
      </c>
      <c r="I41" s="383">
        <f t="shared" si="102"/>
        <v>0</v>
      </c>
      <c r="J41" s="403" t="str">
        <f t="shared" si="10"/>
        <v>-</v>
      </c>
      <c r="K41" s="320">
        <f>+収支計画!O51/1000</f>
        <v>0</v>
      </c>
      <c r="L41" s="393">
        <f>+PL推移!H40</f>
        <v>0</v>
      </c>
      <c r="M41" s="383">
        <f t="shared" si="103"/>
        <v>0</v>
      </c>
      <c r="N41" s="363" t="str">
        <f t="shared" si="11"/>
        <v>-</v>
      </c>
      <c r="O41" s="320">
        <f>+収支計画!S51/1000</f>
        <v>5</v>
      </c>
      <c r="P41" s="393">
        <f>+PL推移!J40</f>
        <v>0</v>
      </c>
      <c r="Q41" s="383">
        <f t="shared" si="104"/>
        <v>-5</v>
      </c>
      <c r="R41" s="363">
        <f t="shared" si="12"/>
        <v>0</v>
      </c>
      <c r="S41" s="320">
        <f>+収支計画!U51/1000</f>
        <v>0</v>
      </c>
      <c r="T41" s="393">
        <f>+PL推移!L40</f>
        <v>0</v>
      </c>
      <c r="U41" s="383">
        <f t="shared" si="105"/>
        <v>0</v>
      </c>
      <c r="V41" s="363" t="str">
        <f t="shared" si="13"/>
        <v>-</v>
      </c>
      <c r="W41" s="320">
        <f>+収支計画!W51/1000</f>
        <v>0</v>
      </c>
      <c r="X41" s="393">
        <f>+PL推移!N40</f>
        <v>0</v>
      </c>
      <c r="Y41" s="383">
        <f t="shared" si="106"/>
        <v>0</v>
      </c>
      <c r="Z41" s="363" t="str">
        <f t="shared" si="14"/>
        <v>-</v>
      </c>
      <c r="AA41" s="320">
        <f>+収支計画!Y51/1000</f>
        <v>0</v>
      </c>
      <c r="AB41" s="393">
        <f>+PL推移!P40</f>
        <v>0</v>
      </c>
      <c r="AC41" s="383">
        <f t="shared" si="107"/>
        <v>0</v>
      </c>
      <c r="AD41" s="363" t="str">
        <f t="shared" si="15"/>
        <v>-</v>
      </c>
      <c r="AE41" s="320">
        <f>+収支計画!AA51/1000</f>
        <v>0</v>
      </c>
      <c r="AF41" s="393">
        <f>+PL推移!R40</f>
        <v>0</v>
      </c>
      <c r="AG41" s="383">
        <f t="shared" si="108"/>
        <v>0</v>
      </c>
      <c r="AH41" s="363" t="str">
        <f t="shared" si="16"/>
        <v>-</v>
      </c>
      <c r="AI41" s="320">
        <f>+収支計画!AC51/1000</f>
        <v>0</v>
      </c>
      <c r="AJ41" s="393">
        <f>+PL推移!T40</f>
        <v>0</v>
      </c>
      <c r="AK41" s="383">
        <f t="shared" si="109"/>
        <v>0</v>
      </c>
      <c r="AL41" s="403" t="str">
        <f t="shared" si="17"/>
        <v>-</v>
      </c>
      <c r="AM41" s="320">
        <f>+収支計画!AG51/1000</f>
        <v>0</v>
      </c>
      <c r="AN41" s="393">
        <f>+PL推移!V40</f>
        <v>0</v>
      </c>
      <c r="AO41" s="383">
        <f t="shared" si="18"/>
        <v>0</v>
      </c>
      <c r="AP41" s="403" t="str">
        <f t="shared" si="19"/>
        <v>-</v>
      </c>
      <c r="AQ41" s="320">
        <f>+収支計画!AG51/1000</f>
        <v>0</v>
      </c>
      <c r="AR41" s="393">
        <f>+PL推移!X40</f>
        <v>0</v>
      </c>
      <c r="AS41" s="383">
        <f t="shared" si="20"/>
        <v>0</v>
      </c>
      <c r="AT41" s="403" t="str">
        <f t="shared" si="21"/>
        <v>-</v>
      </c>
      <c r="AU41" s="320">
        <f>+収支計画!AI51/1000</f>
        <v>0</v>
      </c>
      <c r="AV41" s="393">
        <f>+PL推移!Z40</f>
        <v>0</v>
      </c>
      <c r="AW41" s="383">
        <f t="shared" si="22"/>
        <v>0</v>
      </c>
      <c r="AX41" s="403" t="str">
        <f t="shared" si="23"/>
        <v>-</v>
      </c>
      <c r="AY41" s="318">
        <f t="shared" si="24"/>
        <v>27.215</v>
      </c>
      <c r="AZ41" s="393">
        <f t="shared" si="25"/>
        <v>28.375</v>
      </c>
      <c r="BA41" s="383">
        <f t="shared" si="26"/>
        <v>1.1600000000000001</v>
      </c>
      <c r="BB41" s="373">
        <f t="shared" si="27"/>
        <v>1.0426235531875805</v>
      </c>
      <c r="BC41" s="320">
        <f>+PL推移!N40-収支計画!W51/1000</f>
        <v>0</v>
      </c>
      <c r="BD41" s="321" t="e">
        <f>+BC41/(収支計画!W51/1000)</f>
        <v>#DIV/0!</v>
      </c>
      <c r="BE41" s="322">
        <f>+PL推移!P40-収支計画!Y51/1000</f>
        <v>0</v>
      </c>
      <c r="BF41" s="319" t="e">
        <f>+BE41/(収支計画!Y51/1000)</f>
        <v>#DIV/0!</v>
      </c>
      <c r="BG41" s="320">
        <f>+PL推移!R40-収支計画!AA51/1000</f>
        <v>0</v>
      </c>
      <c r="BH41" s="321" t="e">
        <f>+BG41/(収支計画!AA51/1000)</f>
        <v>#DIV/0!</v>
      </c>
      <c r="BI41" s="322">
        <f>+PL推移!T40-収支計画!AC51/1000</f>
        <v>0</v>
      </c>
      <c r="BJ41" s="319" t="e">
        <f>+BI41/(収支計画!AC51/1000)</f>
        <v>#DIV/0!</v>
      </c>
      <c r="BK41" s="320">
        <f>+PL推移!V40-収支計画!AE51/1000</f>
        <v>0</v>
      </c>
      <c r="BL41" s="321" t="e">
        <f>+BK41/(収支計画!AE51/1000)</f>
        <v>#DIV/0!</v>
      </c>
      <c r="BM41" s="322">
        <f>+PL推移!X40-収支計画!AG51/1000</f>
        <v>0</v>
      </c>
      <c r="BN41" s="319" t="e">
        <f>+BM41/(収支計画!AG51/1000)</f>
        <v>#DIV/0!</v>
      </c>
      <c r="BO41" s="320">
        <f>+PL推移!Z40-収支計画!AI51/1000</f>
        <v>0</v>
      </c>
      <c r="BP41" s="321" t="e">
        <f>+BO41/(収支計画!AI51/1000)</f>
        <v>#DIV/0!</v>
      </c>
    </row>
    <row r="42" spans="2:68">
      <c r="B42" s="5" t="s">
        <v>241</v>
      </c>
      <c r="C42" s="318">
        <f>+収支計画!G46/1000</f>
        <v>660</v>
      </c>
      <c r="D42" s="486">
        <f>+PL推移!D41</f>
        <v>659.46799999999996</v>
      </c>
      <c r="E42" s="383">
        <f t="shared" si="101"/>
        <v>-0.53200000000003911</v>
      </c>
      <c r="F42" s="363">
        <f t="shared" si="9"/>
        <v>0.9991939393939393</v>
      </c>
      <c r="G42" s="320">
        <f>+収支計画!K52/1000</f>
        <v>110</v>
      </c>
      <c r="H42" s="393">
        <f>+PL推移!F41</f>
        <v>0</v>
      </c>
      <c r="I42" s="383">
        <f t="shared" si="102"/>
        <v>-110</v>
      </c>
      <c r="J42" s="403">
        <f t="shared" si="10"/>
        <v>0</v>
      </c>
      <c r="K42" s="320">
        <f>+収支計画!O52/1000</f>
        <v>70</v>
      </c>
      <c r="L42" s="393">
        <f>+PL推移!H41</f>
        <v>0</v>
      </c>
      <c r="M42" s="383">
        <f t="shared" si="103"/>
        <v>-70</v>
      </c>
      <c r="N42" s="363">
        <f t="shared" si="11"/>
        <v>0</v>
      </c>
      <c r="O42" s="320">
        <f>+収支計画!S52/1000</f>
        <v>70</v>
      </c>
      <c r="P42" s="393">
        <f>+PL推移!J41</f>
        <v>0</v>
      </c>
      <c r="Q42" s="383">
        <f t="shared" si="104"/>
        <v>-70</v>
      </c>
      <c r="R42" s="363">
        <f t="shared" si="12"/>
        <v>0</v>
      </c>
      <c r="S42" s="320">
        <f>+収支計画!U52/1000</f>
        <v>0</v>
      </c>
      <c r="T42" s="393">
        <f>+PL推移!L41</f>
        <v>0</v>
      </c>
      <c r="U42" s="383">
        <f t="shared" si="105"/>
        <v>0</v>
      </c>
      <c r="V42" s="363" t="str">
        <f t="shared" si="13"/>
        <v>-</v>
      </c>
      <c r="W42" s="320">
        <f>+収支計画!W52/1000</f>
        <v>0</v>
      </c>
      <c r="X42" s="393">
        <f>+PL推移!N41</f>
        <v>0</v>
      </c>
      <c r="Y42" s="383">
        <f t="shared" si="106"/>
        <v>0</v>
      </c>
      <c r="Z42" s="363" t="str">
        <f t="shared" si="14"/>
        <v>-</v>
      </c>
      <c r="AA42" s="320">
        <f>+収支計画!Y52/1000</f>
        <v>0</v>
      </c>
      <c r="AB42" s="393">
        <f>+PL推移!P41</f>
        <v>0</v>
      </c>
      <c r="AC42" s="432">
        <f t="shared" si="107"/>
        <v>0</v>
      </c>
      <c r="AD42" s="363" t="str">
        <f t="shared" si="15"/>
        <v>-</v>
      </c>
      <c r="AE42" s="320">
        <f>+収支計画!AA52/1000</f>
        <v>0</v>
      </c>
      <c r="AF42" s="393">
        <f>+PL推移!R41</f>
        <v>0</v>
      </c>
      <c r="AG42" s="432">
        <f t="shared" si="108"/>
        <v>0</v>
      </c>
      <c r="AH42" s="363" t="str">
        <f t="shared" si="16"/>
        <v>-</v>
      </c>
      <c r="AI42" s="320">
        <f>+収支計画!AC52/1000</f>
        <v>0</v>
      </c>
      <c r="AJ42" s="393">
        <f>+PL推移!T41</f>
        <v>0</v>
      </c>
      <c r="AK42" s="432">
        <f t="shared" si="109"/>
        <v>0</v>
      </c>
      <c r="AL42" s="403" t="str">
        <f t="shared" si="17"/>
        <v>-</v>
      </c>
      <c r="AM42" s="320">
        <f>+収支計画!AG52/1000</f>
        <v>0</v>
      </c>
      <c r="AN42" s="393">
        <f>+PL推移!V41</f>
        <v>0</v>
      </c>
      <c r="AO42" s="432">
        <f t="shared" si="18"/>
        <v>0</v>
      </c>
      <c r="AP42" s="403" t="str">
        <f t="shared" si="19"/>
        <v>-</v>
      </c>
      <c r="AQ42" s="320">
        <f>+収支計画!AG52/1000</f>
        <v>0</v>
      </c>
      <c r="AR42" s="393">
        <f>+PL推移!X41</f>
        <v>0</v>
      </c>
      <c r="AS42" s="432">
        <f t="shared" si="20"/>
        <v>0</v>
      </c>
      <c r="AT42" s="403" t="str">
        <f t="shared" si="21"/>
        <v>-</v>
      </c>
      <c r="AU42" s="320">
        <f>+収支計画!AI52/1000</f>
        <v>0</v>
      </c>
      <c r="AV42" s="393">
        <f>+PL推移!Z41</f>
        <v>0</v>
      </c>
      <c r="AW42" s="432">
        <f t="shared" si="22"/>
        <v>0</v>
      </c>
      <c r="AX42" s="403" t="str">
        <f t="shared" si="23"/>
        <v>-</v>
      </c>
      <c r="AY42" s="318">
        <f t="shared" si="24"/>
        <v>910</v>
      </c>
      <c r="AZ42" s="393">
        <f t="shared" si="25"/>
        <v>659.46799999999996</v>
      </c>
      <c r="BA42" s="383">
        <f t="shared" si="26"/>
        <v>-250.53200000000004</v>
      </c>
      <c r="BB42" s="373">
        <f t="shared" si="27"/>
        <v>0.72469010989010985</v>
      </c>
      <c r="BC42" s="320">
        <f>+PL推移!N41-収支計画!W52/1000</f>
        <v>0</v>
      </c>
      <c r="BD42" s="321" t="e">
        <f>+BC42/(収支計画!W52/1000)</f>
        <v>#DIV/0!</v>
      </c>
      <c r="BE42" s="322">
        <f>+PL推移!P41-収支計画!Y52/1000</f>
        <v>0</v>
      </c>
      <c r="BF42" s="319" t="e">
        <f>+BE42/(収支計画!Y52/1000)</f>
        <v>#DIV/0!</v>
      </c>
      <c r="BG42" s="320">
        <f>+PL推移!R41-収支計画!AA52/1000</f>
        <v>0</v>
      </c>
      <c r="BH42" s="321" t="e">
        <f>+BG42/(収支計画!AA52/1000)</f>
        <v>#DIV/0!</v>
      </c>
      <c r="BI42" s="322">
        <f>+PL推移!T41-収支計画!AC52/1000</f>
        <v>0</v>
      </c>
      <c r="BJ42" s="319" t="e">
        <f>+BI42/(収支計画!AC52/1000)</f>
        <v>#DIV/0!</v>
      </c>
      <c r="BK42" s="320">
        <f>+PL推移!V41-収支計画!AE52/1000</f>
        <v>0</v>
      </c>
      <c r="BL42" s="321" t="e">
        <f>+BK42/(収支計画!AE52/1000)</f>
        <v>#DIV/0!</v>
      </c>
      <c r="BM42" s="322">
        <f>+PL推移!X41-収支計画!AG52/1000</f>
        <v>0</v>
      </c>
      <c r="BN42" s="319" t="e">
        <f>+BM42/(収支計画!AG52/1000)</f>
        <v>#DIV/0!</v>
      </c>
      <c r="BO42" s="320">
        <f>+PL推移!Z41-収支計画!AI52/1000</f>
        <v>0</v>
      </c>
      <c r="BP42" s="321" t="e">
        <f>+BO42/(収支計画!AI52/1000)</f>
        <v>#DIV/0!</v>
      </c>
    </row>
    <row r="43" spans="2:68">
      <c r="B43" s="5" t="s">
        <v>242</v>
      </c>
      <c r="C43" s="318">
        <f>+収支計画!G47/1000</f>
        <v>200</v>
      </c>
      <c r="D43" s="486">
        <f>+PL推移!D42</f>
        <v>207.018</v>
      </c>
      <c r="E43" s="383">
        <f t="shared" si="101"/>
        <v>7.0180000000000007</v>
      </c>
      <c r="F43" s="363">
        <f t="shared" si="9"/>
        <v>1.0350900000000001</v>
      </c>
      <c r="G43" s="320">
        <f>+収支計画!K53/1000</f>
        <v>45</v>
      </c>
      <c r="H43" s="393">
        <f>+PL推移!F42</f>
        <v>0</v>
      </c>
      <c r="I43" s="383">
        <f t="shared" si="102"/>
        <v>-45</v>
      </c>
      <c r="J43" s="403">
        <f t="shared" si="10"/>
        <v>0</v>
      </c>
      <c r="K43" s="320">
        <f>+収支計画!O53/1000</f>
        <v>45</v>
      </c>
      <c r="L43" s="393">
        <f>+PL推移!H42</f>
        <v>0</v>
      </c>
      <c r="M43" s="383">
        <f t="shared" si="103"/>
        <v>-45</v>
      </c>
      <c r="N43" s="363">
        <f t="shared" si="11"/>
        <v>0</v>
      </c>
      <c r="O43" s="320">
        <f>+収支計画!S53/1000</f>
        <v>50</v>
      </c>
      <c r="P43" s="393">
        <f>+PL推移!J42</f>
        <v>0</v>
      </c>
      <c r="Q43" s="383">
        <f t="shared" si="104"/>
        <v>-50</v>
      </c>
      <c r="R43" s="363">
        <f t="shared" si="12"/>
        <v>0</v>
      </c>
      <c r="S43" s="320">
        <f>+収支計画!U53/1000</f>
        <v>0</v>
      </c>
      <c r="T43" s="393">
        <f>+PL推移!L42</f>
        <v>0</v>
      </c>
      <c r="U43" s="410">
        <f t="shared" si="105"/>
        <v>0</v>
      </c>
      <c r="V43" s="363" t="str">
        <f t="shared" si="13"/>
        <v>-</v>
      </c>
      <c r="W43" s="320">
        <f>+収支計画!W53/1000</f>
        <v>0</v>
      </c>
      <c r="X43" s="393">
        <f>+PL推移!N42</f>
        <v>0</v>
      </c>
      <c r="Y43" s="414">
        <f t="shared" si="106"/>
        <v>0</v>
      </c>
      <c r="Z43" s="363" t="str">
        <f t="shared" si="14"/>
        <v>-</v>
      </c>
      <c r="AA43" s="320">
        <f>+収支計画!Y53/1000</f>
        <v>0</v>
      </c>
      <c r="AB43" s="393">
        <f>+PL推移!P42</f>
        <v>0</v>
      </c>
      <c r="AC43" s="414">
        <f t="shared" si="107"/>
        <v>0</v>
      </c>
      <c r="AD43" s="363" t="str">
        <f t="shared" si="15"/>
        <v>-</v>
      </c>
      <c r="AE43" s="320">
        <f>+収支計画!AA53/1000</f>
        <v>0</v>
      </c>
      <c r="AF43" s="393">
        <f>+PL推移!R42</f>
        <v>0</v>
      </c>
      <c r="AG43" s="414">
        <f t="shared" si="108"/>
        <v>0</v>
      </c>
      <c r="AH43" s="363" t="str">
        <f t="shared" si="16"/>
        <v>-</v>
      </c>
      <c r="AI43" s="320">
        <f>+収支計画!AC53/1000</f>
        <v>0</v>
      </c>
      <c r="AJ43" s="393">
        <f>+PL推移!T42</f>
        <v>0</v>
      </c>
      <c r="AK43" s="414">
        <f t="shared" si="109"/>
        <v>0</v>
      </c>
      <c r="AL43" s="403" t="str">
        <f t="shared" si="17"/>
        <v>-</v>
      </c>
      <c r="AM43" s="320">
        <f>+収支計画!AG53/1000</f>
        <v>0</v>
      </c>
      <c r="AN43" s="393">
        <f>+PL推移!V42</f>
        <v>0</v>
      </c>
      <c r="AO43" s="414">
        <f t="shared" si="18"/>
        <v>0</v>
      </c>
      <c r="AP43" s="403" t="str">
        <f t="shared" si="19"/>
        <v>-</v>
      </c>
      <c r="AQ43" s="320">
        <f>+収支計画!AG53/1000</f>
        <v>0</v>
      </c>
      <c r="AR43" s="393">
        <f>+PL推移!X42</f>
        <v>0</v>
      </c>
      <c r="AS43" s="414">
        <f t="shared" si="20"/>
        <v>0</v>
      </c>
      <c r="AT43" s="403" t="str">
        <f t="shared" si="21"/>
        <v>-</v>
      </c>
      <c r="AU43" s="320">
        <f>+収支計画!AI53/1000</f>
        <v>0</v>
      </c>
      <c r="AV43" s="393">
        <f>+PL推移!Z42</f>
        <v>0</v>
      </c>
      <c r="AW43" s="414">
        <f t="shared" si="22"/>
        <v>0</v>
      </c>
      <c r="AX43" s="403" t="str">
        <f t="shared" si="23"/>
        <v>-</v>
      </c>
      <c r="AY43" s="318">
        <f t="shared" si="24"/>
        <v>340</v>
      </c>
      <c r="AZ43" s="393">
        <f t="shared" si="25"/>
        <v>207.018</v>
      </c>
      <c r="BA43" s="383">
        <f t="shared" si="26"/>
        <v>-132.982</v>
      </c>
      <c r="BB43" s="373">
        <f t="shared" si="27"/>
        <v>0.60887647058823524</v>
      </c>
      <c r="BC43" s="320">
        <f>+PL推移!N42-収支計画!W53/1000</f>
        <v>0</v>
      </c>
      <c r="BD43" s="321" t="e">
        <f>+BC43/(収支計画!W53/1000)</f>
        <v>#DIV/0!</v>
      </c>
      <c r="BE43" s="322">
        <f>+PL推移!P42-収支計画!Y53/1000</f>
        <v>0</v>
      </c>
      <c r="BF43" s="319" t="e">
        <f>+BE43/(収支計画!Y53/1000)</f>
        <v>#DIV/0!</v>
      </c>
      <c r="BG43" s="320">
        <f>+PL推移!R42-収支計画!AA53/1000</f>
        <v>0</v>
      </c>
      <c r="BH43" s="321" t="e">
        <f>+BG43/(収支計画!AA53/1000)</f>
        <v>#DIV/0!</v>
      </c>
      <c r="BI43" s="322">
        <f>+PL推移!T42-収支計画!AC53/1000</f>
        <v>0</v>
      </c>
      <c r="BJ43" s="319" t="e">
        <f>+BI43/(収支計画!AC53/1000)</f>
        <v>#DIV/0!</v>
      </c>
      <c r="BK43" s="320">
        <f>+PL推移!V42-収支計画!AE53/1000</f>
        <v>0</v>
      </c>
      <c r="BL43" s="321" t="e">
        <f>+BK43/(収支計画!AE53/1000)</f>
        <v>#DIV/0!</v>
      </c>
      <c r="BM43" s="322">
        <f>+PL推移!X42-収支計画!AG53/1000</f>
        <v>0</v>
      </c>
      <c r="BN43" s="319" t="e">
        <f>+BM43/(収支計画!AG53/1000)</f>
        <v>#DIV/0!</v>
      </c>
      <c r="BO43" s="320">
        <f>+PL推移!Z42-収支計画!AI53/1000</f>
        <v>0</v>
      </c>
      <c r="BP43" s="321" t="e">
        <f>+BO43/(収支計画!AI53/1000)</f>
        <v>#DIV/0!</v>
      </c>
    </row>
    <row r="44" spans="2:68">
      <c r="B44" s="5" t="s">
        <v>243</v>
      </c>
      <c r="C44" s="318">
        <f>+収支計画!G48/1000</f>
        <v>131</v>
      </c>
      <c r="D44" s="486">
        <f>+PL推移!D43</f>
        <v>124</v>
      </c>
      <c r="E44" s="383">
        <f t="shared" si="101"/>
        <v>-7</v>
      </c>
      <c r="F44" s="363">
        <f t="shared" si="9"/>
        <v>0.94656488549618323</v>
      </c>
      <c r="G44" s="320">
        <f>+収支計画!K54/1000</f>
        <v>0</v>
      </c>
      <c r="H44" s="393">
        <f>+PL推移!F43</f>
        <v>0</v>
      </c>
      <c r="I44" s="383">
        <f t="shared" si="102"/>
        <v>0</v>
      </c>
      <c r="J44" s="403" t="str">
        <f t="shared" si="10"/>
        <v>-</v>
      </c>
      <c r="K44" s="320">
        <f>+収支計画!O54/1000</f>
        <v>0</v>
      </c>
      <c r="L44" s="393">
        <f>+PL推移!H43</f>
        <v>0</v>
      </c>
      <c r="M44" s="383">
        <f t="shared" si="103"/>
        <v>0</v>
      </c>
      <c r="N44" s="363" t="str">
        <f t="shared" si="11"/>
        <v>-</v>
      </c>
      <c r="O44" s="320">
        <f>+収支計画!S54/1000</f>
        <v>0</v>
      </c>
      <c r="P44" s="393">
        <f>+PL推移!J43</f>
        <v>0</v>
      </c>
      <c r="Q44" s="383">
        <f t="shared" si="104"/>
        <v>0</v>
      </c>
      <c r="R44" s="363" t="str">
        <f t="shared" si="12"/>
        <v>-</v>
      </c>
      <c r="S44" s="320">
        <f>+収支計画!U54/1000</f>
        <v>0</v>
      </c>
      <c r="T44" s="393">
        <f>+PL推移!L43</f>
        <v>0</v>
      </c>
      <c r="U44" s="383">
        <f t="shared" si="105"/>
        <v>0</v>
      </c>
      <c r="V44" s="363" t="str">
        <f t="shared" si="13"/>
        <v>-</v>
      </c>
      <c r="W44" s="320">
        <f>+収支計画!W54/1000</f>
        <v>0</v>
      </c>
      <c r="X44" s="393">
        <f>+PL推移!N43</f>
        <v>0</v>
      </c>
      <c r="Y44" s="410">
        <f t="shared" si="106"/>
        <v>0</v>
      </c>
      <c r="Z44" s="363" t="str">
        <f t="shared" si="14"/>
        <v>-</v>
      </c>
      <c r="AA44" s="320">
        <f>+収支計画!Y54/1000</f>
        <v>0</v>
      </c>
      <c r="AB44" s="393">
        <f>+PL推移!P43</f>
        <v>0</v>
      </c>
      <c r="AC44" s="410">
        <f t="shared" si="107"/>
        <v>0</v>
      </c>
      <c r="AD44" s="363" t="str">
        <f t="shared" si="15"/>
        <v>-</v>
      </c>
      <c r="AE44" s="320">
        <f>+収支計画!AA54/1000</f>
        <v>0</v>
      </c>
      <c r="AF44" s="393">
        <f>+PL推移!R43</f>
        <v>0</v>
      </c>
      <c r="AG44" s="410">
        <f t="shared" si="108"/>
        <v>0</v>
      </c>
      <c r="AH44" s="363" t="str">
        <f t="shared" si="16"/>
        <v>-</v>
      </c>
      <c r="AI44" s="320">
        <f>+収支計画!AC54/1000</f>
        <v>0</v>
      </c>
      <c r="AJ44" s="393">
        <f>+PL推移!T43</f>
        <v>0</v>
      </c>
      <c r="AK44" s="414">
        <f t="shared" si="109"/>
        <v>0</v>
      </c>
      <c r="AL44" s="403" t="str">
        <f t="shared" si="17"/>
        <v>-</v>
      </c>
      <c r="AM44" s="320">
        <f>+収支計画!AG54/1000</f>
        <v>0</v>
      </c>
      <c r="AN44" s="393">
        <f>+PL推移!V43</f>
        <v>0</v>
      </c>
      <c r="AO44" s="414">
        <f t="shared" si="18"/>
        <v>0</v>
      </c>
      <c r="AP44" s="403" t="str">
        <f t="shared" si="19"/>
        <v>-</v>
      </c>
      <c r="AQ44" s="320">
        <f>+収支計画!AG54/1000</f>
        <v>0</v>
      </c>
      <c r="AR44" s="393">
        <f>+PL推移!X43</f>
        <v>0</v>
      </c>
      <c r="AS44" s="414">
        <f t="shared" si="20"/>
        <v>0</v>
      </c>
      <c r="AT44" s="403" t="str">
        <f t="shared" si="21"/>
        <v>-</v>
      </c>
      <c r="AU44" s="320">
        <f>+収支計画!AI54/1000</f>
        <v>0</v>
      </c>
      <c r="AV44" s="393">
        <f>+PL推移!Z43</f>
        <v>0</v>
      </c>
      <c r="AW44" s="414">
        <f t="shared" si="22"/>
        <v>0</v>
      </c>
      <c r="AX44" s="403" t="str">
        <f t="shared" si="23"/>
        <v>-</v>
      </c>
      <c r="AY44" s="318">
        <f t="shared" si="24"/>
        <v>131</v>
      </c>
      <c r="AZ44" s="393">
        <f t="shared" si="25"/>
        <v>124</v>
      </c>
      <c r="BA44" s="383">
        <f t="shared" si="26"/>
        <v>-7</v>
      </c>
      <c r="BB44" s="373">
        <f t="shared" si="27"/>
        <v>0.94656488549618323</v>
      </c>
      <c r="BC44" s="320">
        <f>+PL推移!N43-収支計画!W54/1000</f>
        <v>0</v>
      </c>
      <c r="BD44" s="321" t="e">
        <f>+BC44/(収支計画!W54/1000)</f>
        <v>#DIV/0!</v>
      </c>
      <c r="BE44" s="322">
        <f>+PL推移!P43-収支計画!Y54/1000</f>
        <v>0</v>
      </c>
      <c r="BF44" s="319" t="e">
        <f>+BE44/(収支計画!Y54/1000)</f>
        <v>#DIV/0!</v>
      </c>
      <c r="BG44" s="320">
        <f>+PL推移!R43-収支計画!AA54/1000</f>
        <v>0</v>
      </c>
      <c r="BH44" s="321" t="e">
        <f>+BG44/(収支計画!AA54/1000)</f>
        <v>#DIV/0!</v>
      </c>
      <c r="BI44" s="322">
        <f>+PL推移!T43-収支計画!AC54/1000</f>
        <v>0</v>
      </c>
      <c r="BJ44" s="319" t="e">
        <f>+BI44/(収支計画!AC54/1000)</f>
        <v>#DIV/0!</v>
      </c>
      <c r="BK44" s="320">
        <f>+PL推移!V43-収支計画!AE54/1000</f>
        <v>0</v>
      </c>
      <c r="BL44" s="321" t="e">
        <f>+BK44/(収支計画!AE54/1000)</f>
        <v>#DIV/0!</v>
      </c>
      <c r="BM44" s="322">
        <f>+PL推移!X43-収支計画!AG54/1000</f>
        <v>0</v>
      </c>
      <c r="BN44" s="319" t="e">
        <f>+BM44/(収支計画!AG54/1000)</f>
        <v>#DIV/0!</v>
      </c>
      <c r="BO44" s="320">
        <f>+PL推移!Z43-収支計画!AI54/1000</f>
        <v>0</v>
      </c>
      <c r="BP44" s="321" t="e">
        <f>+BO44/(収支計画!AI54/1000)</f>
        <v>#DIV/0!</v>
      </c>
    </row>
    <row r="45" spans="2:68">
      <c r="B45" s="5" t="s">
        <v>244</v>
      </c>
      <c r="C45" s="318">
        <f>+収支計画!G49/1000</f>
        <v>165</v>
      </c>
      <c r="D45" s="486">
        <f>+PL推移!D44</f>
        <v>124.456</v>
      </c>
      <c r="E45" s="383">
        <f t="shared" si="101"/>
        <v>-40.543999999999997</v>
      </c>
      <c r="F45" s="363">
        <f t="shared" si="9"/>
        <v>0.75427878787878788</v>
      </c>
      <c r="G45" s="320">
        <f>+収支計画!K55/1000</f>
        <v>3728.1849999999999</v>
      </c>
      <c r="H45" s="393">
        <f>+PL推移!F44</f>
        <v>0</v>
      </c>
      <c r="I45" s="383">
        <f t="shared" si="102"/>
        <v>-3728.1849999999999</v>
      </c>
      <c r="J45" s="403">
        <f t="shared" si="10"/>
        <v>0</v>
      </c>
      <c r="K45" s="320">
        <f>+収支計画!O55/1000</f>
        <v>3894.6849999999999</v>
      </c>
      <c r="L45" s="393">
        <f>+PL推移!H44</f>
        <v>0</v>
      </c>
      <c r="M45" s="383">
        <f t="shared" si="103"/>
        <v>-3894.6849999999999</v>
      </c>
      <c r="N45" s="363">
        <f t="shared" si="11"/>
        <v>0</v>
      </c>
      <c r="O45" s="320">
        <f>+収支計画!S55/1000</f>
        <v>4009.08</v>
      </c>
      <c r="P45" s="393">
        <f>+PL推移!J44</f>
        <v>0</v>
      </c>
      <c r="Q45" s="383">
        <f t="shared" si="104"/>
        <v>-4009.08</v>
      </c>
      <c r="R45" s="363">
        <f t="shared" si="12"/>
        <v>0</v>
      </c>
      <c r="S45" s="320">
        <f>+収支計画!U55/1000</f>
        <v>0</v>
      </c>
      <c r="T45" s="393">
        <f>+PL推移!L44</f>
        <v>0</v>
      </c>
      <c r="U45" s="383">
        <f t="shared" si="105"/>
        <v>0</v>
      </c>
      <c r="V45" s="363" t="str">
        <f t="shared" si="13"/>
        <v>-</v>
      </c>
      <c r="W45" s="320">
        <f>+収支計画!W55/1000</f>
        <v>0</v>
      </c>
      <c r="X45" s="393">
        <f>+PL推移!N44</f>
        <v>0</v>
      </c>
      <c r="Y45" s="410">
        <f t="shared" si="106"/>
        <v>0</v>
      </c>
      <c r="Z45" s="363" t="str">
        <f t="shared" si="14"/>
        <v>-</v>
      </c>
      <c r="AA45" s="320">
        <f>+収支計画!Y55/1000</f>
        <v>0</v>
      </c>
      <c r="AB45" s="393">
        <f>+PL推移!P44</f>
        <v>0</v>
      </c>
      <c r="AC45" s="410">
        <f t="shared" si="107"/>
        <v>0</v>
      </c>
      <c r="AD45" s="363" t="str">
        <f t="shared" si="15"/>
        <v>-</v>
      </c>
      <c r="AE45" s="320">
        <f>+収支計画!AA55/1000</f>
        <v>0</v>
      </c>
      <c r="AF45" s="393">
        <f>+PL推移!R44</f>
        <v>0</v>
      </c>
      <c r="AG45" s="410">
        <f t="shared" si="108"/>
        <v>0</v>
      </c>
      <c r="AH45" s="363" t="str">
        <f t="shared" si="16"/>
        <v>-</v>
      </c>
      <c r="AI45" s="320">
        <f>+収支計画!AC55/1000</f>
        <v>0</v>
      </c>
      <c r="AJ45" s="393">
        <f>+PL推移!T44</f>
        <v>0</v>
      </c>
      <c r="AK45" s="410">
        <f t="shared" si="109"/>
        <v>0</v>
      </c>
      <c r="AL45" s="403" t="str">
        <f t="shared" si="17"/>
        <v>-</v>
      </c>
      <c r="AM45" s="320">
        <f>+収支計画!AG55/1000</f>
        <v>0</v>
      </c>
      <c r="AN45" s="393">
        <f>+PL推移!V44</f>
        <v>0</v>
      </c>
      <c r="AO45" s="410">
        <f t="shared" si="18"/>
        <v>0</v>
      </c>
      <c r="AP45" s="403" t="str">
        <f t="shared" si="19"/>
        <v>-</v>
      </c>
      <c r="AQ45" s="320">
        <f>+収支計画!AG55/1000</f>
        <v>0</v>
      </c>
      <c r="AR45" s="393">
        <f>+PL推移!X44</f>
        <v>0</v>
      </c>
      <c r="AS45" s="410">
        <f t="shared" si="20"/>
        <v>0</v>
      </c>
      <c r="AT45" s="403" t="str">
        <f t="shared" si="21"/>
        <v>-</v>
      </c>
      <c r="AU45" s="320">
        <f>+収支計画!AI55/1000</f>
        <v>0</v>
      </c>
      <c r="AV45" s="393">
        <f>+PL推移!Z44</f>
        <v>0</v>
      </c>
      <c r="AW45" s="410">
        <f t="shared" si="22"/>
        <v>0</v>
      </c>
      <c r="AX45" s="403" t="str">
        <f t="shared" si="23"/>
        <v>-</v>
      </c>
      <c r="AY45" s="318">
        <f t="shared" si="24"/>
        <v>11796.95</v>
      </c>
      <c r="AZ45" s="393">
        <f t="shared" si="25"/>
        <v>124.456</v>
      </c>
      <c r="BA45" s="383">
        <f t="shared" si="26"/>
        <v>-11672.494000000001</v>
      </c>
      <c r="BB45" s="373">
        <f t="shared" si="27"/>
        <v>1.0549845510915958E-2</v>
      </c>
      <c r="BC45" s="320">
        <f>+PL推移!N44-収支計画!W55/1000</f>
        <v>0</v>
      </c>
      <c r="BD45" s="321" t="e">
        <f>+BC45/(収支計画!W55/1000)</f>
        <v>#DIV/0!</v>
      </c>
      <c r="BE45" s="322">
        <f>+PL推移!P44-収支計画!Y55/1000</f>
        <v>0</v>
      </c>
      <c r="BF45" s="319" t="e">
        <f>+BE45/(収支計画!Y55/1000)</f>
        <v>#DIV/0!</v>
      </c>
      <c r="BG45" s="320">
        <f>+PL推移!R44-収支計画!AA55/1000</f>
        <v>0</v>
      </c>
      <c r="BH45" s="321" t="e">
        <f>+BG45/(収支計画!AA55/1000)</f>
        <v>#DIV/0!</v>
      </c>
      <c r="BI45" s="322">
        <f>+PL推移!T44-収支計画!AC55/1000</f>
        <v>0</v>
      </c>
      <c r="BJ45" s="319" t="e">
        <f>+BI45/(収支計画!AC55/1000)</f>
        <v>#DIV/0!</v>
      </c>
      <c r="BK45" s="320">
        <f>+PL推移!V44-収支計画!AE55/1000</f>
        <v>0</v>
      </c>
      <c r="BL45" s="321" t="e">
        <f>+BK45/(収支計画!AE55/1000)</f>
        <v>#DIV/0!</v>
      </c>
      <c r="BM45" s="322">
        <f>+PL推移!X44-収支計画!AG55/1000</f>
        <v>0</v>
      </c>
      <c r="BN45" s="319" t="e">
        <f>+BM45/(収支計画!AG55/1000)</f>
        <v>#DIV/0!</v>
      </c>
      <c r="BO45" s="320">
        <f>+PL推移!Z44-収支計画!AI55/1000</f>
        <v>0</v>
      </c>
      <c r="BP45" s="321" t="e">
        <f>+BO45/(収支計画!AI55/1000)</f>
        <v>#DIV/0!</v>
      </c>
    </row>
    <row r="46" spans="2:68">
      <c r="B46" s="5" t="s">
        <v>245</v>
      </c>
      <c r="C46" s="318">
        <f>+収支計画!G50/1000</f>
        <v>281.5</v>
      </c>
      <c r="D46" s="486">
        <f>+PL推移!D45</f>
        <v>208.46799999999999</v>
      </c>
      <c r="E46" s="383">
        <f t="shared" si="101"/>
        <v>-73.032000000000011</v>
      </c>
      <c r="F46" s="363">
        <f t="shared" si="9"/>
        <v>0.74056127886323264</v>
      </c>
      <c r="G46" s="320">
        <f>+収支計画!K56/1000</f>
        <v>6478.93</v>
      </c>
      <c r="H46" s="393">
        <f>+PL推移!F45</f>
        <v>0</v>
      </c>
      <c r="I46" s="383">
        <f t="shared" si="102"/>
        <v>-6478.93</v>
      </c>
      <c r="J46" s="403">
        <f t="shared" si="10"/>
        <v>0</v>
      </c>
      <c r="K46" s="320">
        <f>+収支計画!O56/1000</f>
        <v>6870.43</v>
      </c>
      <c r="L46" s="393">
        <f>+PL推移!H45</f>
        <v>0</v>
      </c>
      <c r="M46" s="383">
        <f t="shared" si="103"/>
        <v>-6870.43</v>
      </c>
      <c r="N46" s="363">
        <f t="shared" si="11"/>
        <v>0</v>
      </c>
      <c r="O46" s="320">
        <f>+収支計画!S56/1000</f>
        <v>6756.3990000000003</v>
      </c>
      <c r="P46" s="393">
        <f>+PL推移!J45</f>
        <v>0</v>
      </c>
      <c r="Q46" s="383">
        <f t="shared" si="104"/>
        <v>-6756.3990000000003</v>
      </c>
      <c r="R46" s="363">
        <f t="shared" si="12"/>
        <v>0</v>
      </c>
      <c r="S46" s="320">
        <f>+収支計画!U56/1000</f>
        <v>0</v>
      </c>
      <c r="T46" s="393">
        <f>+PL推移!L45</f>
        <v>0</v>
      </c>
      <c r="U46" s="410">
        <f t="shared" si="105"/>
        <v>0</v>
      </c>
      <c r="V46" s="363" t="str">
        <f t="shared" si="13"/>
        <v>-</v>
      </c>
      <c r="W46" s="320">
        <f>+収支計画!W56/1000</f>
        <v>0</v>
      </c>
      <c r="X46" s="393">
        <f>+PL推移!N45</f>
        <v>0</v>
      </c>
      <c r="Y46" s="414">
        <f t="shared" si="106"/>
        <v>0</v>
      </c>
      <c r="Z46" s="363" t="str">
        <f t="shared" si="14"/>
        <v>-</v>
      </c>
      <c r="AA46" s="320">
        <f>+収支計画!Y56/1000</f>
        <v>0</v>
      </c>
      <c r="AB46" s="393">
        <f>+PL推移!P45</f>
        <v>0</v>
      </c>
      <c r="AC46" s="414">
        <f t="shared" si="107"/>
        <v>0</v>
      </c>
      <c r="AD46" s="363" t="str">
        <f t="shared" si="15"/>
        <v>-</v>
      </c>
      <c r="AE46" s="320">
        <f>+収支計画!AA56/1000</f>
        <v>0</v>
      </c>
      <c r="AF46" s="393">
        <f>+PL推移!R45</f>
        <v>0</v>
      </c>
      <c r="AG46" s="414">
        <f t="shared" si="108"/>
        <v>0</v>
      </c>
      <c r="AH46" s="363" t="str">
        <f t="shared" si="16"/>
        <v>-</v>
      </c>
      <c r="AI46" s="320">
        <f>+収支計画!AC56/1000</f>
        <v>0</v>
      </c>
      <c r="AJ46" s="393">
        <f>+PL推移!T45</f>
        <v>0</v>
      </c>
      <c r="AK46" s="414">
        <f t="shared" si="109"/>
        <v>0</v>
      </c>
      <c r="AL46" s="403" t="str">
        <f t="shared" si="17"/>
        <v>-</v>
      </c>
      <c r="AM46" s="320">
        <f>+収支計画!AG56/1000</f>
        <v>0</v>
      </c>
      <c r="AN46" s="393">
        <f>+PL推移!V45</f>
        <v>0</v>
      </c>
      <c r="AO46" s="414">
        <f t="shared" si="18"/>
        <v>0</v>
      </c>
      <c r="AP46" s="403" t="str">
        <f t="shared" si="19"/>
        <v>-</v>
      </c>
      <c r="AQ46" s="320">
        <f>+収支計画!AG56/1000</f>
        <v>0</v>
      </c>
      <c r="AR46" s="393">
        <f>+PL推移!X45</f>
        <v>0</v>
      </c>
      <c r="AS46" s="414">
        <f t="shared" si="20"/>
        <v>0</v>
      </c>
      <c r="AT46" s="403" t="str">
        <f t="shared" si="21"/>
        <v>-</v>
      </c>
      <c r="AU46" s="320">
        <f>+収支計画!AI56/1000</f>
        <v>0</v>
      </c>
      <c r="AV46" s="393">
        <f>+PL推移!Z45</f>
        <v>0</v>
      </c>
      <c r="AW46" s="414">
        <f t="shared" si="22"/>
        <v>0</v>
      </c>
      <c r="AX46" s="403" t="str">
        <f t="shared" si="23"/>
        <v>-</v>
      </c>
      <c r="AY46" s="318">
        <f t="shared" si="24"/>
        <v>20387.259000000002</v>
      </c>
      <c r="AZ46" s="393">
        <f t="shared" si="25"/>
        <v>208.46799999999999</v>
      </c>
      <c r="BA46" s="383">
        <f t="shared" si="26"/>
        <v>-20178.791000000001</v>
      </c>
      <c r="BB46" s="373">
        <f t="shared" si="27"/>
        <v>1.0225405975369223E-2</v>
      </c>
      <c r="BC46" s="320">
        <f>+PL推移!N45-収支計画!W56/1000</f>
        <v>0</v>
      </c>
      <c r="BD46" s="321" t="e">
        <f>+BC46/(収支計画!W56/1000)</f>
        <v>#DIV/0!</v>
      </c>
      <c r="BE46" s="322">
        <f>+PL推移!P45-収支計画!Y56/1000</f>
        <v>0</v>
      </c>
      <c r="BF46" s="319" t="e">
        <f>+BE46/(収支計画!Y56/1000)</f>
        <v>#DIV/0!</v>
      </c>
      <c r="BG46" s="320">
        <f>+PL推移!R45-収支計画!AA56/1000</f>
        <v>0</v>
      </c>
      <c r="BH46" s="321" t="e">
        <f>+BG46/(収支計画!AA56/1000)</f>
        <v>#DIV/0!</v>
      </c>
      <c r="BI46" s="322">
        <f>+PL推移!T45-収支計画!AC56/1000</f>
        <v>0</v>
      </c>
      <c r="BJ46" s="319" t="e">
        <f>+BI46/(収支計画!AC56/1000)</f>
        <v>#DIV/0!</v>
      </c>
      <c r="BK46" s="320">
        <f>+PL推移!V45-収支計画!AE56/1000</f>
        <v>0</v>
      </c>
      <c r="BL46" s="321" t="e">
        <f>+BK46/(収支計画!AE56/1000)</f>
        <v>#DIV/0!</v>
      </c>
      <c r="BM46" s="322">
        <f>+PL推移!X45-収支計画!AG56/1000</f>
        <v>0</v>
      </c>
      <c r="BN46" s="319" t="e">
        <f>+BM46/(収支計画!AG56/1000)</f>
        <v>#DIV/0!</v>
      </c>
      <c r="BO46" s="320">
        <f>+PL推移!Z45-収支計画!AI56/1000</f>
        <v>0</v>
      </c>
      <c r="BP46" s="321" t="e">
        <f>+BO46/(収支計画!AI56/1000)</f>
        <v>#DIV/0!</v>
      </c>
    </row>
    <row r="47" spans="2:68">
      <c r="B47" s="5" t="s">
        <v>246</v>
      </c>
      <c r="C47" s="318">
        <f>+収支計画!G51/1000</f>
        <v>0</v>
      </c>
      <c r="D47" s="486">
        <f>+PL推移!D46</f>
        <v>0</v>
      </c>
      <c r="E47" s="383">
        <f t="shared" si="101"/>
        <v>0</v>
      </c>
      <c r="F47" s="363" t="str">
        <f t="shared" si="9"/>
        <v>-</v>
      </c>
      <c r="G47" s="320">
        <f>+収支計画!K57/1000</f>
        <v>638.57000000000005</v>
      </c>
      <c r="H47" s="393">
        <f>+PL推移!F46</f>
        <v>0</v>
      </c>
      <c r="I47" s="383">
        <f t="shared" si="102"/>
        <v>-638.57000000000005</v>
      </c>
      <c r="J47" s="403">
        <f t="shared" si="10"/>
        <v>0</v>
      </c>
      <c r="K47" s="320">
        <f>+収支計画!O57/1000</f>
        <v>1372.07</v>
      </c>
      <c r="L47" s="393">
        <f>+PL推移!H46</f>
        <v>0</v>
      </c>
      <c r="M47" s="383">
        <f t="shared" si="103"/>
        <v>-1372.07</v>
      </c>
      <c r="N47" s="363">
        <f t="shared" si="11"/>
        <v>0</v>
      </c>
      <c r="O47" s="320">
        <f>+収支計画!S57/1000</f>
        <v>-6756.3990000000003</v>
      </c>
      <c r="P47" s="393">
        <f>+PL推移!J46</f>
        <v>0</v>
      </c>
      <c r="Q47" s="383">
        <f t="shared" si="104"/>
        <v>6756.3990000000003</v>
      </c>
      <c r="R47" s="363">
        <f t="shared" si="12"/>
        <v>0</v>
      </c>
      <c r="S47" s="320">
        <f>+収支計画!U57/1000</f>
        <v>0</v>
      </c>
      <c r="T47" s="393">
        <f>+PL推移!L46</f>
        <v>0</v>
      </c>
      <c r="U47" s="383">
        <f t="shared" si="105"/>
        <v>0</v>
      </c>
      <c r="V47" s="363" t="str">
        <f t="shared" si="13"/>
        <v>-</v>
      </c>
      <c r="W47" s="320">
        <f>+収支計画!W57/1000</f>
        <v>0</v>
      </c>
      <c r="X47" s="393">
        <f>+PL推移!N46</f>
        <v>0</v>
      </c>
      <c r="Y47" s="383">
        <f t="shared" si="106"/>
        <v>0</v>
      </c>
      <c r="Z47" s="363" t="str">
        <f t="shared" si="14"/>
        <v>-</v>
      </c>
      <c r="AA47" s="320">
        <f>+収支計画!Y57/1000</f>
        <v>0</v>
      </c>
      <c r="AB47" s="393">
        <f>+PL推移!P46</f>
        <v>0</v>
      </c>
      <c r="AC47" s="383">
        <f t="shared" si="107"/>
        <v>0</v>
      </c>
      <c r="AD47" s="363" t="str">
        <f t="shared" si="15"/>
        <v>-</v>
      </c>
      <c r="AE47" s="320">
        <f>+収支計画!AA57/1000</f>
        <v>0</v>
      </c>
      <c r="AF47" s="393">
        <f>+PL推移!R46</f>
        <v>0</v>
      </c>
      <c r="AG47" s="383">
        <f t="shared" si="108"/>
        <v>0</v>
      </c>
      <c r="AH47" s="363" t="str">
        <f t="shared" si="16"/>
        <v>-</v>
      </c>
      <c r="AI47" s="320">
        <f>+収支計画!AC57/1000</f>
        <v>0</v>
      </c>
      <c r="AJ47" s="393">
        <f>+PL推移!T46</f>
        <v>0</v>
      </c>
      <c r="AK47" s="383">
        <f t="shared" si="109"/>
        <v>0</v>
      </c>
      <c r="AL47" s="403" t="str">
        <f t="shared" si="17"/>
        <v>-</v>
      </c>
      <c r="AM47" s="320">
        <f>+収支計画!AG57/1000</f>
        <v>0</v>
      </c>
      <c r="AN47" s="393">
        <f>+PL推移!V46</f>
        <v>0</v>
      </c>
      <c r="AO47" s="383">
        <f t="shared" si="18"/>
        <v>0</v>
      </c>
      <c r="AP47" s="403" t="str">
        <f t="shared" si="19"/>
        <v>-</v>
      </c>
      <c r="AQ47" s="320">
        <f>+収支計画!AG57/1000</f>
        <v>0</v>
      </c>
      <c r="AR47" s="393">
        <f>+PL推移!X46</f>
        <v>0</v>
      </c>
      <c r="AS47" s="383">
        <f t="shared" si="20"/>
        <v>0</v>
      </c>
      <c r="AT47" s="403" t="str">
        <f t="shared" si="21"/>
        <v>-</v>
      </c>
      <c r="AU47" s="320">
        <f>+収支計画!AI57/1000</f>
        <v>0</v>
      </c>
      <c r="AV47" s="393">
        <f>+PL推移!Z46</f>
        <v>0</v>
      </c>
      <c r="AW47" s="383">
        <f t="shared" si="22"/>
        <v>0</v>
      </c>
      <c r="AX47" s="403" t="str">
        <f t="shared" si="23"/>
        <v>-</v>
      </c>
      <c r="AY47" s="318">
        <f t="shared" si="24"/>
        <v>-4745.759</v>
      </c>
      <c r="AZ47" s="393">
        <f t="shared" si="25"/>
        <v>0</v>
      </c>
      <c r="BA47" s="383">
        <f t="shared" si="26"/>
        <v>4745.759</v>
      </c>
      <c r="BB47" s="373">
        <f t="shared" si="27"/>
        <v>0</v>
      </c>
      <c r="BC47" s="320">
        <f>+PL推移!N46-収支計画!W57/1000</f>
        <v>0</v>
      </c>
      <c r="BD47" s="321" t="e">
        <f>+BC47/(収支計画!W57/1000)</f>
        <v>#DIV/0!</v>
      </c>
      <c r="BE47" s="322">
        <f>+PL推移!P46-収支計画!Y57/1000</f>
        <v>0</v>
      </c>
      <c r="BF47" s="319" t="e">
        <f>+BE47/(収支計画!Y57/1000)</f>
        <v>#DIV/0!</v>
      </c>
      <c r="BG47" s="320">
        <f>+PL推移!R46-収支計画!AA57/1000</f>
        <v>0</v>
      </c>
      <c r="BH47" s="321" t="e">
        <f>+BG47/(収支計画!AA57/1000)</f>
        <v>#DIV/0!</v>
      </c>
      <c r="BI47" s="322">
        <f>+PL推移!T46-収支計画!AC57/1000</f>
        <v>0</v>
      </c>
      <c r="BJ47" s="319" t="e">
        <f>+BI47/(収支計画!AC57/1000)</f>
        <v>#DIV/0!</v>
      </c>
      <c r="BK47" s="320">
        <f>+PL推移!V46-収支計画!AE57/1000</f>
        <v>0</v>
      </c>
      <c r="BL47" s="321" t="e">
        <f>+BK47/(収支計画!AE57/1000)</f>
        <v>#DIV/0!</v>
      </c>
      <c r="BM47" s="322">
        <f>+PL推移!X46-収支計画!AG57/1000</f>
        <v>0</v>
      </c>
      <c r="BN47" s="319" t="e">
        <f>+BM47/(収支計画!AG57/1000)</f>
        <v>#DIV/0!</v>
      </c>
      <c r="BO47" s="320">
        <f>+PL推移!Z46-収支計画!AI57/1000</f>
        <v>0</v>
      </c>
      <c r="BP47" s="321" t="e">
        <f>+BO47/(収支計画!AI57/1000)</f>
        <v>#DIV/0!</v>
      </c>
    </row>
    <row r="48" spans="2:68">
      <c r="B48" s="5" t="s">
        <v>247</v>
      </c>
      <c r="C48" s="318">
        <f>+収支計画!G52/1000</f>
        <v>70</v>
      </c>
      <c r="D48" s="486">
        <f>+PL推移!D47</f>
        <v>70</v>
      </c>
      <c r="E48" s="383">
        <f t="shared" si="101"/>
        <v>0</v>
      </c>
      <c r="F48" s="363">
        <f t="shared" si="9"/>
        <v>1</v>
      </c>
      <c r="G48" s="320">
        <f>+収支計画!K58/1000</f>
        <v>0</v>
      </c>
      <c r="H48" s="393">
        <f>+PL推移!F47</f>
        <v>0</v>
      </c>
      <c r="I48" s="383">
        <f t="shared" si="102"/>
        <v>0</v>
      </c>
      <c r="J48" s="403" t="str">
        <f t="shared" si="10"/>
        <v>-</v>
      </c>
      <c r="K48" s="320">
        <f>+収支計画!O58/1000</f>
        <v>0</v>
      </c>
      <c r="L48" s="393">
        <f>+PL推移!H47</f>
        <v>0</v>
      </c>
      <c r="M48" s="383">
        <f t="shared" si="103"/>
        <v>0</v>
      </c>
      <c r="N48" s="363" t="str">
        <f t="shared" si="11"/>
        <v>-</v>
      </c>
      <c r="O48" s="320">
        <f>+収支計画!S58/1000</f>
        <v>0</v>
      </c>
      <c r="P48" s="393">
        <f>+PL推移!J47</f>
        <v>0</v>
      </c>
      <c r="Q48" s="383">
        <f t="shared" si="104"/>
        <v>0</v>
      </c>
      <c r="R48" s="363" t="str">
        <f t="shared" si="12"/>
        <v>-</v>
      </c>
      <c r="S48" s="320">
        <f>+収支計画!U58/1000</f>
        <v>0</v>
      </c>
      <c r="T48" s="393">
        <f>+PL推移!L47</f>
        <v>0</v>
      </c>
      <c r="U48" s="383">
        <f t="shared" si="105"/>
        <v>0</v>
      </c>
      <c r="V48" s="363" t="str">
        <f t="shared" si="13"/>
        <v>-</v>
      </c>
      <c r="W48" s="320">
        <f>+収支計画!W58/1000</f>
        <v>0</v>
      </c>
      <c r="X48" s="393">
        <f>+PL推移!N47</f>
        <v>0</v>
      </c>
      <c r="Y48" s="383">
        <f t="shared" si="106"/>
        <v>0</v>
      </c>
      <c r="Z48" s="363" t="str">
        <f t="shared" si="14"/>
        <v>-</v>
      </c>
      <c r="AA48" s="320">
        <f>+収支計画!Y58/1000</f>
        <v>0</v>
      </c>
      <c r="AB48" s="393">
        <f>+PL推移!P47</f>
        <v>0</v>
      </c>
      <c r="AC48" s="383">
        <f t="shared" si="107"/>
        <v>0</v>
      </c>
      <c r="AD48" s="363" t="str">
        <f t="shared" si="15"/>
        <v>-</v>
      </c>
      <c r="AE48" s="320">
        <f>+収支計画!AA58/1000</f>
        <v>0</v>
      </c>
      <c r="AF48" s="393">
        <f>+PL推移!R47</f>
        <v>0</v>
      </c>
      <c r="AG48" s="383">
        <f t="shared" si="108"/>
        <v>0</v>
      </c>
      <c r="AH48" s="363" t="str">
        <f t="shared" si="16"/>
        <v>-</v>
      </c>
      <c r="AI48" s="320">
        <f>+収支計画!AC58/1000</f>
        <v>0</v>
      </c>
      <c r="AJ48" s="393">
        <f>+PL推移!T47</f>
        <v>0</v>
      </c>
      <c r="AK48" s="383">
        <f t="shared" si="109"/>
        <v>0</v>
      </c>
      <c r="AL48" s="403" t="str">
        <f t="shared" si="17"/>
        <v>-</v>
      </c>
      <c r="AM48" s="320">
        <f>+収支計画!AG58/1000</f>
        <v>0</v>
      </c>
      <c r="AN48" s="393">
        <f>+PL推移!V47</f>
        <v>0</v>
      </c>
      <c r="AO48" s="383">
        <f t="shared" si="18"/>
        <v>0</v>
      </c>
      <c r="AP48" s="403" t="str">
        <f t="shared" si="19"/>
        <v>-</v>
      </c>
      <c r="AQ48" s="320">
        <f>+収支計画!AG58/1000</f>
        <v>0</v>
      </c>
      <c r="AR48" s="393">
        <f>+PL推移!X47</f>
        <v>0</v>
      </c>
      <c r="AS48" s="383">
        <f t="shared" si="20"/>
        <v>0</v>
      </c>
      <c r="AT48" s="403" t="str">
        <f t="shared" si="21"/>
        <v>-</v>
      </c>
      <c r="AU48" s="320">
        <f>+収支計画!AI58/1000</f>
        <v>0</v>
      </c>
      <c r="AV48" s="393">
        <f>+PL推移!Z47</f>
        <v>0</v>
      </c>
      <c r="AW48" s="383">
        <f t="shared" si="22"/>
        <v>0</v>
      </c>
      <c r="AX48" s="403" t="str">
        <f t="shared" si="23"/>
        <v>-</v>
      </c>
      <c r="AY48" s="318">
        <f t="shared" si="24"/>
        <v>70</v>
      </c>
      <c r="AZ48" s="393">
        <f t="shared" si="25"/>
        <v>70</v>
      </c>
      <c r="BA48" s="383">
        <f t="shared" si="26"/>
        <v>0</v>
      </c>
      <c r="BB48" s="373">
        <f t="shared" si="27"/>
        <v>1</v>
      </c>
      <c r="BC48" s="320">
        <f>+PL推移!N47-収支計画!W58/1000</f>
        <v>0</v>
      </c>
      <c r="BD48" s="321" t="e">
        <f>+BC48/(収支計画!W58/1000)</f>
        <v>#DIV/0!</v>
      </c>
      <c r="BE48" s="322">
        <f>+PL推移!P47-収支計画!Y58/1000</f>
        <v>0</v>
      </c>
      <c r="BF48" s="319" t="e">
        <f>+BE48/(収支計画!Y58/1000)</f>
        <v>#DIV/0!</v>
      </c>
      <c r="BG48" s="320">
        <f>+PL推移!R47-収支計画!AA58/1000</f>
        <v>0</v>
      </c>
      <c r="BH48" s="321" t="e">
        <f>+BG48/(収支計画!AA58/1000)</f>
        <v>#DIV/0!</v>
      </c>
      <c r="BI48" s="322">
        <f>+PL推移!T47-収支計画!AC58/1000</f>
        <v>0</v>
      </c>
      <c r="BJ48" s="319" t="e">
        <f>+BI48/(収支計画!AC58/1000)</f>
        <v>#DIV/0!</v>
      </c>
      <c r="BK48" s="320">
        <f>+PL推移!V47-収支計画!AE58/1000</f>
        <v>0</v>
      </c>
      <c r="BL48" s="321" t="e">
        <f>+BK48/(収支計画!AE58/1000)</f>
        <v>#DIV/0!</v>
      </c>
      <c r="BM48" s="322">
        <f>+PL推移!X47-収支計画!AG58/1000</f>
        <v>0</v>
      </c>
      <c r="BN48" s="319" t="e">
        <f>+BM48/(収支計画!AG58/1000)</f>
        <v>#DIV/0!</v>
      </c>
      <c r="BO48" s="320">
        <f>+PL推移!Z47-収支計画!AI58/1000</f>
        <v>0</v>
      </c>
      <c r="BP48" s="321" t="e">
        <f>+BO48/(収支計画!AI58/1000)</f>
        <v>#DIV/0!</v>
      </c>
    </row>
    <row r="49" spans="1:69">
      <c r="B49" s="5" t="s">
        <v>248</v>
      </c>
      <c r="C49" s="318">
        <f>+収支計画!G53/1000</f>
        <v>50</v>
      </c>
      <c r="D49" s="486">
        <f>+PL推移!D48</f>
        <v>74.929000000000002</v>
      </c>
      <c r="E49" s="383">
        <f t="shared" si="101"/>
        <v>24.929000000000002</v>
      </c>
      <c r="F49" s="363">
        <f t="shared" si="9"/>
        <v>1.49858</v>
      </c>
      <c r="G49" s="320">
        <f>+収支計画!K59/1000</f>
        <v>150.76</v>
      </c>
      <c r="H49" s="393">
        <f>+PL推移!F48</f>
        <v>0</v>
      </c>
      <c r="I49" s="383">
        <f t="shared" si="102"/>
        <v>-150.76</v>
      </c>
      <c r="J49" s="403">
        <f t="shared" si="10"/>
        <v>0</v>
      </c>
      <c r="K49" s="320">
        <f>+収支計画!O59/1000</f>
        <v>150</v>
      </c>
      <c r="L49" s="393">
        <f>+PL推移!H48</f>
        <v>0</v>
      </c>
      <c r="M49" s="383">
        <f t="shared" si="103"/>
        <v>-150</v>
      </c>
      <c r="N49" s="363">
        <f t="shared" si="11"/>
        <v>0</v>
      </c>
      <c r="O49" s="320">
        <f>+収支計画!S59/1000</f>
        <v>120</v>
      </c>
      <c r="P49" s="393">
        <f>+PL推移!J48</f>
        <v>0</v>
      </c>
      <c r="Q49" s="383">
        <f t="shared" si="104"/>
        <v>-120</v>
      </c>
      <c r="R49" s="363">
        <f t="shared" si="12"/>
        <v>0</v>
      </c>
      <c r="S49" s="320">
        <f>+収支計画!U59/1000</f>
        <v>0</v>
      </c>
      <c r="T49" s="393">
        <f>+PL推移!L48</f>
        <v>0</v>
      </c>
      <c r="U49" s="383">
        <f t="shared" si="105"/>
        <v>0</v>
      </c>
      <c r="V49" s="363" t="str">
        <f t="shared" si="13"/>
        <v>-</v>
      </c>
      <c r="W49" s="320">
        <f>+収支計画!W59/1000</f>
        <v>0</v>
      </c>
      <c r="X49" s="393">
        <f>+PL推移!N48</f>
        <v>0</v>
      </c>
      <c r="Y49" s="383">
        <f t="shared" si="106"/>
        <v>0</v>
      </c>
      <c r="Z49" s="363" t="str">
        <f t="shared" si="14"/>
        <v>-</v>
      </c>
      <c r="AA49" s="320">
        <f>+収支計画!Y59/1000</f>
        <v>0</v>
      </c>
      <c r="AB49" s="393">
        <f>+PL推移!P48</f>
        <v>0</v>
      </c>
      <c r="AC49" s="383">
        <f t="shared" si="107"/>
        <v>0</v>
      </c>
      <c r="AD49" s="363" t="str">
        <f t="shared" si="15"/>
        <v>-</v>
      </c>
      <c r="AE49" s="320">
        <f>+収支計画!AA59/1000</f>
        <v>0</v>
      </c>
      <c r="AF49" s="393">
        <f>+PL推移!R48</f>
        <v>0</v>
      </c>
      <c r="AG49" s="383">
        <f t="shared" si="108"/>
        <v>0</v>
      </c>
      <c r="AH49" s="363" t="str">
        <f t="shared" si="16"/>
        <v>-</v>
      </c>
      <c r="AI49" s="320">
        <f>+収支計画!AC59/1000</f>
        <v>0</v>
      </c>
      <c r="AJ49" s="393">
        <f>+PL推移!T48</f>
        <v>0</v>
      </c>
      <c r="AK49" s="383">
        <f t="shared" si="109"/>
        <v>0</v>
      </c>
      <c r="AL49" s="403" t="str">
        <f t="shared" si="17"/>
        <v>-</v>
      </c>
      <c r="AM49" s="320">
        <f>+収支計画!AG59/1000</f>
        <v>0</v>
      </c>
      <c r="AN49" s="393">
        <f>+PL推移!V48</f>
        <v>0</v>
      </c>
      <c r="AO49" s="383">
        <f t="shared" si="18"/>
        <v>0</v>
      </c>
      <c r="AP49" s="403" t="str">
        <f t="shared" si="19"/>
        <v>-</v>
      </c>
      <c r="AQ49" s="320">
        <f>+収支計画!AG59/1000</f>
        <v>0</v>
      </c>
      <c r="AR49" s="393">
        <f>+PL推移!X48</f>
        <v>0</v>
      </c>
      <c r="AS49" s="383">
        <f t="shared" si="20"/>
        <v>0</v>
      </c>
      <c r="AT49" s="403" t="str">
        <f t="shared" si="21"/>
        <v>-</v>
      </c>
      <c r="AU49" s="320">
        <f>+収支計画!AI59/1000</f>
        <v>0</v>
      </c>
      <c r="AV49" s="393">
        <f>+PL推移!Z48</f>
        <v>0</v>
      </c>
      <c r="AW49" s="383">
        <f t="shared" si="22"/>
        <v>0</v>
      </c>
      <c r="AX49" s="403" t="str">
        <f t="shared" si="23"/>
        <v>-</v>
      </c>
      <c r="AY49" s="318">
        <f t="shared" si="24"/>
        <v>470.76</v>
      </c>
      <c r="AZ49" s="393">
        <f t="shared" si="25"/>
        <v>74.929000000000002</v>
      </c>
      <c r="BA49" s="383">
        <f t="shared" si="26"/>
        <v>-395.83100000000002</v>
      </c>
      <c r="BB49" s="373">
        <f t="shared" si="27"/>
        <v>0.15916602939926927</v>
      </c>
      <c r="BC49" s="320">
        <f>+PL推移!N48-収支計画!W59/1000</f>
        <v>0</v>
      </c>
      <c r="BD49" s="321" t="e">
        <f>+BC49/(収支計画!W59/1000)</f>
        <v>#DIV/0!</v>
      </c>
      <c r="BE49" s="322">
        <f>+PL推移!P48-収支計画!Y59/1000</f>
        <v>0</v>
      </c>
      <c r="BF49" s="319" t="e">
        <f>+BE49/(収支計画!Y59/1000)</f>
        <v>#DIV/0!</v>
      </c>
      <c r="BG49" s="320">
        <f>+PL推移!R48-収支計画!AA59/1000</f>
        <v>0</v>
      </c>
      <c r="BH49" s="321" t="e">
        <f>+BG49/(収支計画!AA59/1000)</f>
        <v>#DIV/0!</v>
      </c>
      <c r="BI49" s="322">
        <f>+PL推移!T48-収支計画!AC59/1000</f>
        <v>0</v>
      </c>
      <c r="BJ49" s="319" t="e">
        <f>+BI49/(収支計画!AC59/1000)</f>
        <v>#DIV/0!</v>
      </c>
      <c r="BK49" s="320">
        <f>+PL推移!V48-収支計画!AE59/1000</f>
        <v>0</v>
      </c>
      <c r="BL49" s="321" t="e">
        <f>+BK49/(収支計画!AE59/1000)</f>
        <v>#DIV/0!</v>
      </c>
      <c r="BM49" s="322">
        <f>+PL推移!X48-収支計画!AG59/1000</f>
        <v>0</v>
      </c>
      <c r="BN49" s="319" t="e">
        <f>+BM49/(収支計画!AG59/1000)</f>
        <v>#DIV/0!</v>
      </c>
      <c r="BO49" s="320">
        <f>+PL推移!Z48-収支計画!AI59/1000</f>
        <v>0</v>
      </c>
      <c r="BP49" s="321" t="e">
        <f>+BO49/(収支計画!AI59/1000)</f>
        <v>#DIV/0!</v>
      </c>
    </row>
    <row r="50" spans="1:69">
      <c r="B50" s="152"/>
      <c r="C50" s="333"/>
      <c r="D50" s="489"/>
      <c r="E50" s="386"/>
      <c r="F50" s="366" t="str">
        <f t="shared" si="9"/>
        <v>-</v>
      </c>
      <c r="G50" s="335"/>
      <c r="H50" s="396">
        <f>+PL推移!F49</f>
        <v>0</v>
      </c>
      <c r="I50" s="386"/>
      <c r="J50" s="406" t="str">
        <f t="shared" si="10"/>
        <v>-</v>
      </c>
      <c r="K50" s="335"/>
      <c r="L50" s="396">
        <f>+PL推移!H49</f>
        <v>0</v>
      </c>
      <c r="M50" s="386"/>
      <c r="N50" s="366" t="str">
        <f t="shared" si="11"/>
        <v>-</v>
      </c>
      <c r="O50" s="335"/>
      <c r="P50" s="396">
        <f>+PL推移!J49</f>
        <v>0</v>
      </c>
      <c r="Q50" s="386"/>
      <c r="R50" s="366" t="str">
        <f t="shared" si="12"/>
        <v>-</v>
      </c>
      <c r="S50" s="335"/>
      <c r="T50" s="396">
        <f>+PL推移!N49</f>
        <v>0</v>
      </c>
      <c r="U50" s="386"/>
      <c r="V50" s="366" t="str">
        <f t="shared" si="13"/>
        <v>-</v>
      </c>
      <c r="W50" s="335"/>
      <c r="X50" s="396">
        <f>+PL推移!R49</f>
        <v>0</v>
      </c>
      <c r="Y50" s="386"/>
      <c r="Z50" s="366" t="str">
        <f t="shared" si="14"/>
        <v>-</v>
      </c>
      <c r="AA50" s="335"/>
      <c r="AB50" s="396">
        <f>+PL推移!V49</f>
        <v>0</v>
      </c>
      <c r="AC50" s="386"/>
      <c r="AD50" s="366" t="str">
        <f t="shared" si="15"/>
        <v>-</v>
      </c>
      <c r="AE50" s="335"/>
      <c r="AF50" s="396">
        <f>+PL推移!Z49</f>
        <v>0</v>
      </c>
      <c r="AG50" s="386"/>
      <c r="AH50" s="366" t="str">
        <f t="shared" si="16"/>
        <v>-</v>
      </c>
      <c r="AI50" s="335"/>
      <c r="AJ50" s="396">
        <f>+PL推移!AD49</f>
        <v>0</v>
      </c>
      <c r="AK50" s="386"/>
      <c r="AL50" s="406" t="str">
        <f t="shared" si="17"/>
        <v>-</v>
      </c>
      <c r="AM50" s="335"/>
      <c r="AN50" s="396">
        <f>+PL推移!AH49</f>
        <v>0</v>
      </c>
      <c r="AO50" s="386">
        <f t="shared" si="18"/>
        <v>0</v>
      </c>
      <c r="AP50" s="406" t="str">
        <f t="shared" si="19"/>
        <v>-</v>
      </c>
      <c r="AQ50" s="335"/>
      <c r="AR50" s="396">
        <f>+PL推移!AL49</f>
        <v>0</v>
      </c>
      <c r="AS50" s="386">
        <f t="shared" si="20"/>
        <v>0</v>
      </c>
      <c r="AT50" s="406" t="str">
        <f t="shared" si="21"/>
        <v>-</v>
      </c>
      <c r="AU50" s="335"/>
      <c r="AV50" s="396">
        <f>+PL推移!AP49</f>
        <v>0</v>
      </c>
      <c r="AW50" s="386">
        <f t="shared" si="22"/>
        <v>0</v>
      </c>
      <c r="AX50" s="406" t="str">
        <f t="shared" si="23"/>
        <v>-</v>
      </c>
      <c r="AY50" s="333">
        <f t="shared" si="24"/>
        <v>0</v>
      </c>
      <c r="AZ50" s="396">
        <f t="shared" si="25"/>
        <v>0</v>
      </c>
      <c r="BA50" s="386">
        <f t="shared" si="26"/>
        <v>0</v>
      </c>
      <c r="BB50" s="376" t="str">
        <f t="shared" si="27"/>
        <v>-</v>
      </c>
      <c r="BC50" s="335"/>
      <c r="BD50" s="336"/>
      <c r="BE50" s="337"/>
      <c r="BF50" s="334"/>
      <c r="BG50" s="335"/>
      <c r="BH50" s="336"/>
      <c r="BI50" s="337"/>
      <c r="BJ50" s="334"/>
      <c r="BK50" s="335"/>
      <c r="BL50" s="336"/>
      <c r="BM50" s="337"/>
      <c r="BN50" s="334"/>
      <c r="BO50" s="335"/>
      <c r="BP50" s="336"/>
    </row>
    <row r="51" spans="1:69" s="52" customFormat="1" ht="16.899999999999999" thickBot="1">
      <c r="A51" s="52" t="s">
        <v>150</v>
      </c>
      <c r="C51" s="350">
        <f>+C23-C29</f>
        <v>489.60099999999966</v>
      </c>
      <c r="D51" s="490">
        <f t="shared" ref="D51:E51" si="110">+D23-D29</f>
        <v>414.14800000000014</v>
      </c>
      <c r="E51" s="387">
        <f t="shared" si="110"/>
        <v>-75.462000000000216</v>
      </c>
      <c r="F51" s="367">
        <f t="shared" si="9"/>
        <v>0.84588879516177551</v>
      </c>
      <c r="G51" s="352">
        <f>+G23-G29</f>
        <v>-7493.08</v>
      </c>
      <c r="H51" s="397">
        <f>+PL推移!F50</f>
        <v>0</v>
      </c>
      <c r="I51" s="387">
        <f t="shared" ref="I51" si="111">+I23-I29</f>
        <v>7493.08</v>
      </c>
      <c r="J51" s="407">
        <f t="shared" si="10"/>
        <v>0</v>
      </c>
      <c r="K51" s="352">
        <f>+K23-K29</f>
        <v>-7800.32</v>
      </c>
      <c r="L51" s="397">
        <f>+PL推移!H50</f>
        <v>0</v>
      </c>
      <c r="M51" s="387">
        <f t="shared" ref="M51" si="112">+M23-M29</f>
        <v>7800.32</v>
      </c>
      <c r="N51" s="367">
        <f t="shared" si="11"/>
        <v>0</v>
      </c>
      <c r="O51" s="352">
        <f>+O23-O29</f>
        <v>-7969.11</v>
      </c>
      <c r="P51" s="397">
        <f>+PL推移!J50</f>
        <v>0</v>
      </c>
      <c r="Q51" s="387">
        <f t="shared" ref="Q51" si="113">+Q23-Q29</f>
        <v>7969.11</v>
      </c>
      <c r="R51" s="367">
        <f t="shared" si="12"/>
        <v>0</v>
      </c>
      <c r="S51" s="352">
        <f>+S23-S29</f>
        <v>0</v>
      </c>
      <c r="T51" s="397">
        <f>+PL推移!L50</f>
        <v>0</v>
      </c>
      <c r="U51" s="387">
        <f t="shared" ref="U51" si="114">+U23-U29</f>
        <v>0</v>
      </c>
      <c r="V51" s="367" t="str">
        <f t="shared" si="13"/>
        <v>-</v>
      </c>
      <c r="W51" s="352">
        <f>+W23-W29</f>
        <v>0</v>
      </c>
      <c r="X51" s="397">
        <f>+PL推移!N50</f>
        <v>0</v>
      </c>
      <c r="Y51" s="387">
        <f t="shared" ref="Y51" si="115">+Y23-Y29</f>
        <v>0</v>
      </c>
      <c r="Z51" s="367" t="str">
        <f t="shared" si="14"/>
        <v>-</v>
      </c>
      <c r="AA51" s="352">
        <f>+AA23-AA29</f>
        <v>0</v>
      </c>
      <c r="AB51" s="397">
        <f>+AB23-AB29</f>
        <v>0</v>
      </c>
      <c r="AC51" s="387">
        <f t="shared" ref="AC51" si="116">+AC23-AC29</f>
        <v>0</v>
      </c>
      <c r="AD51" s="367" t="str">
        <f t="shared" si="15"/>
        <v>-</v>
      </c>
      <c r="AE51" s="352">
        <f>+AE23-AE29</f>
        <v>0</v>
      </c>
      <c r="AF51" s="397">
        <f>+AF23-AF29</f>
        <v>0</v>
      </c>
      <c r="AG51" s="387">
        <f t="shared" ref="AG51" si="117">+AG23-AG29</f>
        <v>-1900</v>
      </c>
      <c r="AH51" s="367" t="str">
        <f t="shared" si="16"/>
        <v>-</v>
      </c>
      <c r="AI51" s="352">
        <f>+AI23-AI29</f>
        <v>0</v>
      </c>
      <c r="AJ51" s="397">
        <f>+AJ23-AJ29</f>
        <v>350</v>
      </c>
      <c r="AK51" s="387">
        <f t="shared" ref="AK51" si="118">+AK23-AK29</f>
        <v>-2266</v>
      </c>
      <c r="AL51" s="407" t="str">
        <f t="shared" si="17"/>
        <v>-</v>
      </c>
      <c r="AM51" s="352">
        <f>+AM23-AM29</f>
        <v>0</v>
      </c>
      <c r="AN51" s="397">
        <f>+AN23-AN29</f>
        <v>8454</v>
      </c>
      <c r="AO51" s="387">
        <f t="shared" si="18"/>
        <v>8454</v>
      </c>
      <c r="AP51" s="407" t="str">
        <f t="shared" si="19"/>
        <v>-</v>
      </c>
      <c r="AQ51" s="352">
        <f>+AQ23-AQ29</f>
        <v>0</v>
      </c>
      <c r="AR51" s="397">
        <f>+AR23-AR29</f>
        <v>9017</v>
      </c>
      <c r="AS51" s="387">
        <f t="shared" si="20"/>
        <v>9017</v>
      </c>
      <c r="AT51" s="407" t="str">
        <f t="shared" si="21"/>
        <v>-</v>
      </c>
      <c r="AU51" s="352">
        <f>+AU23-AU29</f>
        <v>0</v>
      </c>
      <c r="AV51" s="397">
        <f>+AV23-AV29</f>
        <v>8610</v>
      </c>
      <c r="AW51" s="387">
        <f t="shared" si="22"/>
        <v>8610</v>
      </c>
      <c r="AX51" s="407" t="str">
        <f t="shared" si="23"/>
        <v>-</v>
      </c>
      <c r="AY51" s="350">
        <f t="shared" si="24"/>
        <v>-22772.909</v>
      </c>
      <c r="AZ51" s="397">
        <f t="shared" si="25"/>
        <v>26845.148000000001</v>
      </c>
      <c r="BA51" s="387">
        <f t="shared" si="26"/>
        <v>49618.057000000001</v>
      </c>
      <c r="BB51" s="377">
        <f t="shared" si="27"/>
        <v>-1.1788194472651694</v>
      </c>
      <c r="BC51" s="352">
        <f>+PL推移!N50-(収支計画!W63/1000)</f>
        <v>0</v>
      </c>
      <c r="BD51" s="353" t="e">
        <f>+BC51/(収支計画!W63/1000)</f>
        <v>#DIV/0!</v>
      </c>
      <c r="BE51" s="354">
        <f>+PL推移!P50-(収支計画!Y63/1000)</f>
        <v>0</v>
      </c>
      <c r="BF51" s="351" t="e">
        <f>+BE51/(収支計画!Y63/1000)</f>
        <v>#DIV/0!</v>
      </c>
      <c r="BG51" s="352">
        <f>+PL推移!R50-(収支計画!AA63/1000)</f>
        <v>0</v>
      </c>
      <c r="BH51" s="353" t="e">
        <f>+BG51/(収支計画!AA63/1000)</f>
        <v>#DIV/0!</v>
      </c>
      <c r="BI51" s="354">
        <f>+PL推移!T50-(収支計画!AC63/1000)</f>
        <v>350</v>
      </c>
      <c r="BJ51" s="351" t="e">
        <f>+BI51/(収支計画!AC63/1000)</f>
        <v>#DIV/0!</v>
      </c>
      <c r="BK51" s="352">
        <f>+PL推移!V50-(収支計画!AE63/1000)</f>
        <v>8454</v>
      </c>
      <c r="BL51" s="353" t="e">
        <f>+BK51/(収支計画!AE63/1000)</f>
        <v>#DIV/0!</v>
      </c>
      <c r="BM51" s="354">
        <f>+PL推移!X50-(収支計画!AG63/1000)</f>
        <v>9017</v>
      </c>
      <c r="BN51" s="351" t="e">
        <f>+BM51/(収支計画!AG63/1000)</f>
        <v>#DIV/0!</v>
      </c>
      <c r="BO51" s="352">
        <f>+PL推移!Z50-(収支計画!AI63/1000)</f>
        <v>8610</v>
      </c>
      <c r="BP51" s="353" t="e">
        <f>+BO51/(収支計画!AI63/1000)</f>
        <v>#DIV/0!</v>
      </c>
    </row>
    <row r="52" spans="1:69" ht="16.899999999999999" thickTop="1">
      <c r="B52" s="1" t="s">
        <v>195</v>
      </c>
      <c r="C52" s="310">
        <f>+C51</f>
        <v>489.60099999999966</v>
      </c>
      <c r="D52" s="491">
        <f>+D51</f>
        <v>414.14800000000014</v>
      </c>
      <c r="E52" s="388">
        <f>+E51</f>
        <v>-75.462000000000216</v>
      </c>
      <c r="F52" s="368">
        <f t="shared" si="9"/>
        <v>0.84588879516177551</v>
      </c>
      <c r="G52" s="311">
        <f>+C52+G51</f>
        <v>-7003.4790000000003</v>
      </c>
      <c r="H52" s="398">
        <f>+D52+H51</f>
        <v>414.14800000000014</v>
      </c>
      <c r="I52" s="388">
        <f>+I51</f>
        <v>7493.08</v>
      </c>
      <c r="J52" s="408">
        <f t="shared" si="10"/>
        <v>-5.9134610098780925E-2</v>
      </c>
      <c r="K52" s="311">
        <f>+G52+K51</f>
        <v>-14803.798999999999</v>
      </c>
      <c r="L52" s="398">
        <f>+H52+L51</f>
        <v>414.14800000000014</v>
      </c>
      <c r="M52" s="388">
        <f>+M51</f>
        <v>7800.32</v>
      </c>
      <c r="N52" s="368">
        <f t="shared" si="11"/>
        <v>-2.7975791889635906E-2</v>
      </c>
      <c r="O52" s="311">
        <f>+K52+O51</f>
        <v>-22772.909</v>
      </c>
      <c r="P52" s="398">
        <f>+L52+P51</f>
        <v>414.14800000000014</v>
      </c>
      <c r="Q52" s="388">
        <f>+Q51</f>
        <v>7969.11</v>
      </c>
      <c r="R52" s="368">
        <f t="shared" si="12"/>
        <v>-1.8185994595596028E-2</v>
      </c>
      <c r="S52" s="311">
        <f>+O52+S51</f>
        <v>-22772.909</v>
      </c>
      <c r="T52" s="398">
        <f>+P52+T51</f>
        <v>414.14800000000014</v>
      </c>
      <c r="U52" s="388">
        <f>+U51</f>
        <v>0</v>
      </c>
      <c r="V52" s="368">
        <f t="shared" si="13"/>
        <v>-1.8185994595596028E-2</v>
      </c>
      <c r="W52" s="311">
        <f>+S52+W51</f>
        <v>-22772.909</v>
      </c>
      <c r="X52" s="398">
        <f>+T52+X51</f>
        <v>414.14800000000014</v>
      </c>
      <c r="Y52" s="388">
        <f>+X52-W52</f>
        <v>23187.057000000001</v>
      </c>
      <c r="Z52" s="368">
        <f t="shared" si="14"/>
        <v>-1.8185994595596028E-2</v>
      </c>
      <c r="AA52" s="311">
        <f>+W52+AA51</f>
        <v>-22772.909</v>
      </c>
      <c r="AB52" s="398">
        <f>+X52+AB51</f>
        <v>414.14800000000014</v>
      </c>
      <c r="AC52" s="388">
        <f>+AB52-AA52</f>
        <v>23187.057000000001</v>
      </c>
      <c r="AD52" s="368">
        <f t="shared" si="15"/>
        <v>-1.8185994595596028E-2</v>
      </c>
      <c r="AE52" s="311">
        <f>+AA52+AE51</f>
        <v>-22772.909</v>
      </c>
      <c r="AF52" s="398">
        <f>+AB52+AF51</f>
        <v>414.14800000000014</v>
      </c>
      <c r="AG52" s="388">
        <f>+AF52-AE52</f>
        <v>23187.057000000001</v>
      </c>
      <c r="AH52" s="368">
        <f t="shared" si="16"/>
        <v>-1.8185994595596028E-2</v>
      </c>
      <c r="AI52" s="311">
        <f>+AE52+AI51</f>
        <v>-22772.909</v>
      </c>
      <c r="AJ52" s="398">
        <f>+AF52+AJ51</f>
        <v>764.14800000000014</v>
      </c>
      <c r="AK52" s="388">
        <f>+AJ52-AI52</f>
        <v>23537.057000000001</v>
      </c>
      <c r="AL52" s="408">
        <f t="shared" si="17"/>
        <v>-3.355513342630053E-2</v>
      </c>
      <c r="AM52" s="311">
        <f>+AI52+AM51</f>
        <v>-22772.909</v>
      </c>
      <c r="AN52" s="398">
        <f>+AJ52+AN51</f>
        <v>9218.148000000001</v>
      </c>
      <c r="AO52" s="388">
        <f t="shared" si="18"/>
        <v>31991.057000000001</v>
      </c>
      <c r="AP52" s="408">
        <f t="shared" si="19"/>
        <v>-0.40478570392566016</v>
      </c>
      <c r="AQ52" s="311">
        <f>+AM52+AQ51</f>
        <v>-22772.909</v>
      </c>
      <c r="AR52" s="398">
        <f>+AN52+AR51</f>
        <v>18235.148000000001</v>
      </c>
      <c r="AS52" s="388">
        <f t="shared" si="20"/>
        <v>41008.057000000001</v>
      </c>
      <c r="AT52" s="408">
        <f t="shared" si="21"/>
        <v>-0.80073863202983864</v>
      </c>
      <c r="AU52" s="311">
        <f>+AQ52+AU51</f>
        <v>-22772.909</v>
      </c>
      <c r="AV52" s="398">
        <f>+AR52+AV51</f>
        <v>26845.148000000001</v>
      </c>
      <c r="AW52" s="388">
        <f t="shared" si="22"/>
        <v>49618.057000000001</v>
      </c>
      <c r="AX52" s="408">
        <f t="shared" si="23"/>
        <v>-1.1788194472651694</v>
      </c>
      <c r="AY52" s="310"/>
      <c r="AZ52" s="398"/>
      <c r="BA52" s="388"/>
      <c r="BB52" s="378" t="str">
        <f t="shared" si="27"/>
        <v>-</v>
      </c>
      <c r="BC52" s="311">
        <f>+PL推移!N51-収支計画!W64/1000</f>
        <v>14166.946</v>
      </c>
      <c r="BD52" s="339">
        <f>+BC52/(収支計画!W64/1000)</f>
        <v>-1.0301137266758371</v>
      </c>
      <c r="BE52" s="312">
        <f>+PL推移!P51-収支計画!Y64/1000</f>
        <v>14166.946</v>
      </c>
      <c r="BF52" s="338">
        <f>+BE52/(収支計画!Y64/1000)</f>
        <v>-1.0301137266758371</v>
      </c>
      <c r="BG52" s="311">
        <f>+PL推移!R51-収支計画!AA64/1000</f>
        <v>414.14800000000014</v>
      </c>
      <c r="BH52" s="339" t="e">
        <f>+BG52/(収支計画!AA64/1000)</f>
        <v>#DIV/0!</v>
      </c>
      <c r="BI52" s="312">
        <f>+PL推移!T51-収支計画!AC64/1000</f>
        <v>764.14800000000014</v>
      </c>
      <c r="BJ52" s="338" t="e">
        <f>+BI52/(収支計画!AC64/1000)</f>
        <v>#DIV/0!</v>
      </c>
      <c r="BK52" s="311">
        <f>+PL推移!V51-収支計画!AE64/1000</f>
        <v>9218.148000000001</v>
      </c>
      <c r="BL52" s="339" t="e">
        <f>+BK52/(収支計画!AE64/1000)</f>
        <v>#DIV/0!</v>
      </c>
      <c r="BM52" s="312">
        <f>+PL推移!X51-収支計画!AG64/1000</f>
        <v>18235.148000000001</v>
      </c>
      <c r="BN52" s="338" t="e">
        <f>+BM52/(収支計画!AG64/1000)</f>
        <v>#DIV/0!</v>
      </c>
      <c r="BO52" s="311">
        <f>+PL推移!Z51-収支計画!AI64/1000</f>
        <v>26845.148000000001</v>
      </c>
      <c r="BP52" s="339" t="e">
        <f>+BO52/(収支計画!AI64/1000)</f>
        <v>#DIV/0!</v>
      </c>
    </row>
    <row r="53" spans="1:69" s="159" customFormat="1">
      <c r="A53" s="159" t="s">
        <v>147</v>
      </c>
      <c r="C53" s="340">
        <f>+収支計画!G58/1000</f>
        <v>0</v>
      </c>
      <c r="D53" s="492">
        <f>+PL推移!D52</f>
        <v>0</v>
      </c>
      <c r="E53" s="389">
        <f t="shared" ref="E53" si="119">+D53-C53</f>
        <v>0</v>
      </c>
      <c r="F53" s="369" t="str">
        <f t="shared" si="9"/>
        <v>-</v>
      </c>
      <c r="G53" s="342">
        <f>+収支計画!K65/1000</f>
        <v>0</v>
      </c>
      <c r="H53" s="399">
        <f>+PL推移!F52</f>
        <v>0</v>
      </c>
      <c r="I53" s="389">
        <f t="shared" ref="I53:I54" si="120">+H53-G53</f>
        <v>0</v>
      </c>
      <c r="J53" s="409" t="str">
        <f t="shared" si="10"/>
        <v>-</v>
      </c>
      <c r="K53" s="342">
        <f>+収支計画!O65/1000</f>
        <v>0</v>
      </c>
      <c r="L53" s="399">
        <f>+PL推移!H52</f>
        <v>0</v>
      </c>
      <c r="M53" s="389">
        <f t="shared" ref="M53:M54" si="121">+L53-K53</f>
        <v>0</v>
      </c>
      <c r="N53" s="369" t="str">
        <f t="shared" si="11"/>
        <v>-</v>
      </c>
      <c r="O53" s="342">
        <f>+収支計画!S65/1000</f>
        <v>0</v>
      </c>
      <c r="P53" s="399">
        <f>+PL推移!J52</f>
        <v>0</v>
      </c>
      <c r="Q53" s="389">
        <f t="shared" ref="Q53:Q54" si="122">+P53-O53</f>
        <v>0</v>
      </c>
      <c r="R53" s="369" t="str">
        <f t="shared" si="12"/>
        <v>-</v>
      </c>
      <c r="S53" s="342">
        <f>+収支計画!W65/1000</f>
        <v>0</v>
      </c>
      <c r="T53" s="399">
        <f>+PL推移!L52</f>
        <v>0</v>
      </c>
      <c r="U53" s="389">
        <f t="shared" ref="U53:U54" si="123">+T53-S53</f>
        <v>0</v>
      </c>
      <c r="V53" s="369" t="str">
        <f t="shared" si="13"/>
        <v>-</v>
      </c>
      <c r="W53" s="342">
        <f>+収支計画!AA65/1000</f>
        <v>0</v>
      </c>
      <c r="X53" s="399">
        <f>+PL推移!N52</f>
        <v>0</v>
      </c>
      <c r="Y53" s="389">
        <f t="shared" ref="Y53:Y54" si="124">+X53-W53</f>
        <v>0</v>
      </c>
      <c r="Z53" s="369" t="str">
        <f t="shared" si="14"/>
        <v>-</v>
      </c>
      <c r="AA53" s="342">
        <f>+収支計画!AE65/1000</f>
        <v>0</v>
      </c>
      <c r="AB53" s="399">
        <f>+PL推移!P52</f>
        <v>0</v>
      </c>
      <c r="AC53" s="389">
        <f t="shared" ref="AC53:AC54" si="125">+AB53-AA53</f>
        <v>0</v>
      </c>
      <c r="AD53" s="369" t="str">
        <f t="shared" si="15"/>
        <v>-</v>
      </c>
      <c r="AE53" s="342">
        <f>+収支計画!AI65/1000</f>
        <v>0</v>
      </c>
      <c r="AF53" s="399">
        <f>+PL推移!R52</f>
        <v>0</v>
      </c>
      <c r="AG53" s="389">
        <f t="shared" ref="AG53:AG54" si="126">+AF53-AE53</f>
        <v>0</v>
      </c>
      <c r="AH53" s="369" t="str">
        <f t="shared" si="16"/>
        <v>-</v>
      </c>
      <c r="AI53" s="342">
        <f>+収支計画!AM65/1000</f>
        <v>0</v>
      </c>
      <c r="AJ53" s="399">
        <f>+PL推移!T52</f>
        <v>0</v>
      </c>
      <c r="AK53" s="389">
        <f t="shared" ref="AK53:AK54" si="127">+AJ53-AI53</f>
        <v>0</v>
      </c>
      <c r="AL53" s="409" t="str">
        <f t="shared" si="17"/>
        <v>-</v>
      </c>
      <c r="AM53" s="342">
        <f>+収支計画!AQ65/1000</f>
        <v>0</v>
      </c>
      <c r="AN53" s="399">
        <f>+PL推移!V52</f>
        <v>0</v>
      </c>
      <c r="AO53" s="389">
        <f t="shared" si="18"/>
        <v>0</v>
      </c>
      <c r="AP53" s="409" t="str">
        <f t="shared" si="19"/>
        <v>-</v>
      </c>
      <c r="AQ53" s="342">
        <f>+収支計画!AG65/1000</f>
        <v>0</v>
      </c>
      <c r="AR53" s="399">
        <f>+PL推移!X52</f>
        <v>0</v>
      </c>
      <c r="AS53" s="389">
        <f t="shared" si="20"/>
        <v>0</v>
      </c>
      <c r="AT53" s="409" t="str">
        <f t="shared" si="21"/>
        <v>-</v>
      </c>
      <c r="AU53" s="342">
        <f>+収支計画!AI65/1000</f>
        <v>0</v>
      </c>
      <c r="AV53" s="399">
        <f>+PL推移!Z52</f>
        <v>0</v>
      </c>
      <c r="AW53" s="389">
        <f t="shared" si="22"/>
        <v>0</v>
      </c>
      <c r="AX53" s="409" t="str">
        <f t="shared" si="23"/>
        <v>-</v>
      </c>
      <c r="AY53" s="340">
        <f t="shared" ref="AY53:AY55" si="128">+C53+G53+K53+O53+S53+W53+AA53+AE53+AI53+AM53+AQ53+AU53</f>
        <v>0</v>
      </c>
      <c r="AZ53" s="399">
        <f t="shared" ref="AZ53:AZ55" si="129">+D53+H53+L53+P53+T53+X53+AB53+AF53+AJ53+AN53+AR53+AV53</f>
        <v>0</v>
      </c>
      <c r="BA53" s="389">
        <f t="shared" si="26"/>
        <v>0</v>
      </c>
      <c r="BB53" s="379" t="str">
        <f t="shared" si="27"/>
        <v>-</v>
      </c>
      <c r="BC53" s="342">
        <f>+PL推移!N52-収支計画!W65/1000</f>
        <v>0</v>
      </c>
      <c r="BD53" s="343" t="e">
        <f>+BC53/(収支計画!W65/1000)</f>
        <v>#DIV/0!</v>
      </c>
      <c r="BE53" s="344">
        <f>+PL推移!P52-収支計画!Y65/1000</f>
        <v>0</v>
      </c>
      <c r="BF53" s="341" t="e">
        <f>+BE53/(収支計画!Y65/1000)</f>
        <v>#DIV/0!</v>
      </c>
      <c r="BG53" s="342">
        <f>+PL推移!R52-収支計画!AA65/1000</f>
        <v>0</v>
      </c>
      <c r="BH53" s="343" t="e">
        <f>+BG53/(収支計画!AA65/1000)</f>
        <v>#DIV/0!</v>
      </c>
      <c r="BI53" s="344">
        <f>+PL推移!T52-収支計画!AC65/1000</f>
        <v>0</v>
      </c>
      <c r="BJ53" s="341" t="e">
        <f>+BI53/(収支計画!AC65/1000)</f>
        <v>#DIV/0!</v>
      </c>
      <c r="BK53" s="342">
        <f>+PL推移!V52-収支計画!AE65/1000</f>
        <v>0</v>
      </c>
      <c r="BL53" s="343" t="e">
        <f>+BK53/(収支計画!AE65/1000)</f>
        <v>#DIV/0!</v>
      </c>
      <c r="BM53" s="344">
        <f>+PL推移!X52-収支計画!AG65/1000</f>
        <v>0</v>
      </c>
      <c r="BN53" s="341" t="e">
        <f>+BM53/(収支計画!AG65/1000)</f>
        <v>#DIV/0!</v>
      </c>
      <c r="BO53" s="342">
        <f>+PL推移!Z52-収支計画!AI65/1000</f>
        <v>0</v>
      </c>
      <c r="BP53" s="343" t="e">
        <f>+BO53/(収支計画!AI65/1000)</f>
        <v>#DIV/0!</v>
      </c>
    </row>
    <row r="54" spans="1:69" s="159" customFormat="1">
      <c r="A54" s="159" t="s">
        <v>148</v>
      </c>
      <c r="C54" s="340">
        <f>+収支計画!G59/1000</f>
        <v>120</v>
      </c>
      <c r="D54" s="492">
        <f>+PL推移!D53</f>
        <v>146.48599999999999</v>
      </c>
      <c r="E54" s="389">
        <f t="shared" ref="E54" si="130">+D54-C54</f>
        <v>26.48599999999999</v>
      </c>
      <c r="F54" s="369">
        <f t="shared" si="9"/>
        <v>1.2207166666666667</v>
      </c>
      <c r="G54" s="342">
        <f>+収支計画!K66/1000</f>
        <v>4883.2449999999999</v>
      </c>
      <c r="H54" s="399">
        <f>+PL推移!F53</f>
        <v>0</v>
      </c>
      <c r="I54" s="389">
        <f t="shared" si="120"/>
        <v>-4883.2449999999999</v>
      </c>
      <c r="J54" s="409">
        <f t="shared" si="10"/>
        <v>0</v>
      </c>
      <c r="K54" s="342">
        <f>+収支計画!O66/1000</f>
        <v>5483.2449999999999</v>
      </c>
      <c r="L54" s="399">
        <f>+PL推移!H53</f>
        <v>0</v>
      </c>
      <c r="M54" s="389">
        <f t="shared" si="121"/>
        <v>-5483.2449999999999</v>
      </c>
      <c r="N54" s="369">
        <f t="shared" si="11"/>
        <v>0</v>
      </c>
      <c r="O54" s="342">
        <f>+収支計画!S66/1000</f>
        <v>2747.319</v>
      </c>
      <c r="P54" s="399">
        <f>+PL推移!J53</f>
        <v>0</v>
      </c>
      <c r="Q54" s="389">
        <f t="shared" si="122"/>
        <v>-2747.319</v>
      </c>
      <c r="R54" s="369">
        <f t="shared" si="12"/>
        <v>0</v>
      </c>
      <c r="S54" s="342">
        <f>+収支計画!U66/1000</f>
        <v>0</v>
      </c>
      <c r="T54" s="399">
        <f>+PL推移!L53</f>
        <v>0</v>
      </c>
      <c r="U54" s="389">
        <f t="shared" si="123"/>
        <v>0</v>
      </c>
      <c r="V54" s="369" t="str">
        <f t="shared" si="13"/>
        <v>-</v>
      </c>
      <c r="W54" s="342">
        <f>+収支計画!Y66/1000</f>
        <v>0</v>
      </c>
      <c r="X54" s="399">
        <f>+PL推移!N53</f>
        <v>0</v>
      </c>
      <c r="Y54" s="389">
        <f t="shared" si="124"/>
        <v>0</v>
      </c>
      <c r="Z54" s="369" t="str">
        <f t="shared" si="14"/>
        <v>-</v>
      </c>
      <c r="AA54" s="342">
        <f>+収支計画!Y66/1000</f>
        <v>0</v>
      </c>
      <c r="AB54" s="399">
        <f>+PL推移!P53</f>
        <v>0</v>
      </c>
      <c r="AC54" s="389">
        <f t="shared" si="125"/>
        <v>0</v>
      </c>
      <c r="AD54" s="369" t="str">
        <f t="shared" si="15"/>
        <v>-</v>
      </c>
      <c r="AE54" s="342">
        <f>+収支計画!AA66/1000</f>
        <v>0</v>
      </c>
      <c r="AF54" s="399">
        <f>+PL推移!R53</f>
        <v>0</v>
      </c>
      <c r="AG54" s="389">
        <f t="shared" si="126"/>
        <v>0</v>
      </c>
      <c r="AH54" s="369" t="str">
        <f t="shared" si="16"/>
        <v>-</v>
      </c>
      <c r="AI54" s="342">
        <f>+収支計画!AE66/1000</f>
        <v>0</v>
      </c>
      <c r="AJ54" s="399">
        <f>+PL推移!T53</f>
        <v>0</v>
      </c>
      <c r="AK54" s="389">
        <f t="shared" si="127"/>
        <v>0</v>
      </c>
      <c r="AL54" s="409" t="str">
        <f t="shared" si="17"/>
        <v>-</v>
      </c>
      <c r="AM54" s="342">
        <f>+収支計画!AI66/1000</f>
        <v>0</v>
      </c>
      <c r="AN54" s="399">
        <f>+PL推移!V53</f>
        <v>0</v>
      </c>
      <c r="AO54" s="389">
        <f t="shared" si="18"/>
        <v>0</v>
      </c>
      <c r="AP54" s="409" t="str">
        <f t="shared" si="19"/>
        <v>-</v>
      </c>
      <c r="AQ54" s="342">
        <f>+収支計画!AG66/1000</f>
        <v>0</v>
      </c>
      <c r="AR54" s="399">
        <f>+PL推移!X53</f>
        <v>0</v>
      </c>
      <c r="AS54" s="389">
        <f t="shared" si="20"/>
        <v>0</v>
      </c>
      <c r="AT54" s="409" t="str">
        <f t="shared" si="21"/>
        <v>-</v>
      </c>
      <c r="AU54" s="342">
        <f>+収支計画!AI66/1000</f>
        <v>0</v>
      </c>
      <c r="AV54" s="399">
        <f>+PL推移!Z53</f>
        <v>0</v>
      </c>
      <c r="AW54" s="389">
        <f t="shared" si="22"/>
        <v>0</v>
      </c>
      <c r="AX54" s="409" t="str">
        <f t="shared" si="23"/>
        <v>-</v>
      </c>
      <c r="AY54" s="340">
        <f t="shared" si="128"/>
        <v>13233.808999999999</v>
      </c>
      <c r="AZ54" s="399">
        <f t="shared" si="129"/>
        <v>146.48599999999999</v>
      </c>
      <c r="BA54" s="389">
        <f t="shared" si="26"/>
        <v>-13087.322999999999</v>
      </c>
      <c r="BB54" s="379">
        <f t="shared" si="27"/>
        <v>1.106907315951137E-2</v>
      </c>
      <c r="BC54" s="342">
        <f>+PL推移!N53-収支計画!W66/1000</f>
        <v>0</v>
      </c>
      <c r="BD54" s="343" t="e">
        <f>+BC54/(収支計画!W66/1000)</f>
        <v>#DIV/0!</v>
      </c>
      <c r="BE54" s="344">
        <f>+PL推移!P53-収支計画!Y66/1000</f>
        <v>0</v>
      </c>
      <c r="BF54" s="341" t="e">
        <f>+BE54/(収支計画!Y66/1000)</f>
        <v>#DIV/0!</v>
      </c>
      <c r="BG54" s="342">
        <f>+PL推移!R53-収支計画!AA66/1000</f>
        <v>0</v>
      </c>
      <c r="BH54" s="343" t="e">
        <f>+BG54/(収支計画!AA66/1000)</f>
        <v>#DIV/0!</v>
      </c>
      <c r="BI54" s="344">
        <f>+PL推移!T53-収支計画!AC66/1000</f>
        <v>0</v>
      </c>
      <c r="BJ54" s="341" t="e">
        <f>+BI54/(収支計画!AC66/1000)</f>
        <v>#DIV/0!</v>
      </c>
      <c r="BK54" s="342">
        <f>+PL推移!V53-収支計画!AE66/1000</f>
        <v>0</v>
      </c>
      <c r="BL54" s="343" t="e">
        <f>+BK54/(収支計画!AE66/1000)</f>
        <v>#DIV/0!</v>
      </c>
      <c r="BM54" s="344">
        <f>+PL推移!X53-収支計画!AG66/1000</f>
        <v>0</v>
      </c>
      <c r="BN54" s="341" t="e">
        <f>+BM54/(収支計画!AG66/1000)</f>
        <v>#DIV/0!</v>
      </c>
      <c r="BO54" s="342">
        <f>+PL推移!Z53-収支計画!AI66/1000</f>
        <v>0</v>
      </c>
      <c r="BP54" s="343" t="e">
        <f>+BO54/(収支計画!AI66/1000)</f>
        <v>#DIV/0!</v>
      </c>
    </row>
    <row r="55" spans="1:69" s="52" customFormat="1" ht="16.899999999999999" thickBot="1">
      <c r="A55" s="52" t="s">
        <v>149</v>
      </c>
      <c r="C55" s="350">
        <f>+C51+C53-C54</f>
        <v>369.60099999999966</v>
      </c>
      <c r="D55" s="490">
        <f t="shared" ref="D55:E55" si="131">+D51+D53-D54</f>
        <v>267.66200000000015</v>
      </c>
      <c r="E55" s="387">
        <f t="shared" si="131"/>
        <v>-101.94800000000021</v>
      </c>
      <c r="F55" s="367">
        <f t="shared" si="9"/>
        <v>0.72419176355042436</v>
      </c>
      <c r="G55" s="352">
        <f>+G51+G53-G54</f>
        <v>-12376.325000000001</v>
      </c>
      <c r="H55" s="397">
        <f>+PL推移!F54</f>
        <v>0</v>
      </c>
      <c r="I55" s="387">
        <f t="shared" ref="I55" si="132">+I51+I53-I54</f>
        <v>12376.325000000001</v>
      </c>
      <c r="J55" s="407">
        <f t="shared" si="10"/>
        <v>0</v>
      </c>
      <c r="K55" s="352">
        <f>+K51+K53-K54</f>
        <v>-13283.564999999999</v>
      </c>
      <c r="L55" s="397">
        <f>+PL推移!H54</f>
        <v>0</v>
      </c>
      <c r="M55" s="387">
        <f t="shared" ref="M55" si="133">+M51+M53-M54</f>
        <v>13283.564999999999</v>
      </c>
      <c r="N55" s="367">
        <f t="shared" si="11"/>
        <v>0</v>
      </c>
      <c r="O55" s="352">
        <f>+O51+O53-O54</f>
        <v>-10716.429</v>
      </c>
      <c r="P55" s="397">
        <f>+PL推移!J54</f>
        <v>0</v>
      </c>
      <c r="Q55" s="387">
        <f t="shared" ref="Q55" si="134">+Q51+Q53-Q54</f>
        <v>10716.429</v>
      </c>
      <c r="R55" s="367">
        <f t="shared" si="12"/>
        <v>0</v>
      </c>
      <c r="S55" s="352">
        <f>+S51+S53-S54</f>
        <v>0</v>
      </c>
      <c r="T55" s="397">
        <f>+PL推移!L54</f>
        <v>0</v>
      </c>
      <c r="U55" s="387">
        <f t="shared" ref="U55" si="135">+U51+U53-U54</f>
        <v>0</v>
      </c>
      <c r="V55" s="367" t="str">
        <f t="shared" si="13"/>
        <v>-</v>
      </c>
      <c r="W55" s="352">
        <f>+W51+W53-W54</f>
        <v>0</v>
      </c>
      <c r="X55" s="397">
        <f>+PL推移!N54</f>
        <v>0</v>
      </c>
      <c r="Y55" s="387">
        <f t="shared" ref="Y55" si="136">+Y51+Y53-Y54</f>
        <v>0</v>
      </c>
      <c r="Z55" s="367" t="str">
        <f t="shared" si="14"/>
        <v>-</v>
      </c>
      <c r="AA55" s="352">
        <f>+AA51+AA53-AA54</f>
        <v>0</v>
      </c>
      <c r="AB55" s="397">
        <f>+AB51+AB53-AB54</f>
        <v>0</v>
      </c>
      <c r="AC55" s="387">
        <f t="shared" ref="AC55" si="137">+AC51+AC53-AC54</f>
        <v>0</v>
      </c>
      <c r="AD55" s="367" t="str">
        <f t="shared" si="15"/>
        <v>-</v>
      </c>
      <c r="AE55" s="352">
        <f>+AE51+AE53-AE54</f>
        <v>0</v>
      </c>
      <c r="AF55" s="397">
        <f>+AF51+AF53-AF54</f>
        <v>0</v>
      </c>
      <c r="AG55" s="387">
        <f t="shared" ref="AG55" si="138">+AG51+AG53-AG54</f>
        <v>-1900</v>
      </c>
      <c r="AH55" s="367" t="str">
        <f t="shared" si="16"/>
        <v>-</v>
      </c>
      <c r="AI55" s="352">
        <f>+AI51+AI53-AI54</f>
        <v>0</v>
      </c>
      <c r="AJ55" s="397">
        <f>+AJ51+AJ53-AJ54</f>
        <v>350</v>
      </c>
      <c r="AK55" s="387">
        <f t="shared" ref="AK55" si="139">+AK51+AK53-AK54</f>
        <v>-2266</v>
      </c>
      <c r="AL55" s="407" t="str">
        <f t="shared" si="17"/>
        <v>-</v>
      </c>
      <c r="AM55" s="352">
        <f>+AM51+AM53-AM54</f>
        <v>0</v>
      </c>
      <c r="AN55" s="397">
        <f>+AN51+AN53-AN54</f>
        <v>8454</v>
      </c>
      <c r="AO55" s="387">
        <f t="shared" si="18"/>
        <v>8454</v>
      </c>
      <c r="AP55" s="407" t="str">
        <f t="shared" si="19"/>
        <v>-</v>
      </c>
      <c r="AQ55" s="352">
        <f>+AQ51+AQ53-AQ54</f>
        <v>0</v>
      </c>
      <c r="AR55" s="397">
        <f>+AR51+AR53-AR54</f>
        <v>9017</v>
      </c>
      <c r="AS55" s="387">
        <f t="shared" si="20"/>
        <v>9017</v>
      </c>
      <c r="AT55" s="407" t="str">
        <f t="shared" si="21"/>
        <v>-</v>
      </c>
      <c r="AU55" s="352">
        <f>+AU51+AU53-AU54</f>
        <v>0</v>
      </c>
      <c r="AV55" s="397">
        <f>+AV51+AV53-AV54</f>
        <v>8610</v>
      </c>
      <c r="AW55" s="387">
        <f t="shared" si="22"/>
        <v>8610</v>
      </c>
      <c r="AX55" s="407" t="str">
        <f t="shared" si="23"/>
        <v>-</v>
      </c>
      <c r="AY55" s="350">
        <f t="shared" si="128"/>
        <v>-36006.718000000001</v>
      </c>
      <c r="AZ55" s="397">
        <f t="shared" si="129"/>
        <v>26698.662</v>
      </c>
      <c r="BA55" s="387">
        <f t="shared" si="26"/>
        <v>62705.380000000005</v>
      </c>
      <c r="BB55" s="377">
        <f t="shared" si="27"/>
        <v>-0.74149112951644192</v>
      </c>
      <c r="BC55" s="352" t="e">
        <f>+PL推移!N54-収支計画!W67/1000</f>
        <v>#DIV/0!</v>
      </c>
      <c r="BD55" s="353" t="e">
        <f>+BC55/(収支計画!W67/1000)</f>
        <v>#DIV/0!</v>
      </c>
      <c r="BE55" s="354" t="e">
        <f>+PL推移!P54-収支計画!Y67/1000</f>
        <v>#DIV/0!</v>
      </c>
      <c r="BF55" s="351" t="e">
        <f>+BE55/(収支計画!Y67/1000)</f>
        <v>#DIV/0!</v>
      </c>
      <c r="BG55" s="352">
        <f>+PL推移!R54-収支計画!AA67/1000</f>
        <v>0</v>
      </c>
      <c r="BH55" s="353" t="e">
        <f>+BG55/(収支計画!AA67/1000)</f>
        <v>#DIV/0!</v>
      </c>
      <c r="BI55" s="354">
        <f>+PL推移!T54-収支計画!AC67/1000</f>
        <v>350</v>
      </c>
      <c r="BJ55" s="351" t="e">
        <f>+BI55/(収支計画!AC67/1000)</f>
        <v>#DIV/0!</v>
      </c>
      <c r="BK55" s="352">
        <f>+PL推移!V54-収支計画!AE67/1000</f>
        <v>8454</v>
      </c>
      <c r="BL55" s="353" t="e">
        <f>+BK55/(収支計画!AE67/1000)</f>
        <v>#DIV/0!</v>
      </c>
      <c r="BM55" s="354">
        <f>+PL推移!X54-収支計画!AG67/1000</f>
        <v>9017</v>
      </c>
      <c r="BN55" s="351" t="e">
        <f>+BM55/(収支計画!AG67/1000)</f>
        <v>#DIV/0!</v>
      </c>
      <c r="BO55" s="352">
        <f>+PL推移!Z54-収支計画!AI67/1000</f>
        <v>8610</v>
      </c>
      <c r="BP55" s="353" t="e">
        <f>+BO55/(収支計画!AI67/1000)</f>
        <v>#DIV/0!</v>
      </c>
    </row>
    <row r="56" spans="1:69" ht="16.899999999999999" thickTop="1">
      <c r="B56" s="1" t="s">
        <v>195</v>
      </c>
      <c r="C56" s="310">
        <f>+C55</f>
        <v>369.60099999999966</v>
      </c>
      <c r="D56" s="491">
        <f t="shared" ref="D56:E56" si="140">+D55</f>
        <v>267.66200000000015</v>
      </c>
      <c r="E56" s="388">
        <f t="shared" si="140"/>
        <v>-101.94800000000021</v>
      </c>
      <c r="F56" s="368">
        <f t="shared" si="9"/>
        <v>0.72419176355042436</v>
      </c>
      <c r="G56" s="311">
        <f>+C56+G55</f>
        <v>-12006.724000000002</v>
      </c>
      <c r="H56" s="398">
        <f>+D56+H55</f>
        <v>267.66200000000015</v>
      </c>
      <c r="I56" s="388">
        <f t="shared" ref="I56" si="141">+I55</f>
        <v>12376.325000000001</v>
      </c>
      <c r="J56" s="408">
        <f t="shared" si="10"/>
        <v>-2.229267533758585E-2</v>
      </c>
      <c r="K56" s="311">
        <f>+G56+K55</f>
        <v>-25290.289000000001</v>
      </c>
      <c r="L56" s="398">
        <f>+H56+L55</f>
        <v>267.66200000000015</v>
      </c>
      <c r="M56" s="388">
        <f t="shared" ref="M56" si="142">+M55</f>
        <v>13283.564999999999</v>
      </c>
      <c r="N56" s="368">
        <f t="shared" si="11"/>
        <v>-1.0583588032544829E-2</v>
      </c>
      <c r="O56" s="311">
        <f>+K56+O55</f>
        <v>-36006.718000000001</v>
      </c>
      <c r="P56" s="398">
        <f>+PL推移!J55</f>
        <v>267.66200000000015</v>
      </c>
      <c r="Q56" s="388">
        <f>+P56-O56</f>
        <v>36274.379999999997</v>
      </c>
      <c r="R56" s="368">
        <f t="shared" si="12"/>
        <v>-7.4336683504450515E-3</v>
      </c>
      <c r="S56" s="311">
        <f>+O56+S55</f>
        <v>-36006.718000000001</v>
      </c>
      <c r="T56" s="398">
        <f>+P56+T55</f>
        <v>267.66200000000015</v>
      </c>
      <c r="U56" s="388">
        <f>+T56-S56</f>
        <v>36274.379999999997</v>
      </c>
      <c r="V56" s="368">
        <f t="shared" si="13"/>
        <v>-7.4336683504450515E-3</v>
      </c>
      <c r="W56" s="311">
        <f>+S56+W55</f>
        <v>-36006.718000000001</v>
      </c>
      <c r="X56" s="398">
        <f>+T56+X55</f>
        <v>267.66200000000015</v>
      </c>
      <c r="Y56" s="388">
        <f>+X56-W56</f>
        <v>36274.379999999997</v>
      </c>
      <c r="Z56" s="368">
        <f t="shared" si="14"/>
        <v>-7.4336683504450515E-3</v>
      </c>
      <c r="AA56" s="311">
        <f>+W56+AA55</f>
        <v>-36006.718000000001</v>
      </c>
      <c r="AB56" s="398">
        <f>+X56+AB55</f>
        <v>267.66200000000015</v>
      </c>
      <c r="AC56" s="388">
        <f>+AB56-AA56</f>
        <v>36274.379999999997</v>
      </c>
      <c r="AD56" s="368">
        <f t="shared" si="15"/>
        <v>-7.4336683504450515E-3</v>
      </c>
      <c r="AE56" s="311">
        <f>+AA56+AE55</f>
        <v>-36006.718000000001</v>
      </c>
      <c r="AF56" s="398">
        <f>+AB56+AF55</f>
        <v>267.66200000000015</v>
      </c>
      <c r="AG56" s="388">
        <f>+AF56-AE56</f>
        <v>36274.379999999997</v>
      </c>
      <c r="AH56" s="368">
        <f t="shared" si="16"/>
        <v>-7.4336683504450515E-3</v>
      </c>
      <c r="AI56" s="311">
        <f>+AE56+AI55</f>
        <v>-36006.718000000001</v>
      </c>
      <c r="AJ56" s="398">
        <f>+AF56+AJ55</f>
        <v>617.66200000000015</v>
      </c>
      <c r="AK56" s="388">
        <f>+AJ56-AI56</f>
        <v>36624.379999999997</v>
      </c>
      <c r="AL56" s="408">
        <f t="shared" si="17"/>
        <v>-1.7154076636476563E-2</v>
      </c>
      <c r="AM56" s="311">
        <f>+AI56+AM55</f>
        <v>-36006.718000000001</v>
      </c>
      <c r="AN56" s="398">
        <f>+AJ56+AN55</f>
        <v>9071.6620000000003</v>
      </c>
      <c r="AO56" s="388">
        <f>+AN56-AM56</f>
        <v>45078.380000000005</v>
      </c>
      <c r="AP56" s="408">
        <f t="shared" si="19"/>
        <v>-0.25194359563679203</v>
      </c>
      <c r="AQ56" s="311">
        <f>+AM56+AQ55</f>
        <v>-36006.718000000001</v>
      </c>
      <c r="AR56" s="398">
        <f>+AN56+AR55</f>
        <v>18088.662</v>
      </c>
      <c r="AS56" s="388">
        <f>+AR56-AQ56</f>
        <v>54095.380000000005</v>
      </c>
      <c r="AT56" s="408">
        <f t="shared" si="21"/>
        <v>-0.50236908568006666</v>
      </c>
      <c r="AU56" s="311">
        <f>+AQ56+AU55</f>
        <v>-36006.718000000001</v>
      </c>
      <c r="AV56" s="398">
        <f>+AR56+AV55</f>
        <v>26698.662</v>
      </c>
      <c r="AW56" s="388">
        <f>+AV56-AU56</f>
        <v>62705.380000000005</v>
      </c>
      <c r="AX56" s="408">
        <f t="shared" si="23"/>
        <v>-0.74149112951644192</v>
      </c>
      <c r="AY56" s="310"/>
      <c r="AZ56" s="398"/>
      <c r="BA56" s="388"/>
      <c r="BB56" s="378" t="str">
        <f t="shared" si="27"/>
        <v>-</v>
      </c>
      <c r="BC56" s="311">
        <f>+PL推移!N55-収支計画!W68/1000</f>
        <v>267.66200000000015</v>
      </c>
      <c r="BD56" s="339" t="e">
        <f>+BC56/(収支計画!W68/1000)</f>
        <v>#DIV/0!</v>
      </c>
      <c r="BE56" s="312">
        <f>+PL推移!P55-収支計画!Y68/1000</f>
        <v>267.66200000000015</v>
      </c>
      <c r="BF56" s="338" t="e">
        <f>+BE56/(収支計画!Y68/1000)</f>
        <v>#DIV/0!</v>
      </c>
      <c r="BG56" s="311">
        <f>+PL推移!R55-収支計画!AA68/1000</f>
        <v>267.66200000000015</v>
      </c>
      <c r="BH56" s="339" t="e">
        <f>+BG56/(収支計画!AA68/1000)</f>
        <v>#DIV/0!</v>
      </c>
      <c r="BI56" s="312">
        <f>+PL推移!T55-収支計画!AC68/1000</f>
        <v>617.66200000000015</v>
      </c>
      <c r="BJ56" s="338" t="e">
        <f>+BI56/(収支計画!AC68/1000)</f>
        <v>#DIV/0!</v>
      </c>
      <c r="BK56" s="311">
        <f>+PL推移!V55-収支計画!AE68/1000</f>
        <v>9071.6620000000003</v>
      </c>
      <c r="BL56" s="339" t="e">
        <f>+BK56/(収支計画!AE68/1000)</f>
        <v>#DIV/0!</v>
      </c>
      <c r="BM56" s="312">
        <f>+PL推移!X55-収支計画!AG68/1000</f>
        <v>18088.662</v>
      </c>
      <c r="BN56" s="338" t="e">
        <f>+BM56/(収支計画!AG68/1000)</f>
        <v>#DIV/0!</v>
      </c>
      <c r="BO56" s="311">
        <f>+PL推移!Z55-収支計画!AI68/1000</f>
        <v>26698.662</v>
      </c>
      <c r="BP56" s="339" t="e">
        <f>+BO56/(収支計画!AI68/1000)</f>
        <v>#DIV/0!</v>
      </c>
    </row>
    <row r="57" spans="1:69" s="13" customFormat="1">
      <c r="B57" s="13" t="s">
        <v>486</v>
      </c>
      <c r="C57" s="612">
        <f>+収支計画!G67</f>
        <v>0.53214259459459456</v>
      </c>
      <c r="D57" s="612">
        <f>+(D30+D17)/D11</f>
        <v>0.51952310693019643</v>
      </c>
      <c r="E57" s="612"/>
      <c r="G57" s="612"/>
      <c r="H57" s="612"/>
      <c r="I57" s="612"/>
      <c r="J57" s="400"/>
      <c r="K57" s="612"/>
      <c r="L57" s="612"/>
      <c r="M57" s="612"/>
      <c r="N57" s="400"/>
      <c r="O57" s="612"/>
      <c r="P57" s="612"/>
      <c r="Q57" s="612"/>
      <c r="R57" s="400"/>
      <c r="S57" s="612"/>
      <c r="T57" s="612"/>
      <c r="U57" s="612"/>
      <c r="V57" s="400"/>
      <c r="W57" s="612"/>
      <c r="X57" s="612"/>
      <c r="Y57" s="612"/>
      <c r="Z57" s="400"/>
      <c r="AA57" s="612"/>
      <c r="AB57" s="612"/>
      <c r="AC57" s="612"/>
      <c r="AD57" s="400"/>
      <c r="AE57" s="612"/>
      <c r="AF57" s="612"/>
      <c r="AG57" s="612"/>
      <c r="AH57" s="400"/>
      <c r="AI57" s="612"/>
      <c r="AJ57" s="612"/>
      <c r="AK57" s="612"/>
      <c r="AL57" s="400"/>
      <c r="AM57" s="612"/>
      <c r="AN57" s="612"/>
      <c r="AO57" s="612"/>
      <c r="AP57" s="400"/>
      <c r="AQ57" s="612"/>
      <c r="AR57" s="612"/>
      <c r="AS57" s="612"/>
      <c r="AT57" s="400"/>
      <c r="AU57" s="612"/>
      <c r="AV57" s="612"/>
      <c r="AW57" s="612"/>
      <c r="AX57" s="400"/>
      <c r="AY57" s="612"/>
      <c r="AZ57" s="612"/>
      <c r="BA57" s="612"/>
      <c r="BC57" s="612"/>
      <c r="BE57" s="612"/>
      <c r="BG57" s="612"/>
      <c r="BI57" s="612"/>
      <c r="BK57" s="612"/>
      <c r="BM57" s="612"/>
      <c r="BO57" s="612"/>
    </row>
    <row r="58" spans="1:69">
      <c r="C58" s="415" t="s">
        <v>380</v>
      </c>
      <c r="D58" s="416" t="s">
        <v>382</v>
      </c>
      <c r="E58" s="416"/>
      <c r="F58" s="411">
        <f>+E12</f>
        <v>-575</v>
      </c>
      <c r="S58" s="423" t="s">
        <v>26</v>
      </c>
      <c r="T58" s="424" t="s">
        <v>377</v>
      </c>
      <c r="U58" s="424"/>
      <c r="V58" s="425">
        <v>177</v>
      </c>
      <c r="W58" s="415" t="s">
        <v>380</v>
      </c>
      <c r="X58" s="416" t="s">
        <v>382</v>
      </c>
      <c r="Y58" s="416"/>
      <c r="Z58" s="411">
        <f>+Y12</f>
        <v>0</v>
      </c>
      <c r="AA58" s="415" t="s">
        <v>380</v>
      </c>
      <c r="AB58" s="416" t="s">
        <v>382</v>
      </c>
      <c r="AC58" s="416"/>
      <c r="AD58" s="411">
        <v>474</v>
      </c>
      <c r="AE58" s="415" t="s">
        <v>380</v>
      </c>
      <c r="AF58" s="416" t="s">
        <v>382</v>
      </c>
      <c r="AG58" s="416"/>
      <c r="AH58" s="440">
        <f>+AG12</f>
        <v>0</v>
      </c>
      <c r="AI58" s="415" t="s">
        <v>380</v>
      </c>
      <c r="AJ58" s="416" t="s">
        <v>382</v>
      </c>
      <c r="AK58" s="416"/>
      <c r="AL58" s="440">
        <f>+AK12</f>
        <v>0</v>
      </c>
      <c r="AM58" s="415" t="s">
        <v>380</v>
      </c>
      <c r="AN58" s="416" t="s">
        <v>382</v>
      </c>
      <c r="AO58" s="416"/>
      <c r="AP58" s="440">
        <f>+AO12</f>
        <v>6013</v>
      </c>
      <c r="AQ58" s="415" t="s">
        <v>380</v>
      </c>
      <c r="AR58" s="416" t="s">
        <v>382</v>
      </c>
      <c r="AS58" s="416"/>
      <c r="AT58" s="440">
        <f>+AS12</f>
        <v>6855</v>
      </c>
      <c r="AU58" s="415" t="s">
        <v>380</v>
      </c>
      <c r="AV58" s="416" t="s">
        <v>382</v>
      </c>
      <c r="AW58" s="416"/>
      <c r="AX58" s="440">
        <f>+AW12</f>
        <v>6185</v>
      </c>
      <c r="BQ58" s="32"/>
    </row>
    <row r="59" spans="1:69">
      <c r="A59" s="13"/>
      <c r="B59" s="13"/>
      <c r="C59" s="417"/>
      <c r="D59" s="418" t="s">
        <v>468</v>
      </c>
      <c r="E59" s="418"/>
      <c r="F59" s="412">
        <f>+E14</f>
        <v>175</v>
      </c>
      <c r="S59" s="87"/>
      <c r="T59" s="129" t="s">
        <v>379</v>
      </c>
      <c r="U59" s="129"/>
      <c r="V59" s="426">
        <v>72</v>
      </c>
      <c r="W59" s="417"/>
      <c r="X59" s="418" t="s">
        <v>381</v>
      </c>
      <c r="Y59" s="418"/>
      <c r="Z59" s="412">
        <f>+Y14</f>
        <v>0</v>
      </c>
      <c r="AA59" s="417"/>
      <c r="AB59" s="418" t="s">
        <v>381</v>
      </c>
      <c r="AC59" s="418"/>
      <c r="AD59" s="412">
        <v>-709</v>
      </c>
      <c r="AE59" s="417"/>
      <c r="AF59" s="418" t="s">
        <v>381</v>
      </c>
      <c r="AG59" s="418"/>
      <c r="AH59" s="441">
        <f>+AG14</f>
        <v>0</v>
      </c>
      <c r="AI59" s="417"/>
      <c r="AJ59" s="418" t="s">
        <v>407</v>
      </c>
      <c r="AK59" s="418"/>
      <c r="AL59" s="441">
        <f>+AK14</f>
        <v>0</v>
      </c>
      <c r="AM59" s="417"/>
      <c r="AN59" s="418" t="s">
        <v>420</v>
      </c>
      <c r="AO59" s="418"/>
      <c r="AP59" s="441">
        <f>+AO16</f>
        <v>812</v>
      </c>
      <c r="AQ59" s="417"/>
      <c r="AR59" s="418" t="s">
        <v>420</v>
      </c>
      <c r="AS59" s="418"/>
      <c r="AT59" s="441">
        <f>+AS16</f>
        <v>1329</v>
      </c>
      <c r="AU59" s="417"/>
      <c r="AV59" s="418" t="s">
        <v>420</v>
      </c>
      <c r="AW59" s="418"/>
      <c r="AX59" s="441">
        <f>+AW16</f>
        <v>892</v>
      </c>
      <c r="BQ59" s="32"/>
    </row>
    <row r="60" spans="1:69">
      <c r="C60" s="417" t="s">
        <v>383</v>
      </c>
      <c r="D60" s="418" t="s">
        <v>385</v>
      </c>
      <c r="E60" s="418" t="s">
        <v>386</v>
      </c>
      <c r="F60" s="421" t="s">
        <v>474</v>
      </c>
      <c r="S60" s="427" t="s">
        <v>245</v>
      </c>
      <c r="T60" s="428" t="s">
        <v>378</v>
      </c>
      <c r="U60" s="428"/>
      <c r="V60" s="429">
        <v>156</v>
      </c>
      <c r="W60" s="417" t="s">
        <v>383</v>
      </c>
      <c r="X60" s="418" t="s">
        <v>385</v>
      </c>
      <c r="Y60" s="418" t="s">
        <v>386</v>
      </c>
      <c r="Z60" s="421" t="s">
        <v>384</v>
      </c>
      <c r="AA60" s="417" t="s">
        <v>383</v>
      </c>
      <c r="AB60" s="418" t="s">
        <v>385</v>
      </c>
      <c r="AC60" s="418" t="s">
        <v>386</v>
      </c>
      <c r="AD60" s="421" t="s">
        <v>394</v>
      </c>
      <c r="AE60" s="417" t="s">
        <v>383</v>
      </c>
      <c r="AF60" s="418" t="s">
        <v>385</v>
      </c>
      <c r="AG60" s="418" t="s">
        <v>386</v>
      </c>
      <c r="AH60" s="442" t="s">
        <v>384</v>
      </c>
      <c r="AI60" s="417" t="s">
        <v>383</v>
      </c>
      <c r="AJ60" s="418" t="s">
        <v>385</v>
      </c>
      <c r="AK60" s="418" t="s">
        <v>386</v>
      </c>
      <c r="AL60" s="442" t="s">
        <v>408</v>
      </c>
      <c r="AM60" s="417" t="s">
        <v>383</v>
      </c>
      <c r="AN60" s="418" t="s">
        <v>385</v>
      </c>
      <c r="AO60" s="418" t="s">
        <v>386</v>
      </c>
      <c r="AP60" s="442" t="s">
        <v>421</v>
      </c>
      <c r="AQ60" s="417" t="s">
        <v>383</v>
      </c>
      <c r="AR60" s="418" t="s">
        <v>385</v>
      </c>
      <c r="AS60" s="418" t="s">
        <v>386</v>
      </c>
      <c r="AT60" s="442" t="s">
        <v>426</v>
      </c>
      <c r="AU60" s="417" t="s">
        <v>383</v>
      </c>
      <c r="AV60" s="418" t="s">
        <v>385</v>
      </c>
      <c r="AW60" s="418" t="s">
        <v>386</v>
      </c>
      <c r="AX60" s="442" t="s">
        <v>440</v>
      </c>
      <c r="AY60" s="110" t="s">
        <v>439</v>
      </c>
      <c r="BQ60" s="32"/>
    </row>
    <row r="61" spans="1:69">
      <c r="C61" s="417" t="s">
        <v>486</v>
      </c>
      <c r="D61" s="418" t="s">
        <v>475</v>
      </c>
      <c r="E61" s="418"/>
      <c r="F61" s="611" t="s">
        <v>487</v>
      </c>
      <c r="W61" s="417"/>
      <c r="X61" s="418"/>
      <c r="Y61" s="418" t="s">
        <v>387</v>
      </c>
      <c r="Z61" s="421" t="s">
        <v>388</v>
      </c>
      <c r="AA61" s="417"/>
      <c r="AB61" s="418"/>
      <c r="AC61" s="418" t="s">
        <v>387</v>
      </c>
      <c r="AD61" s="421" t="s">
        <v>396</v>
      </c>
      <c r="AE61" s="417"/>
      <c r="AF61" s="418"/>
      <c r="AG61" s="418" t="s">
        <v>387</v>
      </c>
      <c r="AH61" s="442" t="s">
        <v>397</v>
      </c>
      <c r="AI61" s="417"/>
      <c r="AJ61" s="418"/>
      <c r="AK61" s="418" t="s">
        <v>387</v>
      </c>
      <c r="AL61" s="442" t="s">
        <v>409</v>
      </c>
      <c r="AM61" s="417"/>
      <c r="AN61" s="418"/>
      <c r="AO61" s="418" t="s">
        <v>387</v>
      </c>
      <c r="AP61" s="442" t="s">
        <v>422</v>
      </c>
      <c r="AQ61" s="417"/>
      <c r="AR61" s="418"/>
      <c r="AS61" s="418" t="s">
        <v>387</v>
      </c>
      <c r="AT61" s="442" t="s">
        <v>427</v>
      </c>
      <c r="AU61" s="417"/>
      <c r="AV61" s="418"/>
      <c r="AW61" s="418" t="s">
        <v>387</v>
      </c>
      <c r="AX61" s="442" t="s">
        <v>442</v>
      </c>
      <c r="AY61" s="110" t="s">
        <v>441</v>
      </c>
      <c r="BQ61" s="32" t="s">
        <v>488</v>
      </c>
    </row>
    <row r="62" spans="1:69">
      <c r="C62" s="417" t="s">
        <v>38</v>
      </c>
      <c r="D62" s="418" t="s">
        <v>374</v>
      </c>
      <c r="E62" s="418"/>
      <c r="F62" s="412">
        <f>+E51</f>
        <v>-75.462000000000216</v>
      </c>
      <c r="W62" s="417"/>
      <c r="X62" s="418"/>
      <c r="Y62" s="418" t="s">
        <v>476</v>
      </c>
      <c r="Z62" s="422" t="s">
        <v>477</v>
      </c>
      <c r="AA62" s="417"/>
      <c r="AB62" s="418"/>
      <c r="AC62" s="418" t="s">
        <v>476</v>
      </c>
      <c r="AD62" s="433" t="s">
        <v>478</v>
      </c>
      <c r="AE62" s="417"/>
      <c r="AF62" s="418"/>
      <c r="AG62" s="418" t="s">
        <v>476</v>
      </c>
      <c r="AH62" s="443" t="s">
        <v>479</v>
      </c>
      <c r="AI62" s="417"/>
      <c r="AJ62" s="418"/>
      <c r="AK62" s="418" t="s">
        <v>476</v>
      </c>
      <c r="AL62" s="442" t="s">
        <v>480</v>
      </c>
      <c r="AM62" s="417"/>
      <c r="AN62" s="418"/>
      <c r="AO62" s="418" t="s">
        <v>476</v>
      </c>
      <c r="AP62" s="442" t="s">
        <v>481</v>
      </c>
      <c r="AQ62" s="417"/>
      <c r="AR62" s="418"/>
      <c r="AS62" s="418" t="s">
        <v>476</v>
      </c>
      <c r="AT62" s="442" t="s">
        <v>482</v>
      </c>
      <c r="AU62" s="417"/>
      <c r="AV62" s="418"/>
      <c r="AW62" s="418" t="s">
        <v>476</v>
      </c>
      <c r="AX62" s="442" t="s">
        <v>483</v>
      </c>
      <c r="AY62" s="2" t="s">
        <v>484</v>
      </c>
      <c r="BQ62" s="32" t="s">
        <v>485</v>
      </c>
    </row>
    <row r="63" spans="1:69">
      <c r="C63" s="417"/>
      <c r="D63" s="418"/>
      <c r="E63" s="418"/>
      <c r="F63" s="412"/>
      <c r="W63" s="417" t="s">
        <v>389</v>
      </c>
      <c r="X63" s="418" t="s">
        <v>390</v>
      </c>
      <c r="Y63" s="418"/>
      <c r="Z63" s="412">
        <v>91</v>
      </c>
      <c r="AA63" s="417" t="s">
        <v>389</v>
      </c>
      <c r="AB63" s="418" t="s">
        <v>395</v>
      </c>
      <c r="AC63" s="418"/>
      <c r="AD63" s="412"/>
      <c r="AE63" s="444" t="s">
        <v>405</v>
      </c>
      <c r="AF63" s="444" t="s">
        <v>406</v>
      </c>
      <c r="AG63" s="444"/>
      <c r="AH63" s="441">
        <f>+AG30</f>
        <v>0</v>
      </c>
      <c r="AI63" s="444" t="s">
        <v>405</v>
      </c>
      <c r="AJ63" s="450" t="s">
        <v>417</v>
      </c>
      <c r="AK63" s="444" t="s">
        <v>418</v>
      </c>
      <c r="AL63" s="452" t="s">
        <v>419</v>
      </c>
      <c r="AM63" s="444" t="s">
        <v>405</v>
      </c>
      <c r="AN63" s="454" t="s">
        <v>424</v>
      </c>
      <c r="AO63" s="444"/>
      <c r="AP63" s="452">
        <f>+AO30</f>
        <v>0</v>
      </c>
      <c r="AQ63" s="444" t="s">
        <v>405</v>
      </c>
      <c r="AR63" s="454"/>
      <c r="AS63" s="444"/>
      <c r="AT63" s="452">
        <f>+AS30</f>
        <v>0</v>
      </c>
      <c r="AU63" s="444" t="s">
        <v>405</v>
      </c>
      <c r="AV63" s="454"/>
      <c r="AW63" s="444"/>
      <c r="AX63" s="452">
        <f>+AW30</f>
        <v>0</v>
      </c>
      <c r="BQ63" s="32"/>
    </row>
    <row r="64" spans="1:69">
      <c r="C64" s="419"/>
      <c r="D64" s="420"/>
      <c r="E64" s="420"/>
      <c r="F64" s="413"/>
      <c r="W64" s="419" t="s">
        <v>391</v>
      </c>
      <c r="X64" s="420" t="s">
        <v>392</v>
      </c>
      <c r="Y64" s="420" t="s">
        <v>393</v>
      </c>
      <c r="Z64" s="413">
        <v>120</v>
      </c>
      <c r="AA64" s="419" t="s">
        <v>391</v>
      </c>
      <c r="AB64" s="420" t="s">
        <v>392</v>
      </c>
      <c r="AC64" s="420" t="s">
        <v>393</v>
      </c>
      <c r="AD64" s="413">
        <v>120</v>
      </c>
      <c r="AE64" s="417" t="s">
        <v>399</v>
      </c>
      <c r="AF64" s="418" t="s">
        <v>400</v>
      </c>
      <c r="AG64" s="418"/>
      <c r="AH64" s="441">
        <v>193</v>
      </c>
      <c r="AI64" s="417" t="s">
        <v>20</v>
      </c>
      <c r="AJ64" s="418" t="s">
        <v>411</v>
      </c>
      <c r="AK64" s="418" t="s">
        <v>412</v>
      </c>
      <c r="AL64" s="441">
        <f>+AK45</f>
        <v>0</v>
      </c>
      <c r="AM64" s="417" t="s">
        <v>20</v>
      </c>
      <c r="AN64" s="418" t="s">
        <v>411</v>
      </c>
      <c r="AO64" s="418" t="s">
        <v>423</v>
      </c>
      <c r="AP64" s="441">
        <v>100</v>
      </c>
      <c r="AQ64" s="417" t="s">
        <v>20</v>
      </c>
      <c r="AR64" s="418"/>
      <c r="AS64" s="418"/>
      <c r="AT64" s="441">
        <f>+AS45</f>
        <v>0</v>
      </c>
      <c r="AU64" s="417" t="s">
        <v>20</v>
      </c>
      <c r="AV64" s="418"/>
      <c r="AW64" s="418"/>
      <c r="AX64" s="441">
        <f>+AW45</f>
        <v>0</v>
      </c>
      <c r="BQ64" s="32"/>
    </row>
    <row r="65" spans="23:51">
      <c r="W65" s="11"/>
      <c r="X65" s="11"/>
      <c r="Y65" s="11"/>
      <c r="AA65" s="11"/>
      <c r="AB65" s="11"/>
      <c r="AC65" s="11"/>
      <c r="AE65" s="419" t="s">
        <v>20</v>
      </c>
      <c r="AF65" s="420" t="s">
        <v>398</v>
      </c>
      <c r="AG65" s="420" t="s">
        <v>401</v>
      </c>
      <c r="AH65" s="445">
        <v>120</v>
      </c>
      <c r="AI65" s="419" t="s">
        <v>413</v>
      </c>
      <c r="AJ65" s="420" t="s">
        <v>414</v>
      </c>
      <c r="AK65" s="447"/>
      <c r="AL65" s="445">
        <f>+AK42</f>
        <v>0</v>
      </c>
      <c r="AM65" s="419" t="s">
        <v>399</v>
      </c>
      <c r="AN65" s="420"/>
      <c r="AO65" s="447"/>
      <c r="AP65" s="445">
        <f>+AO42</f>
        <v>0</v>
      </c>
      <c r="AQ65" s="419" t="s">
        <v>399</v>
      </c>
      <c r="AR65" s="420" t="s">
        <v>429</v>
      </c>
      <c r="AS65" s="447"/>
      <c r="AT65" s="445">
        <f>+AS42</f>
        <v>0</v>
      </c>
      <c r="AU65" s="419" t="s">
        <v>399</v>
      </c>
      <c r="AV65" s="420" t="s">
        <v>429</v>
      </c>
      <c r="AW65" s="447"/>
      <c r="AX65" s="445">
        <f>+AW42</f>
        <v>0</v>
      </c>
    </row>
    <row r="66" spans="23:51">
      <c r="W66" s="11"/>
      <c r="X66" s="11"/>
      <c r="Y66" s="11"/>
      <c r="AA66" s="11"/>
      <c r="AB66" s="11"/>
      <c r="AC66" s="11"/>
      <c r="AE66" s="434" t="s">
        <v>402</v>
      </c>
      <c r="AF66" s="435" t="s">
        <v>403</v>
      </c>
      <c r="AG66" s="435"/>
      <c r="AH66" s="436">
        <v>334</v>
      </c>
      <c r="AI66" s="434" t="s">
        <v>402</v>
      </c>
      <c r="AJ66" s="435" t="s">
        <v>410</v>
      </c>
      <c r="AK66" s="435"/>
      <c r="AL66" s="436">
        <v>141</v>
      </c>
      <c r="AM66" s="434" t="s">
        <v>402</v>
      </c>
      <c r="AN66" s="435" t="s">
        <v>425</v>
      </c>
      <c r="AO66" s="435"/>
      <c r="AP66" s="436">
        <v>61</v>
      </c>
      <c r="AQ66" s="434" t="s">
        <v>402</v>
      </c>
      <c r="AR66" s="435" t="s">
        <v>428</v>
      </c>
      <c r="AS66" s="435"/>
      <c r="AT66" s="436">
        <v>81</v>
      </c>
      <c r="AU66" s="434" t="s">
        <v>402</v>
      </c>
      <c r="AV66" s="435"/>
      <c r="AW66" s="435"/>
      <c r="AX66" s="436">
        <f>+AZ51</f>
        <v>26845.148000000001</v>
      </c>
    </row>
    <row r="67" spans="23:51" ht="16.899999999999999" thickBot="1">
      <c r="W67" s="11"/>
      <c r="X67" s="11"/>
      <c r="Y67" s="11"/>
      <c r="AA67" s="11"/>
      <c r="AB67" s="11"/>
      <c r="AC67" s="11"/>
      <c r="AE67" s="437"/>
      <c r="AF67" s="438" t="s">
        <v>404</v>
      </c>
      <c r="AG67" s="438"/>
      <c r="AH67" s="439">
        <f>-964+AH66</f>
        <v>-630</v>
      </c>
      <c r="AI67" s="437"/>
      <c r="AJ67" s="438" t="s">
        <v>404</v>
      </c>
      <c r="AK67" s="438"/>
      <c r="AL67" s="439">
        <f>263+AL66</f>
        <v>404</v>
      </c>
      <c r="AM67" s="437"/>
      <c r="AN67" s="438" t="s">
        <v>404</v>
      </c>
      <c r="AO67" s="438"/>
      <c r="AP67" s="439">
        <f>-567+AP66</f>
        <v>-506</v>
      </c>
      <c r="AQ67" s="466"/>
      <c r="AR67" s="467" t="s">
        <v>404</v>
      </c>
      <c r="AS67" s="467"/>
      <c r="AT67" s="468">
        <v>203</v>
      </c>
      <c r="AU67" s="466"/>
      <c r="AV67" s="467"/>
      <c r="AW67" s="467"/>
      <c r="AX67" s="468"/>
      <c r="AY67" s="453"/>
    </row>
    <row r="68" spans="23:51">
      <c r="W68" s="11"/>
      <c r="X68" s="11"/>
      <c r="Y68" s="11"/>
      <c r="AA68" s="11"/>
      <c r="AB68" s="11"/>
      <c r="AC68" s="11"/>
      <c r="AE68" s="11"/>
      <c r="AF68" s="11"/>
      <c r="AG68" s="11"/>
      <c r="AI68" s="11"/>
      <c r="AJ68" s="11"/>
      <c r="AK68" s="11"/>
      <c r="AM68" s="11"/>
      <c r="AN68" s="11"/>
      <c r="AO68" s="11"/>
      <c r="AQ68" s="469" t="s">
        <v>430</v>
      </c>
      <c r="AR68" s="470" t="s">
        <v>431</v>
      </c>
      <c r="AS68" s="470"/>
      <c r="AT68" s="471">
        <v>590</v>
      </c>
      <c r="AU68" s="469" t="s">
        <v>445</v>
      </c>
      <c r="AV68" s="470" t="s">
        <v>444</v>
      </c>
      <c r="AW68" s="470"/>
      <c r="AX68" s="471">
        <v>184</v>
      </c>
    </row>
    <row r="69" spans="23:51">
      <c r="W69" s="11"/>
      <c r="X69" s="11"/>
      <c r="Y69" s="11"/>
      <c r="AA69" s="11"/>
      <c r="AB69" s="11"/>
      <c r="AC69" s="11"/>
      <c r="AE69" s="11"/>
      <c r="AF69" s="11"/>
      <c r="AG69" s="11"/>
      <c r="AI69" s="11"/>
      <c r="AJ69" s="11"/>
      <c r="AK69" s="11"/>
      <c r="AM69" s="11"/>
      <c r="AN69" s="11"/>
      <c r="AO69" s="11"/>
      <c r="AQ69" s="472"/>
      <c r="AR69" s="473" t="s">
        <v>432</v>
      </c>
      <c r="AS69" s="473"/>
      <c r="AT69" s="474">
        <v>-293</v>
      </c>
      <c r="AU69" s="472"/>
      <c r="AV69" s="473" t="s">
        <v>432</v>
      </c>
      <c r="AW69" s="473"/>
      <c r="AX69" s="474">
        <v>-453</v>
      </c>
    </row>
    <row r="70" spans="23:51" ht="16.899999999999999" thickBot="1">
      <c r="AQ70" s="475"/>
      <c r="AR70" s="476" t="s">
        <v>404</v>
      </c>
      <c r="AS70" s="476"/>
      <c r="AT70" s="477">
        <f>SUM(AT67:AT69)</f>
        <v>500</v>
      </c>
      <c r="AU70" s="475"/>
      <c r="AV70" s="476" t="s">
        <v>443</v>
      </c>
      <c r="AW70" s="476"/>
      <c r="AX70" s="477">
        <f>+AX66+AX68+AX69</f>
        <v>26576.148000000001</v>
      </c>
      <c r="AY70" s="2">
        <f>+AX66+AX69</f>
        <v>26392.148000000001</v>
      </c>
    </row>
    <row r="72" spans="23:51">
      <c r="AQ72" s="2" t="s">
        <v>433</v>
      </c>
      <c r="AR72" s="2" t="s">
        <v>434</v>
      </c>
    </row>
    <row r="73" spans="23:51">
      <c r="AR73" s="2" t="s">
        <v>435</v>
      </c>
      <c r="AS73" s="2" t="s">
        <v>436</v>
      </c>
      <c r="AT73" s="478">
        <v>200</v>
      </c>
      <c r="AX73" s="478"/>
    </row>
    <row r="74" spans="23:51">
      <c r="AR74" s="2" t="s">
        <v>437</v>
      </c>
      <c r="AS74" s="2" t="s">
        <v>438</v>
      </c>
      <c r="AT74" s="478">
        <v>100</v>
      </c>
      <c r="AX74" s="478"/>
    </row>
  </sheetData>
  <mergeCells count="21">
    <mergeCell ref="BM9:BN9"/>
    <mergeCell ref="BO9:BP9"/>
    <mergeCell ref="BC9:BD9"/>
    <mergeCell ref="BE9:BF9"/>
    <mergeCell ref="BG9:BH9"/>
    <mergeCell ref="BI9:BJ9"/>
    <mergeCell ref="BK9:BL9"/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6"/>
  <sheetViews>
    <sheetView topLeftCell="B1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E34" sqref="E34"/>
    </sheetView>
  </sheetViews>
  <sheetFormatPr defaultColWidth="9" defaultRowHeight="16.5" outlineLevelCol="1"/>
  <cols>
    <col min="1" max="1" width="9" style="1"/>
    <col min="2" max="2" width="5.4375" style="1" customWidth="1"/>
    <col min="3" max="3" width="16.625" style="1" customWidth="1"/>
    <col min="4" max="4" width="10.625" style="1" customWidth="1"/>
    <col min="5" max="13" width="14.625" style="34" customWidth="1"/>
    <col min="14" max="16" width="14.625" style="34" customWidth="1" outlineLevel="1"/>
    <col min="17" max="16384" width="9" style="1"/>
  </cols>
  <sheetData>
    <row r="1" spans="2:17">
      <c r="E1" s="41" t="s">
        <v>187</v>
      </c>
      <c r="F1" s="42" t="s">
        <v>188</v>
      </c>
      <c r="G1" s="43" t="s">
        <v>189</v>
      </c>
      <c r="H1" s="44"/>
      <c r="I1" s="44"/>
      <c r="J1" s="44"/>
      <c r="K1" s="44"/>
      <c r="L1" s="44"/>
      <c r="M1" s="44"/>
      <c r="N1" s="44"/>
      <c r="O1" s="44"/>
      <c r="P1" s="44"/>
    </row>
    <row r="2" spans="2:17" s="47" customFormat="1" ht="17.649999999999999">
      <c r="B2" s="48" t="s">
        <v>161</v>
      </c>
      <c r="E2" s="33" t="str">
        <f>+PL推移!D7</f>
        <v>㈱ｅｓエンターテイメント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4" spans="2:17" ht="16.899999999999999" thickBot="1">
      <c r="B4" s="50">
        <f>+PL推移!B8</f>
        <v>2026</v>
      </c>
      <c r="C4" s="50" t="s">
        <v>151</v>
      </c>
      <c r="D4" s="24" t="s">
        <v>153</v>
      </c>
      <c r="E4" s="35" t="str">
        <f>+BS千円!D1</f>
        <v>7月</v>
      </c>
      <c r="F4" s="36" t="str">
        <f>+BS千円!E1</f>
        <v>8月</v>
      </c>
      <c r="G4" s="36" t="str">
        <f>+BS千円!F1</f>
        <v>9月</v>
      </c>
      <c r="H4" s="36" t="str">
        <f>+BS千円!G1</f>
        <v>10月</v>
      </c>
      <c r="I4" s="36" t="str">
        <f>+BS千円!H1</f>
        <v>11月</v>
      </c>
      <c r="J4" s="36" t="str">
        <f>+BS千円!I1</f>
        <v>12月</v>
      </c>
      <c r="K4" s="36" t="str">
        <f>+BS千円!J1</f>
        <v>1月</v>
      </c>
      <c r="L4" s="36" t="str">
        <f>+BS千円!K1</f>
        <v>2月</v>
      </c>
      <c r="M4" s="36">
        <f>+BS千円!L1</f>
        <v>3</v>
      </c>
      <c r="N4" s="36">
        <f>+BS千円!M1</f>
        <v>4</v>
      </c>
      <c r="O4" s="36" t="str">
        <f>+BS千円!N1</f>
        <v>5月</v>
      </c>
      <c r="P4" s="36" t="str">
        <f>+BS千円!O1</f>
        <v>6月</v>
      </c>
    </row>
    <row r="5" spans="2:17" s="47" customFormat="1" ht="16.899999999999999" thickTop="1">
      <c r="B5" s="47" t="s">
        <v>162</v>
      </c>
      <c r="E5" s="89">
        <f t="shared" ref="E5" si="0">+E6-E7+E8-E9-E10-E11+E12+E13</f>
        <v>1637.0130000000008</v>
      </c>
      <c r="F5" s="65">
        <f t="shared" ref="F5:P5" si="1">+F6-F7+F8-F9-F10-F11+F12+F13</f>
        <v>6047.9529999999995</v>
      </c>
      <c r="G5" s="65">
        <f t="shared" si="1"/>
        <v>0</v>
      </c>
      <c r="H5" s="65">
        <f t="shared" si="1"/>
        <v>0</v>
      </c>
      <c r="I5" s="65">
        <f t="shared" si="1"/>
        <v>0</v>
      </c>
      <c r="J5" s="65">
        <f t="shared" si="1"/>
        <v>0</v>
      </c>
      <c r="K5" s="65">
        <f t="shared" si="1"/>
        <v>0</v>
      </c>
      <c r="L5" s="65">
        <f t="shared" si="1"/>
        <v>0</v>
      </c>
      <c r="M5" s="65">
        <f t="shared" si="1"/>
        <v>0</v>
      </c>
      <c r="N5" s="65">
        <f t="shared" si="1"/>
        <v>0</v>
      </c>
      <c r="O5" s="65">
        <f t="shared" si="1"/>
        <v>0</v>
      </c>
      <c r="P5" s="65">
        <f t="shared" si="1"/>
        <v>0</v>
      </c>
    </row>
    <row r="6" spans="2:17">
      <c r="C6" s="8" t="s">
        <v>163</v>
      </c>
      <c r="D6" s="25" t="s">
        <v>170</v>
      </c>
      <c r="E6" s="90">
        <f>+月次PL!C62/1000</f>
        <v>267.66199999999998</v>
      </c>
      <c r="F6" s="66">
        <f>+月次PL!D62/1000</f>
        <v>0</v>
      </c>
      <c r="G6" s="66">
        <f>+月次PL!E62/1000</f>
        <v>0</v>
      </c>
      <c r="H6" s="66">
        <f>+月次PL!F62/1000</f>
        <v>0</v>
      </c>
      <c r="I6" s="66">
        <f>+月次PL!G62/1000</f>
        <v>0</v>
      </c>
      <c r="J6" s="66">
        <f>+月次PL!H62/1000</f>
        <v>0</v>
      </c>
      <c r="K6" s="66">
        <f>+月次PL!I62/1000</f>
        <v>0</v>
      </c>
      <c r="L6" s="66">
        <f>+月次PL!J62/1000</f>
        <v>0</v>
      </c>
      <c r="M6" s="66">
        <f>+月次PL!K62/1000</f>
        <v>0</v>
      </c>
      <c r="N6" s="66">
        <f>+月次PL!L62/1000</f>
        <v>0</v>
      </c>
      <c r="O6" s="66">
        <f>+月次PL!M62/1000</f>
        <v>0</v>
      </c>
      <c r="P6" s="66">
        <f>+月次PL!N62/1000</f>
        <v>0</v>
      </c>
    </row>
    <row r="7" spans="2:17">
      <c r="C7" s="5" t="s">
        <v>164</v>
      </c>
      <c r="D7" s="26" t="s">
        <v>172</v>
      </c>
      <c r="E7" s="45">
        <f>+月次PL!C63/1000+BS千円!C61-BS千円!D61+BS千円!C60-BS千円!D60</f>
        <v>0</v>
      </c>
      <c r="F7" s="46">
        <f>+月次PL!D63/1000+BS千円!D61-BS千円!E61+BS千円!D60-BS千円!E60</f>
        <v>1463.8</v>
      </c>
      <c r="G7" s="46">
        <f>+月次PL!E63/1000+BS千円!E61-BS千円!F61+BS千円!E60-BS千円!F60</f>
        <v>0</v>
      </c>
      <c r="H7" s="46">
        <f>+月次PL!F63/1000+BS千円!F61-BS千円!G61+BS千円!F60-BS千円!G60</f>
        <v>0</v>
      </c>
      <c r="I7" s="46">
        <f>+月次PL!G63/1000+BS千円!G61-BS千円!H61+BS千円!G60-BS千円!H60</f>
        <v>0</v>
      </c>
      <c r="J7" s="46">
        <f>+月次PL!H63/1000+BS千円!H61-BS千円!I61+BS千円!H60-BS千円!I60</f>
        <v>0</v>
      </c>
      <c r="K7" s="46">
        <f>+月次PL!I63/1000+BS千円!I61-BS千円!J61+BS千円!I60-BS千円!J60</f>
        <v>0</v>
      </c>
      <c r="L7" s="46">
        <f>+月次PL!J63/1000+BS千円!J61-BS千円!K61+BS千円!J60-BS千円!K60</f>
        <v>0</v>
      </c>
      <c r="M7" s="46">
        <f>+月次PL!K63/1000+BS千円!K61-BS千円!L61+BS千円!K60-BS千円!L60</f>
        <v>0</v>
      </c>
      <c r="N7" s="46">
        <f>+月次PL!L63/1000+BS千円!L61-BS千円!M61+BS千円!L60-BS千円!M60</f>
        <v>0</v>
      </c>
      <c r="O7" s="46">
        <f>+月次PL!M63/1000+BS千円!M61-BS千円!N61+BS千円!M60-BS千円!N60</f>
        <v>0</v>
      </c>
      <c r="P7" s="46">
        <f>+月次PL!N63/1000+BS千円!N61-BS千円!O61+BS千円!N60-BS千円!O60</f>
        <v>0</v>
      </c>
    </row>
    <row r="8" spans="2:17">
      <c r="C8" s="5" t="s">
        <v>146</v>
      </c>
      <c r="D8" s="26" t="s">
        <v>170</v>
      </c>
      <c r="E8" s="45">
        <f>+月次PL!C40/1000-3</f>
        <v>746.95399999999995</v>
      </c>
      <c r="F8" s="46">
        <f>+月次PL!D40/1000</f>
        <v>0</v>
      </c>
      <c r="G8" s="46">
        <f>+月次PL!E40/1000</f>
        <v>0</v>
      </c>
      <c r="H8" s="46">
        <f>+月次PL!F40/1000</f>
        <v>0</v>
      </c>
      <c r="I8" s="46">
        <f>+月次PL!G40/1000</f>
        <v>0</v>
      </c>
      <c r="J8" s="46">
        <f>+月次PL!H40/1000</f>
        <v>0</v>
      </c>
      <c r="K8" s="46">
        <f>+月次PL!I40/1000</f>
        <v>0</v>
      </c>
      <c r="L8" s="46">
        <f>+月次PL!J40/1000</f>
        <v>0</v>
      </c>
      <c r="M8" s="46">
        <f>+月次PL!K40/1000</f>
        <v>0</v>
      </c>
      <c r="N8" s="46">
        <f>+月次PL!L40/1000</f>
        <v>0</v>
      </c>
      <c r="O8" s="46">
        <f>+月次PL!M40/1000</f>
        <v>0</v>
      </c>
      <c r="P8" s="46">
        <f>+月次PL!N40/1000</f>
        <v>0</v>
      </c>
    </row>
    <row r="9" spans="2:17">
      <c r="C9" s="5" t="s">
        <v>165</v>
      </c>
      <c r="D9" s="26" t="s">
        <v>172</v>
      </c>
      <c r="E9" s="45">
        <f>+BS千円!D11-BS千円!C11</f>
        <v>-261.9940000000006</v>
      </c>
      <c r="F9" s="46">
        <f>+BS千円!E11-BS千円!D11</f>
        <v>-8860.8459999999995</v>
      </c>
      <c r="G9" s="46">
        <f>+BS千円!F11-BS千円!E11</f>
        <v>0</v>
      </c>
      <c r="H9" s="46">
        <f>+BS千円!G11-BS千円!F11</f>
        <v>0</v>
      </c>
      <c r="I9" s="46">
        <f>+BS千円!H11-BS千円!G11</f>
        <v>0</v>
      </c>
      <c r="J9" s="46">
        <f>+BS千円!I11-BS千円!H11</f>
        <v>0</v>
      </c>
      <c r="K9" s="46">
        <f>+BS千円!J11-BS千円!I11</f>
        <v>0</v>
      </c>
      <c r="L9" s="46">
        <f>+BS千円!K11-BS千円!J11</f>
        <v>0</v>
      </c>
      <c r="M9" s="46">
        <f>+BS千円!L11-BS千円!K11</f>
        <v>0</v>
      </c>
      <c r="N9" s="46">
        <f>+BS千円!M11-BS千円!L11</f>
        <v>0</v>
      </c>
      <c r="O9" s="46">
        <f>+BS千円!N11-BS千円!M11</f>
        <v>0</v>
      </c>
      <c r="P9" s="46">
        <f>+BS千円!O11-BS千円!N11</f>
        <v>0</v>
      </c>
    </row>
    <row r="10" spans="2:17">
      <c r="C10" s="5" t="s">
        <v>166</v>
      </c>
      <c r="D10" s="26" t="s">
        <v>172</v>
      </c>
      <c r="E10" s="45">
        <f>+BS千円!D17-BS千円!C17</f>
        <v>0.13899999999989632</v>
      </c>
      <c r="F10" s="46">
        <f>+BS千円!E17-BS千円!D17</f>
        <v>-1453.87</v>
      </c>
      <c r="G10" s="46">
        <f>+BS千円!F17-BS千円!E17</f>
        <v>0</v>
      </c>
      <c r="H10" s="46">
        <f>+BS千円!G17-BS千円!F17</f>
        <v>0</v>
      </c>
      <c r="I10" s="46">
        <f>+BS千円!H17-BS千円!G17</f>
        <v>0</v>
      </c>
      <c r="J10" s="46">
        <f>+BS千円!I17-BS千円!H17</f>
        <v>0</v>
      </c>
      <c r="K10" s="46">
        <f>+BS千円!J17-BS千円!I17</f>
        <v>0</v>
      </c>
      <c r="L10" s="46">
        <f>+BS千円!K17-BS千円!J17</f>
        <v>0</v>
      </c>
      <c r="M10" s="46">
        <f>+BS千円!L17-BS千円!K17</f>
        <v>0</v>
      </c>
      <c r="N10" s="46">
        <f>+BS千円!M17-BS千円!L17</f>
        <v>0</v>
      </c>
      <c r="O10" s="46">
        <f>+BS千円!N17-BS千円!M17</f>
        <v>0</v>
      </c>
      <c r="P10" s="46">
        <f>+BS千円!O17-BS千円!N17</f>
        <v>0</v>
      </c>
    </row>
    <row r="11" spans="2:17">
      <c r="C11" s="5" t="s">
        <v>167</v>
      </c>
      <c r="D11" s="26" t="s">
        <v>172</v>
      </c>
      <c r="E11" s="45">
        <f>+BS千円!D24-BS千円!C24</f>
        <v>479.53999999999996</v>
      </c>
      <c r="F11" s="46">
        <f>+BS千円!E24-BS千円!D24</f>
        <v>-3099.3490000000002</v>
      </c>
      <c r="G11" s="46">
        <f>+BS千円!F24-BS千円!E24</f>
        <v>0</v>
      </c>
      <c r="H11" s="46">
        <f>+BS千円!G24-BS千円!F24</f>
        <v>0</v>
      </c>
      <c r="I11" s="46">
        <f>+BS千円!H24-BS千円!G24</f>
        <v>0</v>
      </c>
      <c r="J11" s="46">
        <f>+BS千円!I24-BS千円!H24</f>
        <v>0</v>
      </c>
      <c r="K11" s="46">
        <f>+BS千円!J24-BS千円!I24</f>
        <v>0</v>
      </c>
      <c r="L11" s="46">
        <f>+BS千円!K24-BS千円!J24</f>
        <v>0</v>
      </c>
      <c r="M11" s="46">
        <f>+BS千円!L24-BS千円!K24</f>
        <v>0</v>
      </c>
      <c r="N11" s="46">
        <f>+BS千円!M24-BS千円!L24</f>
        <v>0</v>
      </c>
      <c r="O11" s="46">
        <f>+BS千円!N24-BS千円!M24</f>
        <v>0</v>
      </c>
      <c r="P11" s="46">
        <f>+BS千円!O24-BS千円!N24</f>
        <v>0</v>
      </c>
      <c r="Q11" s="32"/>
    </row>
    <row r="12" spans="2:17">
      <c r="C12" s="5" t="s">
        <v>168</v>
      </c>
      <c r="D12" s="26" t="s">
        <v>170</v>
      </c>
      <c r="E12" s="45">
        <f>+BS千円!D95-BS千円!C95</f>
        <v>241.58500000000004</v>
      </c>
      <c r="F12" s="46">
        <f>+BS千円!E95-BS千円!D95</f>
        <v>-4729.4740000000002</v>
      </c>
      <c r="G12" s="46">
        <f>+BS千円!F95-BS千円!E95</f>
        <v>0</v>
      </c>
      <c r="H12" s="46">
        <f>+BS千円!G95-BS千円!F95</f>
        <v>0</v>
      </c>
      <c r="I12" s="46">
        <f>+BS千円!H95-BS千円!G95</f>
        <v>0</v>
      </c>
      <c r="J12" s="46">
        <f>+BS千円!I95-BS千円!H95</f>
        <v>0</v>
      </c>
      <c r="K12" s="46">
        <f>+BS千円!J95-BS千円!I95</f>
        <v>0</v>
      </c>
      <c r="L12" s="46">
        <f>+BS千円!K95-BS千円!J95</f>
        <v>0</v>
      </c>
      <c r="M12" s="46">
        <f>+BS千円!L95-BS千円!K95</f>
        <v>0</v>
      </c>
      <c r="N12" s="46">
        <f>+BS千円!M95-BS千円!L95</f>
        <v>0</v>
      </c>
      <c r="O12" s="46">
        <f>+BS千円!N95-BS千円!M95</f>
        <v>0</v>
      </c>
      <c r="P12" s="46">
        <f>+BS千円!O95-BS千円!N95</f>
        <v>0</v>
      </c>
    </row>
    <row r="13" spans="2:17">
      <c r="B13" s="6"/>
      <c r="C13" s="7" t="s">
        <v>169</v>
      </c>
      <c r="D13" s="27" t="s">
        <v>170</v>
      </c>
      <c r="E13" s="91">
        <f>+BS千円!D96-BS千円!C96</f>
        <v>598.49699999999996</v>
      </c>
      <c r="F13" s="92">
        <f>+BS千円!E96-BS千円!D96</f>
        <v>-1172.838</v>
      </c>
      <c r="G13" s="92">
        <f>+BS千円!F96-BS千円!E96</f>
        <v>0</v>
      </c>
      <c r="H13" s="92">
        <f>+BS千円!G96-BS千円!F96</f>
        <v>0</v>
      </c>
      <c r="I13" s="92">
        <f>+BS千円!H96-BS千円!G96</f>
        <v>0</v>
      </c>
      <c r="J13" s="92">
        <f>+BS千円!I96-BS千円!H96</f>
        <v>0</v>
      </c>
      <c r="K13" s="92">
        <f>+BS千円!J96-BS千円!I96</f>
        <v>0</v>
      </c>
      <c r="L13" s="92">
        <f>+BS千円!K96-BS千円!J96</f>
        <v>0</v>
      </c>
      <c r="M13" s="92">
        <f>+BS千円!L96-BS千円!K96</f>
        <v>0</v>
      </c>
      <c r="N13" s="92">
        <f>+BS千円!M96-BS千円!L96</f>
        <v>0</v>
      </c>
      <c r="O13" s="92">
        <f>+BS千円!N96-BS千円!M96</f>
        <v>0</v>
      </c>
      <c r="P13" s="92">
        <f>+BS千円!O96-BS千円!N96</f>
        <v>0</v>
      </c>
    </row>
    <row r="14" spans="2:17" s="47" customFormat="1">
      <c r="B14" s="47" t="s">
        <v>173</v>
      </c>
      <c r="D14" s="51"/>
      <c r="E14" s="89">
        <f t="shared" ref="E14" si="2">-E15-E16-E17</f>
        <v>-3.1000000000005912</v>
      </c>
      <c r="F14" s="65">
        <f t="shared" ref="F14:P14" si="3">-F15-F16-F17</f>
        <v>73394.668999999994</v>
      </c>
      <c r="G14" s="65">
        <f t="shared" si="3"/>
        <v>0</v>
      </c>
      <c r="H14" s="65">
        <f t="shared" si="3"/>
        <v>0</v>
      </c>
      <c r="I14" s="65">
        <f t="shared" si="3"/>
        <v>0</v>
      </c>
      <c r="J14" s="65">
        <f t="shared" si="3"/>
        <v>0</v>
      </c>
      <c r="K14" s="65">
        <f t="shared" si="3"/>
        <v>0</v>
      </c>
      <c r="L14" s="65">
        <f t="shared" si="3"/>
        <v>0</v>
      </c>
      <c r="M14" s="65">
        <f t="shared" si="3"/>
        <v>0</v>
      </c>
      <c r="N14" s="65">
        <f t="shared" si="3"/>
        <v>0</v>
      </c>
      <c r="O14" s="65">
        <f t="shared" si="3"/>
        <v>0</v>
      </c>
      <c r="P14" s="65">
        <f t="shared" si="3"/>
        <v>0</v>
      </c>
    </row>
    <row r="15" spans="2:17">
      <c r="C15" s="8" t="s">
        <v>174</v>
      </c>
      <c r="D15" s="25" t="s">
        <v>171</v>
      </c>
      <c r="E15" s="90">
        <f>+BS千円!D97-BS千円!C97+CF推移!E8</f>
        <v>4.5000000000300133E-2</v>
      </c>
      <c r="F15" s="66">
        <f>+BS千円!E97-BS千円!D97+CF推移!F8</f>
        <v>-48174.964</v>
      </c>
      <c r="G15" s="66">
        <f>+BS千円!F97-BS千円!E97+CF推移!G8</f>
        <v>0</v>
      </c>
      <c r="H15" s="66">
        <f>+BS千円!G97-BS千円!F97+CF推移!H8</f>
        <v>0</v>
      </c>
      <c r="I15" s="66">
        <f>+BS千円!H97-BS千円!G97+CF推移!I8</f>
        <v>0</v>
      </c>
      <c r="J15" s="66">
        <f>+BS千円!I97-BS千円!H97+CF推移!J8</f>
        <v>0</v>
      </c>
      <c r="K15" s="66">
        <f>+BS千円!J97-BS千円!I97+CF推移!K8</f>
        <v>0</v>
      </c>
      <c r="L15" s="66">
        <f>+BS千円!K97-BS千円!J97+CF推移!L8</f>
        <v>0</v>
      </c>
      <c r="M15" s="66">
        <f>+BS千円!L97-BS千円!K97+CF推移!M8</f>
        <v>0</v>
      </c>
      <c r="N15" s="66">
        <f>+BS千円!M97-BS千円!L97+CF推移!N8</f>
        <v>0</v>
      </c>
      <c r="O15" s="66">
        <f>+BS千円!N97-BS千円!M97+CF推移!O8</f>
        <v>0</v>
      </c>
      <c r="P15" s="66">
        <f>+BS千円!O97-BS千円!N97+CF推移!P8</f>
        <v>0</v>
      </c>
    </row>
    <row r="16" spans="2:17">
      <c r="C16" s="5" t="s">
        <v>176</v>
      </c>
      <c r="D16" s="26" t="s">
        <v>171</v>
      </c>
      <c r="E16" s="45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</row>
    <row r="17" spans="2:16">
      <c r="B17" s="6"/>
      <c r="C17" s="7" t="s">
        <v>175</v>
      </c>
      <c r="D17" s="27" t="s">
        <v>171</v>
      </c>
      <c r="E17" s="91">
        <f>+BS千円!D42-BS千円!C42</f>
        <v>3.055000000000291</v>
      </c>
      <c r="F17" s="92">
        <f>+BS千円!E42-BS千円!D42</f>
        <v>-25219.705000000002</v>
      </c>
      <c r="G17" s="92">
        <f>+BS千円!F42-BS千円!E42</f>
        <v>0</v>
      </c>
      <c r="H17" s="92">
        <f>+BS千円!G42-BS千円!F42</f>
        <v>0</v>
      </c>
      <c r="I17" s="92">
        <f>+BS千円!H42-BS千円!G42</f>
        <v>0</v>
      </c>
      <c r="J17" s="92">
        <f>+BS千円!I42-BS千円!H42</f>
        <v>0</v>
      </c>
      <c r="K17" s="92">
        <f>+BS千円!J42-BS千円!I42</f>
        <v>0</v>
      </c>
      <c r="L17" s="92">
        <f>+BS千円!K42-BS千円!J42</f>
        <v>0</v>
      </c>
      <c r="M17" s="92">
        <f>+BS千円!L42-BS千円!K42</f>
        <v>0</v>
      </c>
      <c r="N17" s="92">
        <f>+BS千円!M42-BS千円!L42</f>
        <v>0</v>
      </c>
      <c r="O17" s="92">
        <f>+BS千円!N42-BS千円!M42</f>
        <v>0</v>
      </c>
      <c r="P17" s="92">
        <f>+BS千円!O42-BS千円!N42</f>
        <v>0</v>
      </c>
    </row>
    <row r="18" spans="2:16" s="47" customFormat="1">
      <c r="B18" s="47" t="s">
        <v>177</v>
      </c>
      <c r="D18" s="51"/>
      <c r="E18" s="89">
        <f t="shared" ref="E18" si="4">+E19+E20-E21+E22+E23</f>
        <v>-480</v>
      </c>
      <c r="F18" s="65">
        <f t="shared" ref="F18:P18" si="5">+F19+F20-F21+F22+F23</f>
        <v>-134745</v>
      </c>
      <c r="G18" s="65">
        <f t="shared" si="5"/>
        <v>0</v>
      </c>
      <c r="H18" s="65">
        <f t="shared" si="5"/>
        <v>0</v>
      </c>
      <c r="I18" s="65">
        <f t="shared" si="5"/>
        <v>0</v>
      </c>
      <c r="J18" s="65">
        <f t="shared" si="5"/>
        <v>0</v>
      </c>
      <c r="K18" s="65">
        <f t="shared" si="5"/>
        <v>0</v>
      </c>
      <c r="L18" s="65">
        <f t="shared" si="5"/>
        <v>0</v>
      </c>
      <c r="M18" s="65">
        <f t="shared" si="5"/>
        <v>0</v>
      </c>
      <c r="N18" s="65">
        <f t="shared" si="5"/>
        <v>0</v>
      </c>
      <c r="O18" s="65">
        <f t="shared" si="5"/>
        <v>0</v>
      </c>
      <c r="P18" s="65">
        <f t="shared" si="5"/>
        <v>0</v>
      </c>
    </row>
    <row r="19" spans="2:16">
      <c r="C19" s="3" t="s">
        <v>178</v>
      </c>
      <c r="D19" s="29" t="s">
        <v>170</v>
      </c>
      <c r="E19" s="93">
        <v>0</v>
      </c>
      <c r="F19" s="94">
        <v>0</v>
      </c>
      <c r="G19" s="94">
        <v>0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</row>
    <row r="20" spans="2:16">
      <c r="C20" s="4" t="s">
        <v>179</v>
      </c>
      <c r="D20" s="28" t="s">
        <v>170</v>
      </c>
      <c r="E20" s="95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96">
        <v>0</v>
      </c>
    </row>
    <row r="21" spans="2:16">
      <c r="C21" s="4" t="s">
        <v>180</v>
      </c>
      <c r="D21" s="28" t="s">
        <v>171</v>
      </c>
      <c r="E21" s="95">
        <f>+BS千円!C98-BS千円!D98+CF推移!E20</f>
        <v>480</v>
      </c>
      <c r="F21" s="96">
        <f>+BS千円!D98-BS千円!E98+CF推移!F20</f>
        <v>134745</v>
      </c>
      <c r="G21" s="96">
        <f>+BS千円!E98-BS千円!F98+CF推移!G20</f>
        <v>0</v>
      </c>
      <c r="H21" s="96">
        <f>+BS千円!F98-BS千円!G98+CF推移!H20</f>
        <v>0</v>
      </c>
      <c r="I21" s="96">
        <f>+BS千円!G98-BS千円!H98+CF推移!I20</f>
        <v>0</v>
      </c>
      <c r="J21" s="96">
        <f>+BS千円!H98-BS千円!I98+CF推移!J20</f>
        <v>0</v>
      </c>
      <c r="K21" s="96">
        <f>+BS千円!I98-BS千円!J98+CF推移!K20</f>
        <v>0</v>
      </c>
      <c r="L21" s="96">
        <f>+BS千円!J98-BS千円!K98+CF推移!L20</f>
        <v>0</v>
      </c>
      <c r="M21" s="96">
        <f>+BS千円!K98-BS千円!L98+CF推移!M20</f>
        <v>0</v>
      </c>
      <c r="N21" s="96">
        <f>+BS千円!L98-BS千円!M98+CF推移!N20</f>
        <v>0</v>
      </c>
      <c r="O21" s="96">
        <f>+BS千円!M98-BS千円!N98+CF推移!O20</f>
        <v>0</v>
      </c>
      <c r="P21" s="96">
        <f>+BS千円!N98-BS千円!O98+CF推移!P20</f>
        <v>0</v>
      </c>
    </row>
    <row r="22" spans="2:16">
      <c r="C22" s="4" t="s">
        <v>181</v>
      </c>
      <c r="D22" s="28" t="s">
        <v>170</v>
      </c>
      <c r="E22" s="95">
        <f>+BS千円!D72-BS千円!C72</f>
        <v>0</v>
      </c>
      <c r="F22" s="96">
        <f>+BS千円!E72-BS千円!D72</f>
        <v>0</v>
      </c>
      <c r="G22" s="96">
        <f>+BS千円!F72-BS千円!E72</f>
        <v>0</v>
      </c>
      <c r="H22" s="96">
        <f>+BS千円!G72-BS千円!F72</f>
        <v>0</v>
      </c>
      <c r="I22" s="96">
        <f>+BS千円!H72-BS千円!G72</f>
        <v>0</v>
      </c>
      <c r="J22" s="96">
        <f>+BS千円!I72-BS千円!H72</f>
        <v>0</v>
      </c>
      <c r="K22" s="96">
        <f>+BS千円!J72-BS千円!I72</f>
        <v>0</v>
      </c>
      <c r="L22" s="96">
        <f>+BS千円!K72-BS千円!J72</f>
        <v>0</v>
      </c>
      <c r="M22" s="96">
        <f>+BS千円!L72-BS千円!K72</f>
        <v>0</v>
      </c>
      <c r="N22" s="96">
        <f>+BS千円!M72-BS千円!L72</f>
        <v>0</v>
      </c>
      <c r="O22" s="96">
        <f>+BS千円!N72-BS千円!M72</f>
        <v>0</v>
      </c>
      <c r="P22" s="96">
        <f>+BS千円!O72-BS千円!N72</f>
        <v>0</v>
      </c>
    </row>
    <row r="23" spans="2:16">
      <c r="C23" s="30" t="s">
        <v>141</v>
      </c>
      <c r="D23" s="31" t="s">
        <v>170</v>
      </c>
      <c r="E23" s="97">
        <v>0</v>
      </c>
      <c r="F23" s="98">
        <v>0</v>
      </c>
      <c r="G23" s="98">
        <v>0</v>
      </c>
      <c r="H23" s="98">
        <v>0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0</v>
      </c>
    </row>
    <row r="24" spans="2:16" s="47" customFormat="1" ht="16.899999999999999" thickBot="1">
      <c r="B24" s="52" t="s">
        <v>182</v>
      </c>
      <c r="C24" s="52"/>
      <c r="D24" s="53"/>
      <c r="E24" s="54">
        <f t="shared" ref="E24" si="6">+E5+E14+E18</f>
        <v>1153.9130000000002</v>
      </c>
      <c r="F24" s="55">
        <f t="shared" ref="F24:P24" si="7">+F5+F14+F18</f>
        <v>-55302.378000000012</v>
      </c>
      <c r="G24" s="55">
        <f t="shared" si="7"/>
        <v>0</v>
      </c>
      <c r="H24" s="55">
        <f t="shared" si="7"/>
        <v>0</v>
      </c>
      <c r="I24" s="55">
        <f t="shared" si="7"/>
        <v>0</v>
      </c>
      <c r="J24" s="55">
        <f t="shared" si="7"/>
        <v>0</v>
      </c>
      <c r="K24" s="55">
        <f t="shared" si="7"/>
        <v>0</v>
      </c>
      <c r="L24" s="55">
        <f t="shared" si="7"/>
        <v>0</v>
      </c>
      <c r="M24" s="55">
        <f t="shared" si="7"/>
        <v>0</v>
      </c>
      <c r="N24" s="55">
        <f t="shared" si="7"/>
        <v>0</v>
      </c>
      <c r="O24" s="55">
        <f t="shared" si="7"/>
        <v>0</v>
      </c>
      <c r="P24" s="55">
        <f t="shared" si="7"/>
        <v>0</v>
      </c>
    </row>
    <row r="25" spans="2:16" ht="16.899999999999999" thickTop="1"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2:16" s="47" customFormat="1" ht="16.899999999999999" thickBot="1">
      <c r="B26" s="52"/>
      <c r="C26" s="52" t="s">
        <v>183</v>
      </c>
      <c r="D26" s="52"/>
      <c r="E26" s="54">
        <f>+BS千円!D8-BS千円!C8</f>
        <v>1153.9130000000005</v>
      </c>
      <c r="F26" s="55">
        <f>+BS千円!E8-BS千円!D8</f>
        <v>-36055.578000000001</v>
      </c>
      <c r="G26" s="55">
        <f>+BS千円!F8-BS千円!E8</f>
        <v>0</v>
      </c>
      <c r="H26" s="55">
        <f>+BS千円!G8-BS千円!F8</f>
        <v>0</v>
      </c>
      <c r="I26" s="55">
        <f>+BS千円!H8-BS千円!G8</f>
        <v>0</v>
      </c>
      <c r="J26" s="55">
        <f>+BS千円!I8-BS千円!H8</f>
        <v>0</v>
      </c>
      <c r="K26" s="55">
        <f>+BS千円!J8-BS千円!I8</f>
        <v>0</v>
      </c>
      <c r="L26" s="55">
        <f>+BS千円!K8-BS千円!J8</f>
        <v>0</v>
      </c>
      <c r="M26" s="55">
        <f>+BS千円!L8-BS千円!K8</f>
        <v>0</v>
      </c>
      <c r="N26" s="55">
        <f>+BS千円!M8-BS千円!L8</f>
        <v>0</v>
      </c>
      <c r="O26" s="55">
        <f>+BS千円!N8-BS千円!M8</f>
        <v>0</v>
      </c>
      <c r="P26" s="55">
        <f>+BS千円!O8-BS千円!N8</f>
        <v>0</v>
      </c>
    </row>
    <row r="27" spans="2:16" s="69" customFormat="1" ht="13.15" thickTop="1">
      <c r="B27" s="67"/>
      <c r="C27" s="67"/>
      <c r="D27" s="67" t="s">
        <v>194</v>
      </c>
      <c r="E27" s="68">
        <f>+E24-E26</f>
        <v>0</v>
      </c>
      <c r="F27" s="68">
        <f t="shared" ref="F27:P27" si="8">+F24-F26</f>
        <v>-19246.80000000001</v>
      </c>
      <c r="G27" s="68">
        <f t="shared" si="8"/>
        <v>0</v>
      </c>
      <c r="H27" s="68">
        <f t="shared" si="8"/>
        <v>0</v>
      </c>
      <c r="I27" s="68">
        <f t="shared" si="8"/>
        <v>0</v>
      </c>
      <c r="J27" s="68">
        <f t="shared" si="8"/>
        <v>0</v>
      </c>
      <c r="K27" s="68">
        <f t="shared" si="8"/>
        <v>0</v>
      </c>
      <c r="L27" s="68">
        <f t="shared" si="8"/>
        <v>0</v>
      </c>
      <c r="M27" s="68">
        <f t="shared" si="8"/>
        <v>0</v>
      </c>
      <c r="N27" s="68">
        <f t="shared" si="8"/>
        <v>0</v>
      </c>
      <c r="O27" s="68">
        <f t="shared" si="8"/>
        <v>0</v>
      </c>
      <c r="P27" s="68">
        <f t="shared" si="8"/>
        <v>0</v>
      </c>
    </row>
    <row r="28" spans="2:16">
      <c r="B28" s="47" t="s">
        <v>184</v>
      </c>
    </row>
    <row r="29" spans="2:16">
      <c r="C29" s="102" t="s">
        <v>200</v>
      </c>
      <c r="D29" s="28"/>
      <c r="E29" s="101"/>
      <c r="F29" s="101"/>
      <c r="G29" s="101"/>
    </row>
    <row r="30" spans="2:16" s="103" customFormat="1" ht="15">
      <c r="C30" s="552" t="s">
        <v>201</v>
      </c>
      <c r="D30" s="552"/>
      <c r="E30" s="104"/>
      <c r="F30" s="105"/>
      <c r="G30" s="104"/>
      <c r="H30" s="104"/>
      <c r="I30" s="109"/>
      <c r="J30" s="104"/>
      <c r="K30" s="104"/>
      <c r="L30" s="109"/>
      <c r="M30" s="109"/>
      <c r="N30" s="104"/>
      <c r="O30" s="104"/>
      <c r="P30" s="104"/>
    </row>
    <row r="31" spans="2:16" s="103" customFormat="1" ht="15">
      <c r="C31" s="552" t="s">
        <v>202</v>
      </c>
      <c r="D31" s="552"/>
      <c r="E31" s="104"/>
      <c r="F31" s="105"/>
      <c r="G31" s="105"/>
      <c r="H31" s="104"/>
      <c r="I31" s="109"/>
      <c r="J31" s="104"/>
      <c r="K31" s="104"/>
      <c r="L31" s="109"/>
      <c r="M31" s="104"/>
      <c r="N31" s="104"/>
      <c r="O31" s="104"/>
      <c r="P31" s="104"/>
    </row>
    <row r="32" spans="2:16" s="103" customFormat="1" ht="15">
      <c r="C32" s="552" t="s">
        <v>203</v>
      </c>
      <c r="D32" s="552"/>
      <c r="E32" s="104"/>
      <c r="F32" s="104"/>
      <c r="G32" s="104"/>
      <c r="H32" s="104"/>
      <c r="I32" s="104"/>
      <c r="J32" s="104"/>
      <c r="K32" s="104"/>
      <c r="L32" s="104"/>
      <c r="M32" s="109"/>
      <c r="N32" s="109"/>
      <c r="O32" s="104"/>
      <c r="P32" s="104"/>
    </row>
    <row r="33" spans="3:16" s="103" customFormat="1" ht="15">
      <c r="C33" s="552" t="s">
        <v>204</v>
      </c>
      <c r="D33" s="552"/>
      <c r="E33" s="104"/>
      <c r="F33" s="104"/>
      <c r="G33" s="104"/>
      <c r="H33" s="104"/>
      <c r="I33" s="104"/>
      <c r="J33" s="104"/>
      <c r="K33" s="104"/>
      <c r="L33" s="109"/>
      <c r="M33" s="109"/>
      <c r="N33" s="109"/>
      <c r="O33" s="104"/>
      <c r="P33" s="104"/>
    </row>
    <row r="34" spans="3:16" s="103" customFormat="1" ht="15">
      <c r="C34" s="552"/>
      <c r="D34" s="552"/>
      <c r="E34" s="104">
        <f>+月次BS!D8-月次BS!C8</f>
        <v>1153913</v>
      </c>
      <c r="F34" s="104">
        <f>+月次BS!E8-月次BS!D8</f>
        <v>-36055578</v>
      </c>
      <c r="G34" s="104">
        <f>+月次BS!F8-月次BS!E8</f>
        <v>0</v>
      </c>
      <c r="H34" s="104">
        <f>+月次BS!G8-月次BS!F8</f>
        <v>0</v>
      </c>
      <c r="I34" s="104"/>
      <c r="J34" s="104"/>
      <c r="K34" s="104"/>
      <c r="L34" s="104"/>
      <c r="M34" s="104"/>
      <c r="N34" s="104"/>
      <c r="O34" s="104"/>
      <c r="P34" s="104"/>
    </row>
    <row r="35" spans="3:16" s="103" customFormat="1" ht="15">
      <c r="C35" s="552"/>
      <c r="D35" s="552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</row>
    <row r="36" spans="3:16" s="107" customFormat="1">
      <c r="C36" s="552"/>
      <c r="D36" s="552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</row>
    <row r="37" spans="3:16" s="107" customFormat="1">
      <c r="C37" s="552"/>
      <c r="D37" s="552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3:16" s="107" customFormat="1">
      <c r="C38" s="552"/>
      <c r="D38" s="552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</row>
    <row r="39" spans="3:16" s="107" customFormat="1">
      <c r="C39" s="552"/>
      <c r="D39" s="552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</row>
    <row r="40" spans="3:16" s="107" customFormat="1">
      <c r="C40" s="552"/>
      <c r="D40" s="552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</row>
    <row r="41" spans="3:16" s="107" customFormat="1"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</row>
    <row r="42" spans="3:16" s="107" customFormat="1"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3:16" s="107" customFormat="1"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</row>
    <row r="44" spans="3:16" s="107" customFormat="1"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</row>
    <row r="45" spans="3:16" s="107" customFormat="1"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</row>
    <row r="46" spans="3:16" s="107" customFormat="1"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</row>
  </sheetData>
  <mergeCells count="11">
    <mergeCell ref="C36:D36"/>
    <mergeCell ref="C37:D37"/>
    <mergeCell ref="C38:D38"/>
    <mergeCell ref="C39:D39"/>
    <mergeCell ref="C40:D40"/>
    <mergeCell ref="C35:D35"/>
    <mergeCell ref="C30:D30"/>
    <mergeCell ref="C31:D31"/>
    <mergeCell ref="C32:D32"/>
    <mergeCell ref="C33:D33"/>
    <mergeCell ref="C34:D34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A259"/>
  <sheetViews>
    <sheetView topLeftCell="A5" workbookViewId="0">
      <pane xSplit="6" ySplit="6" topLeftCell="G58" activePane="bottomRight" state="frozen"/>
      <selection activeCell="A5" sqref="A5"/>
      <selection pane="topRight" activeCell="G5" sqref="G5"/>
      <selection pane="bottomLeft" activeCell="A11" sqref="A11"/>
      <selection pane="bottomRight" activeCell="G66" sqref="G66"/>
    </sheetView>
  </sheetViews>
  <sheetFormatPr defaultColWidth="9" defaultRowHeight="12.75"/>
  <cols>
    <col min="1" max="1" width="9" style="198"/>
    <col min="2" max="2" width="14.625" style="198" customWidth="1"/>
    <col min="3" max="3" width="13.25" style="198" bestFit="1" customWidth="1"/>
    <col min="4" max="4" width="11.75" style="198" bestFit="1" customWidth="1"/>
    <col min="5" max="5" width="6.125" style="198" customWidth="1"/>
    <col min="6" max="6" width="13.25" style="198" customWidth="1"/>
    <col min="7" max="7" width="12.5" style="198" bestFit="1" customWidth="1"/>
    <col min="8" max="26" width="13.625" style="198" bestFit="1" customWidth="1"/>
    <col min="27" max="16384" width="9" style="198"/>
  </cols>
  <sheetData>
    <row r="3" spans="2:26" ht="13.15" thickBot="1"/>
    <row r="4" spans="2:26" ht="13.5" thickBot="1">
      <c r="E4" s="199"/>
    </row>
    <row r="5" spans="2:26" ht="20.65">
      <c r="E5" s="200" t="s">
        <v>252</v>
      </c>
      <c r="F5" s="201"/>
    </row>
    <row r="6" spans="2:26" ht="4.1500000000000004" customHeight="1">
      <c r="E6" s="202"/>
      <c r="F6" s="203"/>
    </row>
    <row r="7" spans="2:26" ht="20.25" customHeight="1">
      <c r="E7" s="204"/>
      <c r="F7" s="205"/>
    </row>
    <row r="8" spans="2:26" ht="13.5" thickBot="1">
      <c r="E8" s="206"/>
      <c r="F8" s="207"/>
    </row>
    <row r="9" spans="2:26" ht="14.65" customHeight="1">
      <c r="E9" s="501" t="s">
        <v>253</v>
      </c>
      <c r="F9" s="556"/>
      <c r="G9" s="586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 t="s">
        <v>446</v>
      </c>
      <c r="T9" s="208" t="s">
        <v>446</v>
      </c>
      <c r="U9" s="208"/>
      <c r="V9" s="208"/>
      <c r="W9" s="208"/>
      <c r="X9" s="208"/>
      <c r="Y9" s="208"/>
      <c r="Z9" s="208"/>
    </row>
    <row r="10" spans="2:26" ht="14.65" customHeight="1" thickBot="1">
      <c r="E10" s="502"/>
      <c r="F10" s="557"/>
      <c r="G10" s="587" t="s">
        <v>447</v>
      </c>
      <c r="H10" s="553" t="s">
        <v>448</v>
      </c>
      <c r="I10" s="553" t="s">
        <v>449</v>
      </c>
      <c r="J10" s="553" t="s">
        <v>450</v>
      </c>
      <c r="K10" s="553" t="s">
        <v>451</v>
      </c>
      <c r="L10" s="553" t="s">
        <v>452</v>
      </c>
      <c r="M10" s="553" t="s">
        <v>469</v>
      </c>
      <c r="N10" s="553" t="s">
        <v>454</v>
      </c>
      <c r="O10" s="553" t="s">
        <v>470</v>
      </c>
      <c r="P10" s="553" t="s">
        <v>471</v>
      </c>
      <c r="Q10" s="553" t="s">
        <v>472</v>
      </c>
      <c r="R10" s="553" t="s">
        <v>473</v>
      </c>
      <c r="S10" s="209" t="s">
        <v>447</v>
      </c>
      <c r="T10" s="209" t="s">
        <v>448</v>
      </c>
      <c r="U10" s="209" t="s">
        <v>449</v>
      </c>
      <c r="V10" s="209" t="s">
        <v>450</v>
      </c>
      <c r="W10" s="209" t="s">
        <v>451</v>
      </c>
      <c r="X10" s="209" t="s">
        <v>452</v>
      </c>
      <c r="Y10" s="209" t="s">
        <v>453</v>
      </c>
      <c r="Z10" s="209" t="s">
        <v>454</v>
      </c>
    </row>
    <row r="11" spans="2:26" ht="14.65" customHeight="1" thickTop="1" thickBot="1">
      <c r="E11" s="503" t="s">
        <v>254</v>
      </c>
      <c r="F11" s="558" t="s">
        <v>226</v>
      </c>
      <c r="G11" s="588">
        <f>'[1]2024.07～恵愛予測'!C3</f>
        <v>7000000</v>
      </c>
      <c r="H11" s="210">
        <f>+[2]収支予測!H11</f>
        <v>7000000</v>
      </c>
      <c r="I11" s="210">
        <f>+[2]収支予測!I11</f>
        <v>7000000</v>
      </c>
      <c r="J11" s="210">
        <f>+[2]収支予測!J11</f>
        <v>7000000</v>
      </c>
      <c r="K11" s="210">
        <f>+[2]収支予測!K11</f>
        <v>7000000</v>
      </c>
      <c r="L11" s="210">
        <f>+[2]収支予測!L11</f>
        <v>9500000</v>
      </c>
      <c r="M11" s="210">
        <f>+[2]収支予測!M11</f>
        <v>7000000</v>
      </c>
      <c r="N11" s="210">
        <f>+[2]収支予測!N11</f>
        <v>7000000</v>
      </c>
      <c r="O11" s="210">
        <f>+[2]収支予測!O11</f>
        <v>8500000</v>
      </c>
      <c r="P11" s="210">
        <f>+[2]収支予測!P11</f>
        <v>7000000</v>
      </c>
      <c r="Q11" s="210">
        <f>+[2]収支予測!Q11</f>
        <v>7000000</v>
      </c>
      <c r="R11" s="210">
        <f>+[2]収支予測!R11</f>
        <v>7000000</v>
      </c>
      <c r="S11" s="210"/>
      <c r="T11" s="210"/>
      <c r="U11" s="210"/>
      <c r="V11" s="210"/>
      <c r="W11" s="210"/>
      <c r="X11" s="210"/>
      <c r="Y11" s="210"/>
      <c r="Z11" s="210"/>
    </row>
    <row r="12" spans="2:26" ht="14.65" customHeight="1" thickTop="1">
      <c r="E12" s="504"/>
      <c r="F12" s="559" t="s">
        <v>255</v>
      </c>
      <c r="G12" s="589">
        <f>'[1]2024.7~村予測'!C3</f>
        <v>750000</v>
      </c>
      <c r="H12" s="211">
        <f>+[2]収支予測!H12</f>
        <v>750000</v>
      </c>
      <c r="I12" s="211">
        <f>+[2]収支予測!I12</f>
        <v>750000</v>
      </c>
      <c r="J12" s="211">
        <f>+[2]収支予測!J12</f>
        <v>750000</v>
      </c>
      <c r="K12" s="211">
        <f>+[2]収支予測!K12</f>
        <v>750000</v>
      </c>
      <c r="L12" s="211">
        <f>+[2]収支予測!L12</f>
        <v>750000</v>
      </c>
      <c r="M12" s="211">
        <f>+[2]収支予測!M12</f>
        <v>750000</v>
      </c>
      <c r="N12" s="211">
        <f>+[2]収支予測!N12</f>
        <v>750000</v>
      </c>
      <c r="O12" s="211">
        <f>+[2]収支予測!O12</f>
        <v>750000</v>
      </c>
      <c r="P12" s="211">
        <f>+[2]収支予測!P12</f>
        <v>750000</v>
      </c>
      <c r="Q12" s="211">
        <f>+[2]収支予測!Q12</f>
        <v>750000</v>
      </c>
      <c r="R12" s="211">
        <f>+[2]収支予測!R12</f>
        <v>750000</v>
      </c>
      <c r="S12" s="211"/>
      <c r="T12" s="211"/>
      <c r="U12" s="211"/>
      <c r="V12" s="211"/>
      <c r="W12" s="211"/>
      <c r="X12" s="211"/>
      <c r="Y12" s="210"/>
      <c r="Z12" s="210"/>
    </row>
    <row r="13" spans="2:26" ht="14.65" customHeight="1">
      <c r="E13" s="504"/>
      <c r="F13" s="560" t="s">
        <v>256</v>
      </c>
      <c r="G13" s="589">
        <f>'[1]2024.7~弁当予測'!C3</f>
        <v>350000</v>
      </c>
      <c r="H13" s="211">
        <f>+[2]収支予測!H13</f>
        <v>350000</v>
      </c>
      <c r="I13" s="211">
        <f>+[2]収支予測!I13</f>
        <v>350000</v>
      </c>
      <c r="J13" s="211">
        <f>+[2]収支予測!J13</f>
        <v>350000</v>
      </c>
      <c r="K13" s="211">
        <f>+[2]収支予測!K13</f>
        <v>350000</v>
      </c>
      <c r="L13" s="211">
        <f>+[2]収支予測!L13</f>
        <v>350000</v>
      </c>
      <c r="M13" s="211">
        <f>+[2]収支予測!M13</f>
        <v>350000</v>
      </c>
      <c r="N13" s="211">
        <f>+[2]収支予測!N13</f>
        <v>350000</v>
      </c>
      <c r="O13" s="211">
        <f>+[2]収支予測!O13</f>
        <v>350000</v>
      </c>
      <c r="P13" s="211">
        <f>+[2]収支予測!P13</f>
        <v>350000</v>
      </c>
      <c r="Q13" s="211">
        <f>+[2]収支予測!Q13</f>
        <v>350000</v>
      </c>
      <c r="R13" s="211">
        <f>+[2]収支予測!R13</f>
        <v>350000</v>
      </c>
      <c r="S13" s="211"/>
      <c r="T13" s="211"/>
      <c r="U13" s="211"/>
      <c r="V13" s="211"/>
      <c r="W13" s="211"/>
      <c r="X13" s="211"/>
      <c r="Y13" s="211"/>
      <c r="Z13" s="211"/>
    </row>
    <row r="14" spans="2:26" ht="14.65" customHeight="1">
      <c r="E14" s="504"/>
      <c r="F14" s="561" t="s">
        <v>257</v>
      </c>
      <c r="G14" s="590">
        <f>'[1]2024.7~シェアバー予測'!C3</f>
        <v>150000</v>
      </c>
      <c r="H14" s="212">
        <f>+[2]収支予測!H14</f>
        <v>150000</v>
      </c>
      <c r="I14" s="212">
        <f>+[2]収支予測!I14</f>
        <v>150000</v>
      </c>
      <c r="J14" s="212">
        <f>+[2]収支予測!J14</f>
        <v>150000</v>
      </c>
      <c r="K14" s="212">
        <f>+[2]収支予測!K14</f>
        <v>150000</v>
      </c>
      <c r="L14" s="212">
        <f>+[2]収支予測!L14</f>
        <v>150000</v>
      </c>
      <c r="M14" s="212">
        <f>+[2]収支予測!M14</f>
        <v>150000</v>
      </c>
      <c r="N14" s="212">
        <f>+[2]収支予測!N14</f>
        <v>150000</v>
      </c>
      <c r="O14" s="212">
        <f>+[2]収支予測!O14</f>
        <v>150000</v>
      </c>
      <c r="P14" s="212">
        <f>+[2]収支予測!P14</f>
        <v>150000</v>
      </c>
      <c r="Q14" s="212">
        <f>+[2]収支予測!Q14</f>
        <v>150000</v>
      </c>
      <c r="R14" s="212">
        <f>+[2]収支予測!R14</f>
        <v>150000</v>
      </c>
      <c r="S14" s="212"/>
      <c r="T14" s="212"/>
      <c r="U14" s="212"/>
      <c r="V14" s="212"/>
      <c r="W14" s="212"/>
      <c r="X14" s="212"/>
      <c r="Y14" s="212"/>
      <c r="Z14" s="212"/>
    </row>
    <row r="15" spans="2:26" ht="14.65" customHeight="1">
      <c r="E15" s="504"/>
      <c r="F15" s="562" t="s">
        <v>258</v>
      </c>
      <c r="G15" s="590">
        <f>'[1]2024.7~サウナ予測'!C3</f>
        <v>1000000</v>
      </c>
      <c r="H15" s="212">
        <f>+[2]収支予測!H15</f>
        <v>2620000</v>
      </c>
      <c r="I15" s="212">
        <f>+[2]収支予測!I15</f>
        <v>1000000</v>
      </c>
      <c r="J15" s="212">
        <f>+[2]収支予測!J15</f>
        <v>1000000</v>
      </c>
      <c r="K15" s="212">
        <f>+[2]収支予測!K15</f>
        <v>1000000</v>
      </c>
      <c r="L15" s="212">
        <f>+[2]収支予測!L15</f>
        <v>1000000</v>
      </c>
      <c r="M15" s="212">
        <f>+[2]収支予測!M15</f>
        <v>1000000</v>
      </c>
      <c r="N15" s="212">
        <f>+[2]収支予測!N15</f>
        <v>1000000</v>
      </c>
      <c r="O15" s="212">
        <f>+[2]収支予測!O15</f>
        <v>1000000</v>
      </c>
      <c r="P15" s="212">
        <f>+[2]収支予測!P15</f>
        <v>1000000</v>
      </c>
      <c r="Q15" s="212">
        <f>+[2]収支予測!Q15</f>
        <v>1000000</v>
      </c>
      <c r="R15" s="212">
        <f>+[2]収支予測!R15</f>
        <v>1000000</v>
      </c>
      <c r="S15" s="213"/>
      <c r="T15" s="213"/>
      <c r="U15" s="213"/>
      <c r="V15" s="213"/>
      <c r="W15" s="213"/>
      <c r="X15" s="213"/>
      <c r="Y15" s="213"/>
      <c r="Z15" s="213"/>
    </row>
    <row r="16" spans="2:26" ht="13.9" customHeight="1">
      <c r="B16" s="214" t="s">
        <v>259</v>
      </c>
      <c r="C16" s="215" t="s">
        <v>260</v>
      </c>
      <c r="E16" s="504"/>
      <c r="F16" s="563" t="s">
        <v>261</v>
      </c>
      <c r="G16" s="591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 ht="14.65" customHeight="1">
      <c r="A17" s="217" t="s">
        <v>262</v>
      </c>
      <c r="B17" s="218">
        <v>0.34</v>
      </c>
      <c r="C17" s="218">
        <f>1-B17</f>
        <v>0.65999999999999992</v>
      </c>
      <c r="E17" s="505"/>
      <c r="F17" s="564" t="s">
        <v>263</v>
      </c>
      <c r="G17" s="592">
        <f t="shared" ref="G17:N17" si="0">SUM(G11:G16)</f>
        <v>9250000</v>
      </c>
      <c r="H17" s="554">
        <f t="shared" si="0"/>
        <v>10870000</v>
      </c>
      <c r="I17" s="554">
        <f t="shared" ref="I17:R17" si="1">SUM(I11:I16)</f>
        <v>9250000</v>
      </c>
      <c r="J17" s="554">
        <f t="shared" si="1"/>
        <v>9250000</v>
      </c>
      <c r="K17" s="554">
        <f t="shared" si="1"/>
        <v>9250000</v>
      </c>
      <c r="L17" s="554">
        <f t="shared" si="1"/>
        <v>11750000</v>
      </c>
      <c r="M17" s="554">
        <f t="shared" si="1"/>
        <v>9250000</v>
      </c>
      <c r="N17" s="554">
        <f t="shared" si="1"/>
        <v>9250000</v>
      </c>
      <c r="O17" s="554">
        <f t="shared" si="1"/>
        <v>10750000</v>
      </c>
      <c r="P17" s="554">
        <f t="shared" si="1"/>
        <v>9250000</v>
      </c>
      <c r="Q17" s="554">
        <f t="shared" si="1"/>
        <v>9250000</v>
      </c>
      <c r="R17" s="554">
        <f t="shared" si="1"/>
        <v>9250000</v>
      </c>
      <c r="S17" s="554">
        <f t="shared" ref="O17:Z17" si="2">SUM(S11:S16)</f>
        <v>0</v>
      </c>
      <c r="T17" s="554">
        <f t="shared" si="2"/>
        <v>0</v>
      </c>
      <c r="U17" s="554">
        <f t="shared" si="2"/>
        <v>0</v>
      </c>
      <c r="V17" s="554">
        <f t="shared" si="2"/>
        <v>0</v>
      </c>
      <c r="W17" s="554">
        <f t="shared" si="2"/>
        <v>0</v>
      </c>
      <c r="X17" s="554">
        <f t="shared" si="2"/>
        <v>0</v>
      </c>
      <c r="Y17" s="554">
        <f t="shared" si="2"/>
        <v>0</v>
      </c>
      <c r="Z17" s="554">
        <f t="shared" si="2"/>
        <v>0</v>
      </c>
    </row>
    <row r="18" spans="1:26" ht="14.65" customHeight="1">
      <c r="A18" s="219">
        <v>0.3</v>
      </c>
      <c r="E18" s="506" t="s">
        <v>264</v>
      </c>
      <c r="F18" s="565" t="s">
        <v>226</v>
      </c>
      <c r="G18" s="593">
        <f>'[1]2024.07～恵愛予測'!C4</f>
        <v>1785000</v>
      </c>
      <c r="H18" s="230">
        <f>+[2]収支予測!H18</f>
        <v>1785000</v>
      </c>
      <c r="I18" s="230">
        <f>+[2]収支予測!I18</f>
        <v>1785000</v>
      </c>
      <c r="J18" s="230">
        <f>+[2]収支予測!J18</f>
        <v>1785000</v>
      </c>
      <c r="K18" s="230">
        <f>+[2]収支予測!K18</f>
        <v>1785000</v>
      </c>
      <c r="L18" s="230">
        <f>+[2]収支予測!L18</f>
        <v>2422500</v>
      </c>
      <c r="M18" s="230">
        <f>+[2]収支予測!M18</f>
        <v>1785000</v>
      </c>
      <c r="N18" s="230">
        <f>+[2]収支予測!N18</f>
        <v>1785000</v>
      </c>
      <c r="O18" s="230">
        <f>+[2]収支予測!O18</f>
        <v>2167500</v>
      </c>
      <c r="P18" s="230">
        <f>+[2]収支予測!P18</f>
        <v>1785000</v>
      </c>
      <c r="Q18" s="230">
        <f>+[2]収支予測!Q18</f>
        <v>1785000</v>
      </c>
      <c r="R18" s="230">
        <f>+[2]収支予測!R18</f>
        <v>1785000</v>
      </c>
      <c r="S18" s="230"/>
      <c r="T18" s="230"/>
      <c r="U18" s="230"/>
      <c r="V18" s="230"/>
      <c r="W18" s="230"/>
      <c r="X18" s="230"/>
      <c r="Y18" s="230"/>
      <c r="Z18" s="230"/>
    </row>
    <row r="19" spans="1:26" ht="14.65" customHeight="1">
      <c r="A19" s="219">
        <v>0.34</v>
      </c>
      <c r="E19" s="496"/>
      <c r="F19" s="566" t="s">
        <v>255</v>
      </c>
      <c r="G19" s="589">
        <f>'[1]2024.7~村予測'!C4</f>
        <v>112500</v>
      </c>
      <c r="H19" s="211">
        <f>+[2]収支予測!H19</f>
        <v>112500</v>
      </c>
      <c r="I19" s="211">
        <f>+[2]収支予測!I19</f>
        <v>112500</v>
      </c>
      <c r="J19" s="211">
        <f>+[2]収支予測!J19</f>
        <v>112500</v>
      </c>
      <c r="K19" s="211">
        <f>+[2]収支予測!K19</f>
        <v>112500</v>
      </c>
      <c r="L19" s="211">
        <f>+[2]収支予測!L19</f>
        <v>112500</v>
      </c>
      <c r="M19" s="211">
        <f>+[2]収支予測!M19</f>
        <v>112500</v>
      </c>
      <c r="N19" s="211">
        <f>+[2]収支予測!N19</f>
        <v>112500</v>
      </c>
      <c r="O19" s="211">
        <f>+[2]収支予測!O19</f>
        <v>112500</v>
      </c>
      <c r="P19" s="211">
        <f>+[2]収支予測!P19</f>
        <v>112500</v>
      </c>
      <c r="Q19" s="211">
        <f>+[2]収支予測!Q19</f>
        <v>112500</v>
      </c>
      <c r="R19" s="211">
        <f>+[2]収支予測!R19</f>
        <v>112500</v>
      </c>
      <c r="S19" s="211"/>
      <c r="T19" s="211"/>
      <c r="U19" s="211"/>
      <c r="V19" s="211"/>
      <c r="W19" s="211"/>
      <c r="X19" s="211"/>
      <c r="Y19" s="211"/>
      <c r="Z19" s="211"/>
    </row>
    <row r="20" spans="1:26" ht="14.65" customHeight="1">
      <c r="A20" s="219"/>
      <c r="E20" s="496"/>
      <c r="F20" s="560" t="s">
        <v>256</v>
      </c>
      <c r="G20" s="589">
        <f>'[1]2024.7~弁当予測'!C4</f>
        <v>157500</v>
      </c>
      <c r="H20" s="211">
        <f>+[2]収支予測!H20</f>
        <v>140000</v>
      </c>
      <c r="I20" s="211">
        <f>+[2]収支予測!I20</f>
        <v>140000</v>
      </c>
      <c r="J20" s="211">
        <f>+[2]収支予測!J20</f>
        <v>140000</v>
      </c>
      <c r="K20" s="211">
        <f>+[2]収支予測!K20</f>
        <v>140000</v>
      </c>
      <c r="L20" s="211">
        <f>+[2]収支予測!L20</f>
        <v>140000</v>
      </c>
      <c r="M20" s="211">
        <f>+[2]収支予測!M20</f>
        <v>140000</v>
      </c>
      <c r="N20" s="211">
        <f>+[2]収支予測!N20</f>
        <v>140000</v>
      </c>
      <c r="O20" s="211">
        <f>+[2]収支予測!O20</f>
        <v>140000</v>
      </c>
      <c r="P20" s="211">
        <f>+[2]収支予測!P20</f>
        <v>140000</v>
      </c>
      <c r="Q20" s="211">
        <f>+[2]収支予測!Q20</f>
        <v>140000</v>
      </c>
      <c r="R20" s="211">
        <f>+[2]収支予測!R20</f>
        <v>140000</v>
      </c>
      <c r="S20" s="211"/>
      <c r="T20" s="211"/>
      <c r="U20" s="211"/>
      <c r="V20" s="211"/>
      <c r="W20" s="211"/>
      <c r="X20" s="211"/>
      <c r="Y20" s="211"/>
      <c r="Z20" s="211"/>
    </row>
    <row r="21" spans="1:26" ht="14.65" customHeight="1">
      <c r="A21" s="219">
        <v>0.32</v>
      </c>
      <c r="E21" s="496"/>
      <c r="F21" s="561" t="s">
        <v>257</v>
      </c>
      <c r="G21" s="590">
        <f>'[1]2024.7~シェアバー予測'!C4</f>
        <v>45000</v>
      </c>
      <c r="H21" s="212">
        <f>+[2]収支予測!H21</f>
        <v>45000</v>
      </c>
      <c r="I21" s="212">
        <f>+[2]収支予測!I21</f>
        <v>45000</v>
      </c>
      <c r="J21" s="212">
        <f>+[2]収支予測!J21</f>
        <v>84350</v>
      </c>
      <c r="K21" s="212">
        <f>+[2]収支予測!K21</f>
        <v>45000</v>
      </c>
      <c r="L21" s="212">
        <f>+[2]収支予測!L21</f>
        <v>43879</v>
      </c>
      <c r="M21" s="212">
        <f>+[2]収支予測!M21</f>
        <v>45000</v>
      </c>
      <c r="N21" s="212">
        <f>+[2]収支予測!N21</f>
        <v>45000</v>
      </c>
      <c r="O21" s="212">
        <f>+[2]収支予測!O21</f>
        <v>37500</v>
      </c>
      <c r="P21" s="212">
        <f>+[2]収支予測!P21</f>
        <v>45000</v>
      </c>
      <c r="Q21" s="212">
        <f>+[2]収支予測!Q21</f>
        <v>45000</v>
      </c>
      <c r="R21" s="212">
        <f>+[2]収支予測!R21</f>
        <v>45000</v>
      </c>
      <c r="S21" s="212"/>
      <c r="T21" s="212"/>
      <c r="U21" s="212"/>
      <c r="V21" s="212"/>
      <c r="W21" s="212"/>
      <c r="X21" s="212"/>
      <c r="Y21" s="212"/>
      <c r="Z21" s="212"/>
    </row>
    <row r="22" spans="1:26" ht="14.65" customHeight="1">
      <c r="A22" s="219"/>
      <c r="E22" s="496"/>
      <c r="F22" s="562" t="s">
        <v>258</v>
      </c>
      <c r="G22" s="594">
        <f>'[1]2024.7~サウナ予測'!C4</f>
        <v>100000</v>
      </c>
      <c r="H22" s="213">
        <f>+[2]収支予測!H22</f>
        <v>50000</v>
      </c>
      <c r="I22" s="213">
        <f>+[2]収支予測!I22</f>
        <v>50000</v>
      </c>
      <c r="J22" s="213">
        <f>+[2]収支予測!J22</f>
        <v>50000</v>
      </c>
      <c r="K22" s="213">
        <f>+[2]収支予測!K22</f>
        <v>50000</v>
      </c>
      <c r="L22" s="213">
        <f>+[2]収支予測!L22</f>
        <v>50000</v>
      </c>
      <c r="M22" s="213">
        <f>+[2]収支予測!M22</f>
        <v>50000</v>
      </c>
      <c r="N22" s="213">
        <f>+[2]収支予測!N22</f>
        <v>50000</v>
      </c>
      <c r="O22" s="213">
        <f>+[2]収支予測!O22</f>
        <v>50000</v>
      </c>
      <c r="P22" s="213">
        <f>+[2]収支予測!P22</f>
        <v>50000</v>
      </c>
      <c r="Q22" s="213">
        <f>+[2]収支予測!Q22</f>
        <v>50000</v>
      </c>
      <c r="R22" s="213">
        <f>+[2]収支予測!R22</f>
        <v>50000</v>
      </c>
      <c r="S22" s="213"/>
      <c r="T22" s="213"/>
      <c r="U22" s="213"/>
      <c r="V22" s="213"/>
      <c r="W22" s="213"/>
      <c r="X22" s="213"/>
      <c r="Y22" s="213"/>
      <c r="Z22" s="213"/>
    </row>
    <row r="23" spans="1:26" ht="14.65" customHeight="1">
      <c r="A23" s="220">
        <v>0.34</v>
      </c>
      <c r="B23" s="214" t="s">
        <v>265</v>
      </c>
      <c r="C23" s="215" t="s">
        <v>260</v>
      </c>
      <c r="E23" s="496"/>
      <c r="F23" s="563" t="s">
        <v>261</v>
      </c>
      <c r="G23" s="591">
        <f>'[1]2024.07~本部予測'!C4</f>
        <v>0</v>
      </c>
      <c r="H23" s="216">
        <f>'[1]2024.07~本部予測'!D4</f>
        <v>0</v>
      </c>
      <c r="I23" s="216">
        <v>0</v>
      </c>
      <c r="J23" s="216">
        <v>0</v>
      </c>
      <c r="K23" s="216">
        <v>0</v>
      </c>
      <c r="L23" s="216">
        <v>0</v>
      </c>
      <c r="M23" s="216">
        <v>0</v>
      </c>
      <c r="N23" s="216">
        <v>0</v>
      </c>
      <c r="O23" s="216">
        <v>0</v>
      </c>
      <c r="P23" s="216">
        <v>0</v>
      </c>
      <c r="Q23" s="216">
        <v>0</v>
      </c>
      <c r="R23" s="216">
        <v>0</v>
      </c>
      <c r="S23" s="216"/>
      <c r="T23" s="216"/>
      <c r="U23" s="216"/>
      <c r="V23" s="216"/>
      <c r="W23" s="216"/>
      <c r="X23" s="216"/>
      <c r="Y23" s="216"/>
      <c r="Z23" s="216"/>
    </row>
    <row r="24" spans="1:26" ht="14.65" customHeight="1" thickBot="1">
      <c r="B24" s="218">
        <v>0.99</v>
      </c>
      <c r="C24" s="218">
        <f>1-B24</f>
        <v>1.0000000000000009E-2</v>
      </c>
      <c r="E24" s="497"/>
      <c r="F24" s="567" t="s">
        <v>266</v>
      </c>
      <c r="G24" s="595">
        <f>SUM(G18:G23)</f>
        <v>2200000</v>
      </c>
      <c r="H24" s="221">
        <f t="shared" ref="H24:Z24" si="3">SUM(H18:H23)</f>
        <v>2132500</v>
      </c>
      <c r="I24" s="221">
        <f t="shared" ref="I24:R24" si="4">SUM(I18:I23)</f>
        <v>2132500</v>
      </c>
      <c r="J24" s="221">
        <f t="shared" si="4"/>
        <v>2171850</v>
      </c>
      <c r="K24" s="221">
        <f t="shared" si="4"/>
        <v>2132500</v>
      </c>
      <c r="L24" s="221">
        <f t="shared" si="4"/>
        <v>2768879</v>
      </c>
      <c r="M24" s="221">
        <f t="shared" si="4"/>
        <v>2132500</v>
      </c>
      <c r="N24" s="221">
        <f t="shared" si="4"/>
        <v>2132500</v>
      </c>
      <c r="O24" s="221">
        <f t="shared" si="4"/>
        <v>2507500</v>
      </c>
      <c r="P24" s="221">
        <f t="shared" si="4"/>
        <v>2132500</v>
      </c>
      <c r="Q24" s="221">
        <f t="shared" si="4"/>
        <v>2132500</v>
      </c>
      <c r="R24" s="221">
        <f t="shared" si="4"/>
        <v>2132500</v>
      </c>
      <c r="S24" s="221">
        <f t="shared" si="3"/>
        <v>0</v>
      </c>
      <c r="T24" s="221">
        <f t="shared" si="3"/>
        <v>0</v>
      </c>
      <c r="U24" s="221">
        <f t="shared" si="3"/>
        <v>0</v>
      </c>
      <c r="V24" s="221">
        <f t="shared" si="3"/>
        <v>0</v>
      </c>
      <c r="W24" s="221">
        <f t="shared" si="3"/>
        <v>0</v>
      </c>
      <c r="X24" s="221">
        <f t="shared" si="3"/>
        <v>0</v>
      </c>
      <c r="Y24" s="221">
        <f t="shared" si="3"/>
        <v>0</v>
      </c>
      <c r="Z24" s="221">
        <f t="shared" si="3"/>
        <v>0</v>
      </c>
    </row>
    <row r="25" spans="1:26" ht="14.65" customHeight="1" thickTop="1">
      <c r="E25" s="507" t="s">
        <v>267</v>
      </c>
      <c r="F25" s="568"/>
      <c r="G25" s="596">
        <f t="shared" ref="G25:K25" si="5">G17-G24</f>
        <v>7050000</v>
      </c>
      <c r="H25" s="222">
        <f t="shared" si="5"/>
        <v>8737500</v>
      </c>
      <c r="I25" s="222">
        <f t="shared" ref="I25:R25" si="6">I17-I24</f>
        <v>7117500</v>
      </c>
      <c r="J25" s="222">
        <f t="shared" si="6"/>
        <v>7078150</v>
      </c>
      <c r="K25" s="222">
        <f t="shared" si="6"/>
        <v>7117500</v>
      </c>
      <c r="L25" s="222">
        <f t="shared" si="6"/>
        <v>8981121</v>
      </c>
      <c r="M25" s="222">
        <f t="shared" si="6"/>
        <v>7117500</v>
      </c>
      <c r="N25" s="222">
        <f t="shared" si="6"/>
        <v>7117500</v>
      </c>
      <c r="O25" s="222">
        <f t="shared" si="6"/>
        <v>8242500</v>
      </c>
      <c r="P25" s="222">
        <f t="shared" si="6"/>
        <v>7117500</v>
      </c>
      <c r="Q25" s="222">
        <f t="shared" si="6"/>
        <v>7117500</v>
      </c>
      <c r="R25" s="222">
        <f t="shared" si="6"/>
        <v>7117500</v>
      </c>
      <c r="S25" s="222">
        <f t="shared" ref="M25:Z25" si="7">S17-S24</f>
        <v>0</v>
      </c>
      <c r="T25" s="222">
        <f t="shared" si="7"/>
        <v>0</v>
      </c>
      <c r="U25" s="222">
        <f t="shared" si="7"/>
        <v>0</v>
      </c>
      <c r="V25" s="222">
        <f t="shared" si="7"/>
        <v>0</v>
      </c>
      <c r="W25" s="222">
        <f t="shared" si="7"/>
        <v>0</v>
      </c>
      <c r="X25" s="222">
        <f t="shared" si="7"/>
        <v>0</v>
      </c>
      <c r="Y25" s="222">
        <f t="shared" si="7"/>
        <v>0</v>
      </c>
      <c r="Z25" s="222">
        <f t="shared" si="7"/>
        <v>0</v>
      </c>
    </row>
    <row r="26" spans="1:26" ht="14.65" customHeight="1" thickBot="1">
      <c r="A26" s="223" t="s">
        <v>268</v>
      </c>
      <c r="B26" s="224"/>
      <c r="C26" s="224"/>
      <c r="E26" s="508"/>
      <c r="F26" s="569"/>
      <c r="G26" s="597">
        <f t="shared" ref="G26:Z26" si="8">G25/G17</f>
        <v>0.76216216216216215</v>
      </c>
      <c r="H26" s="225">
        <f t="shared" si="8"/>
        <v>0.80381784728610861</v>
      </c>
      <c r="I26" s="225">
        <f t="shared" ref="I26:R26" si="9">I25/I17</f>
        <v>0.76945945945945948</v>
      </c>
      <c r="J26" s="225">
        <f t="shared" si="9"/>
        <v>0.76520540540540538</v>
      </c>
      <c r="K26" s="225">
        <f t="shared" si="9"/>
        <v>0.76945945945945948</v>
      </c>
      <c r="L26" s="225">
        <f t="shared" si="9"/>
        <v>0.76435072340425536</v>
      </c>
      <c r="M26" s="225">
        <f t="shared" si="9"/>
        <v>0.76945945945945948</v>
      </c>
      <c r="N26" s="225">
        <f t="shared" si="9"/>
        <v>0.76945945945945948</v>
      </c>
      <c r="O26" s="225">
        <f t="shared" si="9"/>
        <v>0.76674418604651162</v>
      </c>
      <c r="P26" s="225">
        <f t="shared" si="9"/>
        <v>0.76945945945945948</v>
      </c>
      <c r="Q26" s="225">
        <f t="shared" si="9"/>
        <v>0.76945945945945948</v>
      </c>
      <c r="R26" s="225">
        <f t="shared" si="9"/>
        <v>0.76945945945945948</v>
      </c>
      <c r="S26" s="225" t="e">
        <f t="shared" si="8"/>
        <v>#DIV/0!</v>
      </c>
      <c r="T26" s="225" t="e">
        <f t="shared" si="8"/>
        <v>#DIV/0!</v>
      </c>
      <c r="U26" s="225" t="e">
        <f t="shared" si="8"/>
        <v>#DIV/0!</v>
      </c>
      <c r="V26" s="225" t="e">
        <f t="shared" si="8"/>
        <v>#DIV/0!</v>
      </c>
      <c r="W26" s="225" t="e">
        <f t="shared" si="8"/>
        <v>#DIV/0!</v>
      </c>
      <c r="X26" s="225" t="e">
        <f t="shared" si="8"/>
        <v>#DIV/0!</v>
      </c>
      <c r="Y26" s="225" t="e">
        <f t="shared" si="8"/>
        <v>#DIV/0!</v>
      </c>
      <c r="Z26" s="225" t="e">
        <f t="shared" si="8"/>
        <v>#DIV/0!</v>
      </c>
    </row>
    <row r="27" spans="1:26" ht="14.65" customHeight="1" thickTop="1">
      <c r="A27" s="226">
        <v>590</v>
      </c>
      <c r="B27" s="224"/>
      <c r="C27" s="224"/>
      <c r="E27" s="509" t="s">
        <v>269</v>
      </c>
      <c r="F27" s="570" t="s">
        <v>270</v>
      </c>
      <c r="G27" s="598">
        <f>'[1]2024.07～恵愛予測'!C7+'[1]2024.7~村予測'!C7+'[1]2024.7~弁当予測'!C7+'[1]2024.7~シェアバー予測'!C7+'[1]2024.7~サウナ予測'!C7+'[1]2024.07~本部予測'!C7</f>
        <v>500000</v>
      </c>
      <c r="H27" s="555">
        <f>+[2]収支予測!H27</f>
        <v>500000</v>
      </c>
      <c r="I27" s="555">
        <f>+[2]収支予測!I27</f>
        <v>500000</v>
      </c>
      <c r="J27" s="555">
        <f>+[2]収支予測!J27</f>
        <v>500000</v>
      </c>
      <c r="K27" s="555">
        <f>+[2]収支予測!K27</f>
        <v>500000</v>
      </c>
      <c r="L27" s="555">
        <f>+[2]収支予測!L27</f>
        <v>500000</v>
      </c>
      <c r="M27" s="555">
        <f>+[2]収支予測!M27</f>
        <v>500000</v>
      </c>
      <c r="N27" s="555">
        <f>+[2]収支予測!N27</f>
        <v>500000</v>
      </c>
      <c r="O27" s="555">
        <f>+[2]収支予測!O27</f>
        <v>500000</v>
      </c>
      <c r="P27" s="555">
        <f>+[2]収支予測!P27</f>
        <v>500000</v>
      </c>
      <c r="Q27" s="555">
        <f>+[2]収支予測!Q27</f>
        <v>500000</v>
      </c>
      <c r="R27" s="555">
        <f>+[2]収支予測!R27</f>
        <v>500000</v>
      </c>
      <c r="S27" s="555">
        <v>500000</v>
      </c>
      <c r="T27" s="555">
        <v>500000</v>
      </c>
      <c r="U27" s="555"/>
      <c r="V27" s="210"/>
      <c r="W27" s="210"/>
      <c r="X27" s="210"/>
      <c r="Y27" s="210"/>
      <c r="Z27" s="210"/>
    </row>
    <row r="28" spans="1:26" ht="14.65" customHeight="1">
      <c r="A28" s="226"/>
      <c r="B28" s="224"/>
      <c r="C28" s="224"/>
      <c r="E28" s="496"/>
      <c r="F28" s="571" t="s">
        <v>271</v>
      </c>
      <c r="G28" s="590">
        <f>'[1]2024.07～恵愛予測'!C8+'[1]2024.7~村予測'!C8+'[1]2024.7~弁当予測'!C8+'[1]2024.7~シェアバー予測'!C8+'[1]2024.7~サウナ予測'!C8+'[1]2024.07~本部予測'!C8</f>
        <v>570000</v>
      </c>
      <c r="H28" s="212">
        <f>+[2]収支予測!H28</f>
        <v>570000</v>
      </c>
      <c r="I28" s="212">
        <f>+[2]収支予測!I28</f>
        <v>570000</v>
      </c>
      <c r="J28" s="212">
        <f>+[2]収支予測!J28</f>
        <v>570000</v>
      </c>
      <c r="K28" s="212">
        <f>+[2]収支予測!K28</f>
        <v>570000</v>
      </c>
      <c r="L28" s="212">
        <f>+[2]収支予測!L28</f>
        <v>570000</v>
      </c>
      <c r="M28" s="212">
        <f>+[2]収支予測!M28</f>
        <v>570000</v>
      </c>
      <c r="N28" s="212">
        <f>+[2]収支予測!N28</f>
        <v>570000</v>
      </c>
      <c r="O28" s="212">
        <f>+[2]収支予測!O28</f>
        <v>570000</v>
      </c>
      <c r="P28" s="212">
        <f>+[2]収支予測!P28</f>
        <v>570000</v>
      </c>
      <c r="Q28" s="212">
        <f>+[2]収支予測!Q28</f>
        <v>570000</v>
      </c>
      <c r="R28" s="212">
        <f>+[2]収支予測!R28</f>
        <v>570000</v>
      </c>
      <c r="S28" s="212">
        <v>570000</v>
      </c>
      <c r="T28" s="212">
        <v>570000</v>
      </c>
      <c r="U28" s="212"/>
      <c r="V28" s="212"/>
      <c r="W28" s="212"/>
      <c r="X28" s="212"/>
      <c r="Y28" s="212"/>
      <c r="Z28" s="212"/>
    </row>
    <row r="29" spans="1:26" ht="14.65" customHeight="1">
      <c r="A29" s="227" t="s">
        <v>272</v>
      </c>
      <c r="B29" s="224"/>
      <c r="C29" s="224"/>
      <c r="E29" s="496"/>
      <c r="F29" s="572" t="s">
        <v>273</v>
      </c>
      <c r="G29" s="590">
        <f>'[1]2024.07～恵愛予測'!C9+'[1]2024.7~村予測'!C9+'[1]2024.7~弁当予測'!C9+'[1]2024.7~シェアバー予測'!C9+'[1]2024.7~サウナ予測'!C9+'[1]2024.07~本部予測'!C9</f>
        <v>1130000</v>
      </c>
      <c r="H29" s="212">
        <f>+[2]収支予測!H29</f>
        <v>1110000</v>
      </c>
      <c r="I29" s="212">
        <f>+[2]収支予測!I29</f>
        <v>1110000</v>
      </c>
      <c r="J29" s="212">
        <f>+[2]収支予測!J29</f>
        <v>1110000</v>
      </c>
      <c r="K29" s="212">
        <f>+[2]収支予測!K29</f>
        <v>1110000</v>
      </c>
      <c r="L29" s="212">
        <f>+[2]収支予測!L29</f>
        <v>1485000</v>
      </c>
      <c r="M29" s="212">
        <f>+[2]収支予測!M29</f>
        <v>1110000</v>
      </c>
      <c r="N29" s="212">
        <f>+[2]収支予測!N29</f>
        <v>1110000</v>
      </c>
      <c r="O29" s="212">
        <f>+[2]収支予測!O29</f>
        <v>1335000</v>
      </c>
      <c r="P29" s="212">
        <f>+[2]収支予測!P29</f>
        <v>1110000</v>
      </c>
      <c r="Q29" s="212">
        <f>+[2]収支予測!Q29</f>
        <v>1110000</v>
      </c>
      <c r="R29" s="212">
        <f>+[2]収支予測!R29</f>
        <v>1110000</v>
      </c>
      <c r="S29" s="212">
        <v>1130000</v>
      </c>
      <c r="T29" s="212">
        <v>1130000</v>
      </c>
      <c r="U29" s="212"/>
      <c r="V29" s="212"/>
      <c r="W29" s="212"/>
      <c r="X29" s="212"/>
      <c r="Y29" s="212"/>
      <c r="Z29" s="212"/>
    </row>
    <row r="30" spans="1:26" ht="14.65" customHeight="1">
      <c r="A30" s="227" t="s">
        <v>272</v>
      </c>
      <c r="B30" s="224"/>
      <c r="C30" s="224"/>
      <c r="E30" s="496"/>
      <c r="F30" s="572" t="s">
        <v>274</v>
      </c>
      <c r="G30" s="590">
        <f>'[1]2024.07～恵愛予測'!C10+'[1]2024.7~村予測'!C10+'[1]2024.7~弁当予測'!C10+'[1]2024.7~シェアバー予測'!C10+'[1]2024.7~サウナ予測'!C10+'[1]2024.07~本部予測'!C10</f>
        <v>160500</v>
      </c>
      <c r="H30" s="212">
        <f>+[2]収支予測!H30</f>
        <v>205500</v>
      </c>
      <c r="I30" s="212">
        <f>+[2]収支予測!I30</f>
        <v>205500</v>
      </c>
      <c r="J30" s="212">
        <f>+[2]収支予測!J30</f>
        <v>205500</v>
      </c>
      <c r="K30" s="212">
        <f>+[2]収支予測!K30</f>
        <v>205500</v>
      </c>
      <c r="L30" s="212">
        <f>+[2]収支予測!L30</f>
        <v>205500</v>
      </c>
      <c r="M30" s="212">
        <f>+[2]収支予測!M30</f>
        <v>205500</v>
      </c>
      <c r="N30" s="212">
        <f>+[2]収支予測!N30</f>
        <v>205500</v>
      </c>
      <c r="O30" s="212">
        <f>+[2]収支予測!O30</f>
        <v>205500</v>
      </c>
      <c r="P30" s="212">
        <f>+[2]収支予測!P30</f>
        <v>205500</v>
      </c>
      <c r="Q30" s="212">
        <f>+[2]収支予測!Q30</f>
        <v>205500</v>
      </c>
      <c r="R30" s="212">
        <f>+[2]収支予測!R30</f>
        <v>205500</v>
      </c>
      <c r="S30" s="212">
        <v>160500</v>
      </c>
      <c r="T30" s="212">
        <v>160500</v>
      </c>
      <c r="U30" s="212"/>
      <c r="V30" s="212"/>
      <c r="W30" s="212"/>
      <c r="X30" s="212"/>
      <c r="Y30" s="212"/>
      <c r="Z30" s="212"/>
    </row>
    <row r="31" spans="1:26" ht="14.65" customHeight="1">
      <c r="A31" s="227"/>
      <c r="B31" s="224"/>
      <c r="C31" s="224"/>
      <c r="E31" s="496"/>
      <c r="F31" s="572" t="s">
        <v>275</v>
      </c>
      <c r="G31" s="590">
        <f>'[1]2024.07～恵愛予測'!C11+'[1]2024.7~村予測'!C11+'[1]2024.7~弁当予測'!C11+'[1]2024.7~シェアバー予測'!C11+'[1]2024.7~サウナ予測'!C11+'[1]2024.07~本部予測'!C11</f>
        <v>0</v>
      </c>
      <c r="H31" s="212">
        <f>+[2]収支予測!H31</f>
        <v>0</v>
      </c>
      <c r="I31" s="212">
        <f>+[2]収支予測!I31</f>
        <v>0</v>
      </c>
      <c r="J31" s="212">
        <f>+[2]収支予測!J31</f>
        <v>0</v>
      </c>
      <c r="K31" s="212">
        <f>+[2]収支予測!K31</f>
        <v>0</v>
      </c>
      <c r="L31" s="212">
        <f>+[2]収支予測!L31</f>
        <v>0</v>
      </c>
      <c r="M31" s="212">
        <f>+[2]収支予測!M31</f>
        <v>0</v>
      </c>
      <c r="N31" s="212">
        <f>+[2]収支予測!N31</f>
        <v>0</v>
      </c>
      <c r="O31" s="212">
        <f>+[2]収支予測!O31</f>
        <v>0</v>
      </c>
      <c r="P31" s="212">
        <f>+[2]収支予測!P31</f>
        <v>0</v>
      </c>
      <c r="Q31" s="212">
        <f>+[2]収支予測!Q31</f>
        <v>0</v>
      </c>
      <c r="R31" s="212">
        <f>+[2]収支予測!R31</f>
        <v>0</v>
      </c>
      <c r="S31" s="213">
        <v>0</v>
      </c>
      <c r="T31" s="213">
        <v>0</v>
      </c>
      <c r="U31" s="213"/>
      <c r="V31" s="213"/>
      <c r="W31" s="213"/>
      <c r="X31" s="213"/>
      <c r="Y31" s="213"/>
      <c r="Z31" s="213"/>
    </row>
    <row r="32" spans="1:26" ht="14.65" customHeight="1">
      <c r="A32" s="227"/>
      <c r="B32" s="224"/>
      <c r="C32" s="224"/>
      <c r="E32" s="496"/>
      <c r="F32" s="572" t="s">
        <v>276</v>
      </c>
      <c r="G32" s="590">
        <f>'[1]2024.07～恵愛予測'!C12+'[1]2024.7~村予測'!C12+'[1]2024.7~弁当予測'!C12+'[1]2024.7~シェアバー予測'!C12+'[1]2024.7~サウナ予測'!C12+'[1]2024.07~本部予測'!C12</f>
        <v>260000</v>
      </c>
      <c r="H32" s="212">
        <f>+[2]収支予測!H32</f>
        <v>285682</v>
      </c>
      <c r="I32" s="212">
        <f>+[2]収支予測!I32</f>
        <v>251021</v>
      </c>
      <c r="J32" s="212">
        <f>+[2]収支予測!J32</f>
        <v>314059</v>
      </c>
      <c r="K32" s="212">
        <f>+[2]収支予測!K32</f>
        <v>263426</v>
      </c>
      <c r="L32" s="212">
        <f>+[2]収支予測!L32</f>
        <v>256657</v>
      </c>
      <c r="M32" s="212">
        <f>+[2]収支予測!M32</f>
        <v>252206</v>
      </c>
      <c r="N32" s="212">
        <f>+[2]収支予測!N32</f>
        <v>238391</v>
      </c>
      <c r="O32" s="212">
        <f>+[2]収支予測!O32</f>
        <v>263426</v>
      </c>
      <c r="P32" s="212">
        <f>+[2]収支予測!P32</f>
        <v>260000</v>
      </c>
      <c r="Q32" s="212">
        <f>+[2]収支予測!Q32</f>
        <v>260000</v>
      </c>
      <c r="R32" s="212">
        <f>+[2]収支予測!R32</f>
        <v>260000</v>
      </c>
      <c r="S32" s="213">
        <v>285000</v>
      </c>
      <c r="T32" s="213">
        <v>285000</v>
      </c>
      <c r="U32" s="213"/>
      <c r="V32" s="213"/>
      <c r="W32" s="213"/>
      <c r="X32" s="213"/>
      <c r="Y32" s="213"/>
      <c r="Z32" s="213"/>
    </row>
    <row r="33" spans="1:26" ht="14.65" customHeight="1">
      <c r="A33" s="228">
        <v>3780</v>
      </c>
      <c r="B33" s="224"/>
      <c r="C33" s="224"/>
      <c r="E33" s="496"/>
      <c r="F33" s="573" t="s">
        <v>277</v>
      </c>
      <c r="G33" s="591">
        <f>'[1]2024.07～恵愛予測'!C13+'[1]2024.7~村予測'!C13+'[1]2024.7~弁当予測'!C13+'[1]2024.7~シェアバー予測'!C13+'[1]2024.7~サウナ予測'!C13+'[1]2024.07~本部予測'!C13</f>
        <v>101819</v>
      </c>
      <c r="H33" s="216">
        <f>+[2]収支予測!H33</f>
        <v>101819</v>
      </c>
      <c r="I33" s="216">
        <f>+[2]収支予測!I33</f>
        <v>101819</v>
      </c>
      <c r="J33" s="216">
        <f>+[2]収支予測!J33</f>
        <v>124819</v>
      </c>
      <c r="K33" s="216">
        <f>+[2]収支予測!K33</f>
        <v>101819</v>
      </c>
      <c r="L33" s="216">
        <f>+[2]収支予測!L33</f>
        <v>102109</v>
      </c>
      <c r="M33" s="216">
        <f>+[2]収支予測!M33</f>
        <v>101819</v>
      </c>
      <c r="N33" s="216">
        <f>+[2]収支予測!N33</f>
        <v>102329</v>
      </c>
      <c r="O33" s="216">
        <f>+[2]収支予測!O33</f>
        <v>101819</v>
      </c>
      <c r="P33" s="216">
        <f>+[2]収支予測!P33</f>
        <v>101819</v>
      </c>
      <c r="Q33" s="216">
        <f>+[2]収支予測!Q33</f>
        <v>101819</v>
      </c>
      <c r="R33" s="216">
        <f>+[2]収支予測!R33</f>
        <v>101819</v>
      </c>
      <c r="S33" s="216">
        <v>101819</v>
      </c>
      <c r="T33" s="216">
        <v>101819</v>
      </c>
      <c r="U33" s="216"/>
      <c r="V33" s="216"/>
      <c r="W33" s="216"/>
      <c r="X33" s="216"/>
      <c r="Y33" s="216"/>
      <c r="Z33" s="216"/>
    </row>
    <row r="34" spans="1:26" ht="14.65" customHeight="1">
      <c r="A34" s="223" t="s">
        <v>268</v>
      </c>
      <c r="B34" s="224"/>
      <c r="C34" s="224"/>
      <c r="E34" s="510"/>
      <c r="F34" s="574" t="s">
        <v>278</v>
      </c>
      <c r="G34" s="599">
        <f>SUM(G27:G33)</f>
        <v>2722319</v>
      </c>
      <c r="H34" s="229">
        <f t="shared" ref="H34:Z34" si="10">SUM(H27:H33)</f>
        <v>2773001</v>
      </c>
      <c r="I34" s="229">
        <f t="shared" ref="I34:R34" si="11">SUM(I27:I33)</f>
        <v>2738340</v>
      </c>
      <c r="J34" s="229">
        <f t="shared" si="11"/>
        <v>2824378</v>
      </c>
      <c r="K34" s="229">
        <f t="shared" si="11"/>
        <v>2750745</v>
      </c>
      <c r="L34" s="229">
        <f t="shared" si="11"/>
        <v>3119266</v>
      </c>
      <c r="M34" s="229">
        <f t="shared" si="11"/>
        <v>2739525</v>
      </c>
      <c r="N34" s="229">
        <f t="shared" si="11"/>
        <v>2726220</v>
      </c>
      <c r="O34" s="229">
        <f t="shared" si="11"/>
        <v>2975745</v>
      </c>
      <c r="P34" s="229">
        <f t="shared" si="11"/>
        <v>2747319</v>
      </c>
      <c r="Q34" s="229">
        <f t="shared" si="11"/>
        <v>2747319</v>
      </c>
      <c r="R34" s="229">
        <f t="shared" si="11"/>
        <v>2747319</v>
      </c>
      <c r="S34" s="229">
        <f t="shared" si="10"/>
        <v>2747319</v>
      </c>
      <c r="T34" s="229">
        <f t="shared" si="10"/>
        <v>2747319</v>
      </c>
      <c r="U34" s="229">
        <f t="shared" si="10"/>
        <v>0</v>
      </c>
      <c r="V34" s="229">
        <f t="shared" si="10"/>
        <v>0</v>
      </c>
      <c r="W34" s="229">
        <f t="shared" si="10"/>
        <v>0</v>
      </c>
      <c r="X34" s="229">
        <f t="shared" si="10"/>
        <v>0</v>
      </c>
      <c r="Y34" s="229">
        <f t="shared" si="10"/>
        <v>0</v>
      </c>
      <c r="Z34" s="229">
        <f t="shared" si="10"/>
        <v>0</v>
      </c>
    </row>
    <row r="35" spans="1:26" ht="14.65" customHeight="1">
      <c r="A35" s="226">
        <v>661</v>
      </c>
      <c r="B35" s="224"/>
      <c r="C35" s="224"/>
      <c r="E35" s="495" t="s">
        <v>279</v>
      </c>
      <c r="F35" s="570" t="s">
        <v>280</v>
      </c>
      <c r="G35" s="594">
        <f>'[1]2024.07～恵愛予測'!C14+'[1]2024.7~村予測'!C14+'[1]2024.7~弁当予測'!C14+'[1]2024.7~シェアバー予測'!C14+'[1]2024.7~サウナ予測'!C14+'[1]2024.07~本部予測'!C14</f>
        <v>50000</v>
      </c>
      <c r="H35" s="213">
        <f>+[2]収支予測!H35</f>
        <v>50000</v>
      </c>
      <c r="I35" s="213">
        <f>+[2]収支予測!I35</f>
        <v>50000</v>
      </c>
      <c r="J35" s="213">
        <f>+[2]収支予測!J35</f>
        <v>50000</v>
      </c>
      <c r="K35" s="213">
        <f>+[2]収支予測!K35</f>
        <v>50000</v>
      </c>
      <c r="L35" s="213">
        <f>+[2]収支予測!L35</f>
        <v>55000</v>
      </c>
      <c r="M35" s="213">
        <f>+[2]収支予測!M35</f>
        <v>55000</v>
      </c>
      <c r="N35" s="213">
        <f>+[2]収支予測!N35</f>
        <v>55000</v>
      </c>
      <c r="O35" s="213">
        <f>+[2]収支予測!O35</f>
        <v>55000</v>
      </c>
      <c r="P35" s="213">
        <f>+[2]収支予測!P35</f>
        <v>50000</v>
      </c>
      <c r="Q35" s="213">
        <f>+[2]収支予測!Q35</f>
        <v>50000</v>
      </c>
      <c r="R35" s="213">
        <f>+[2]収支予測!R35</f>
        <v>50000</v>
      </c>
      <c r="S35" s="237">
        <v>50000</v>
      </c>
      <c r="T35" s="237">
        <v>50000</v>
      </c>
      <c r="U35" s="237"/>
      <c r="V35" s="237"/>
      <c r="W35" s="237"/>
      <c r="X35" s="230"/>
      <c r="Y35" s="230"/>
      <c r="Z35" s="230"/>
    </row>
    <row r="36" spans="1:26" ht="14.65" customHeight="1">
      <c r="A36" s="226" t="s">
        <v>251</v>
      </c>
      <c r="B36" s="224"/>
      <c r="C36" s="224"/>
      <c r="E36" s="496"/>
      <c r="F36" s="572" t="s">
        <v>281</v>
      </c>
      <c r="G36" s="590">
        <f>'[1]2024.07～恵愛予測'!C15+'[1]2024.7~村予測'!C15+'[1]2024.7~弁当予測'!C15+'[1]2024.7~シェアバー予測'!C15+'[1]2024.7~サウナ予測'!C15+'[1]2024.07~本部予測'!C15</f>
        <v>63050</v>
      </c>
      <c r="H36" s="212">
        <f>+[2]収支予測!H36</f>
        <v>54050</v>
      </c>
      <c r="I36" s="212">
        <f>+[2]収支予測!I36</f>
        <v>54050</v>
      </c>
      <c r="J36" s="212">
        <f>+[2]収支予測!J36</f>
        <v>54050</v>
      </c>
      <c r="K36" s="212">
        <f>+[2]収支予測!K36</f>
        <v>54050</v>
      </c>
      <c r="L36" s="212">
        <f>+[2]収支予測!L36</f>
        <v>54050</v>
      </c>
      <c r="M36" s="212">
        <f>+[2]収支予測!M36</f>
        <v>54050</v>
      </c>
      <c r="N36" s="212">
        <f>+[2]収支予測!N36</f>
        <v>54050</v>
      </c>
      <c r="O36" s="212">
        <f>+[2]収支予測!O36</f>
        <v>54050</v>
      </c>
      <c r="P36" s="212">
        <f>+[2]収支予測!P36</f>
        <v>54050</v>
      </c>
      <c r="Q36" s="212">
        <f>+[2]収支予測!Q36</f>
        <v>54050</v>
      </c>
      <c r="R36" s="212">
        <f>+[2]収支予測!R36</f>
        <v>54050</v>
      </c>
      <c r="S36" s="212">
        <v>69050</v>
      </c>
      <c r="T36" s="212">
        <v>69050</v>
      </c>
      <c r="U36" s="212"/>
      <c r="V36" s="212"/>
      <c r="W36" s="212"/>
      <c r="X36" s="212"/>
      <c r="Y36" s="212"/>
      <c r="Z36" s="212"/>
    </row>
    <row r="37" spans="1:26" ht="14.65" customHeight="1">
      <c r="A37" s="227" t="s">
        <v>272</v>
      </c>
      <c r="B37" s="224"/>
      <c r="C37" s="224"/>
      <c r="E37" s="496"/>
      <c r="F37" s="572" t="s">
        <v>282</v>
      </c>
      <c r="G37" s="590">
        <f>'[1]2024.07～恵愛予測'!C16+'[1]2024.7~村予測'!C16+'[1]2024.7~弁当予測'!C16+'[1]2024.7~シェアバー予測'!C16+'[1]2024.7~サウナ予測'!C16+'[1]2024.07~本部予測'!C16</f>
        <v>0</v>
      </c>
      <c r="H37" s="212">
        <f>+[2]収支予測!H37</f>
        <v>0</v>
      </c>
      <c r="I37" s="212">
        <f>+[2]収支予測!I37</f>
        <v>0</v>
      </c>
      <c r="J37" s="212">
        <f>+[2]収支予測!J37</f>
        <v>0</v>
      </c>
      <c r="K37" s="212">
        <f>+[2]収支予測!K37</f>
        <v>0</v>
      </c>
      <c r="L37" s="212">
        <f>+[2]収支予測!L37</f>
        <v>0</v>
      </c>
      <c r="M37" s="212">
        <f>+[2]収支予測!M37</f>
        <v>0</v>
      </c>
      <c r="N37" s="212">
        <f>+[2]収支予測!N37</f>
        <v>0</v>
      </c>
      <c r="O37" s="212">
        <f>+[2]収支予測!O37</f>
        <v>0</v>
      </c>
      <c r="P37" s="212">
        <f>+[2]収支予測!P37</f>
        <v>0</v>
      </c>
      <c r="Q37" s="212">
        <f>+[2]収支予測!Q37</f>
        <v>0</v>
      </c>
      <c r="R37" s="212">
        <f>+[2]収支予測!R37</f>
        <v>0</v>
      </c>
      <c r="S37" s="212">
        <v>0</v>
      </c>
      <c r="T37" s="212">
        <v>0</v>
      </c>
      <c r="U37" s="212"/>
      <c r="V37" s="212"/>
      <c r="W37" s="212"/>
      <c r="X37" s="212"/>
      <c r="Y37" s="212"/>
      <c r="Z37" s="212"/>
    </row>
    <row r="38" spans="1:26" ht="14.65" customHeight="1">
      <c r="A38" s="227"/>
      <c r="B38" s="224"/>
      <c r="C38" s="224"/>
      <c r="E38" s="496"/>
      <c r="F38" s="572" t="s">
        <v>283</v>
      </c>
      <c r="G38" s="590">
        <f>'[1]2024.07～恵愛予測'!C17+'[1]2024.7~村予測'!C17+'[1]2024.7~弁当予測'!C17+'[1]2024.7~シェアバー予測'!C17+'[1]2024.7~サウナ予測'!C17+'[1]2024.07~本部予測'!C17</f>
        <v>0</v>
      </c>
      <c r="H38" s="212">
        <f>+[2]収支予測!H38</f>
        <v>0</v>
      </c>
      <c r="I38" s="212">
        <f>+[2]収支予測!I38</f>
        <v>0</v>
      </c>
      <c r="J38" s="212">
        <f>+[2]収支予測!J38</f>
        <v>0</v>
      </c>
      <c r="K38" s="212">
        <f>+[2]収支予測!K38</f>
        <v>0</v>
      </c>
      <c r="L38" s="212">
        <f>+[2]収支予測!L38</f>
        <v>0</v>
      </c>
      <c r="M38" s="212">
        <f>+[2]収支予測!M38</f>
        <v>0</v>
      </c>
      <c r="N38" s="212">
        <f>+[2]収支予測!N38</f>
        <v>0</v>
      </c>
      <c r="O38" s="212">
        <f>+[2]収支予測!O38</f>
        <v>0</v>
      </c>
      <c r="P38" s="212">
        <f>+[2]収支予測!P38</f>
        <v>0</v>
      </c>
      <c r="Q38" s="212">
        <f>+[2]収支予測!Q38</f>
        <v>0</v>
      </c>
      <c r="R38" s="212">
        <f>+[2]収支予測!R38</f>
        <v>0</v>
      </c>
      <c r="S38" s="212">
        <v>50000</v>
      </c>
      <c r="T38" s="212">
        <v>50000</v>
      </c>
      <c r="U38" s="212"/>
      <c r="V38" s="212"/>
      <c r="W38" s="212"/>
      <c r="X38" s="212"/>
      <c r="Y38" s="212"/>
      <c r="Z38" s="212"/>
    </row>
    <row r="39" spans="1:26" ht="14.65" customHeight="1">
      <c r="A39" s="227"/>
      <c r="B39" s="224"/>
      <c r="C39" s="224"/>
      <c r="E39" s="496"/>
      <c r="F39" s="572" t="s">
        <v>284</v>
      </c>
      <c r="G39" s="590">
        <f>'[1]2024.07～恵愛予測'!C18+'[1]2024.7~村予測'!C18+'[1]2024.7~弁当予測'!C18+'[1]2024.7~シェアバー予測'!C18+'[1]2024.7~サウナ予測'!C18+'[1]2024.07~本部予測'!C18</f>
        <v>10000</v>
      </c>
      <c r="H39" s="212">
        <f>+[2]収支予測!H39</f>
        <v>10000</v>
      </c>
      <c r="I39" s="212">
        <f>+[2]収支予測!I39</f>
        <v>10000</v>
      </c>
      <c r="J39" s="212">
        <f>+[2]収支予測!J39</f>
        <v>10000</v>
      </c>
      <c r="K39" s="212">
        <f>+[2]収支予測!K39</f>
        <v>10000</v>
      </c>
      <c r="L39" s="212">
        <f>+[2]収支予測!L39</f>
        <v>30000</v>
      </c>
      <c r="M39" s="212">
        <f>+[2]収支予測!M39</f>
        <v>10000</v>
      </c>
      <c r="N39" s="212">
        <f>+[2]収支予測!N39</f>
        <v>10000</v>
      </c>
      <c r="O39" s="212">
        <f>+[2]収支予測!O39</f>
        <v>30000</v>
      </c>
      <c r="P39" s="212">
        <f>+[2]収支予測!P39</f>
        <v>10000</v>
      </c>
      <c r="Q39" s="212">
        <f>+[2]収支予測!Q39</f>
        <v>10000</v>
      </c>
      <c r="R39" s="212">
        <f>+[2]収支予測!R39</f>
        <v>10000</v>
      </c>
      <c r="S39" s="212">
        <v>0</v>
      </c>
      <c r="T39" s="212">
        <v>0</v>
      </c>
      <c r="U39" s="212"/>
      <c r="V39" s="212"/>
      <c r="W39" s="212"/>
      <c r="X39" s="212"/>
      <c r="Y39" s="212"/>
      <c r="Z39" s="212"/>
    </row>
    <row r="40" spans="1:26" ht="14.65" customHeight="1">
      <c r="A40" s="227"/>
      <c r="B40" s="224"/>
      <c r="C40" s="224"/>
      <c r="E40" s="496"/>
      <c r="F40" s="572" t="s">
        <v>285</v>
      </c>
      <c r="G40" s="590">
        <f>'[1]2024.07～恵愛予測'!C19+'[1]2024.7~村予測'!C19+'[1]2024.7~弁当予測'!C19+'[1]2024.7~シェアバー予測'!C19+'[1]2024.7~サウナ予測'!C19+'[1]2024.07~本部予測'!C19</f>
        <v>749954</v>
      </c>
      <c r="H40" s="212">
        <f>+[2]収支予測!H40</f>
        <v>749954</v>
      </c>
      <c r="I40" s="212">
        <f>+[2]収支予測!I40</f>
        <v>749954</v>
      </c>
      <c r="J40" s="212">
        <f>+[2]収支予測!J40</f>
        <v>749954</v>
      </c>
      <c r="K40" s="212">
        <f>+[2]収支予測!K40</f>
        <v>749954</v>
      </c>
      <c r="L40" s="212">
        <f>+[2]収支予測!L40</f>
        <v>749954</v>
      </c>
      <c r="M40" s="212">
        <f>+[2]収支予測!M40</f>
        <v>749954</v>
      </c>
      <c r="N40" s="212">
        <f>+[2]収支予測!N40</f>
        <v>749954</v>
      </c>
      <c r="O40" s="212">
        <f>+[2]収支予測!O40</f>
        <v>749954</v>
      </c>
      <c r="P40" s="212">
        <f>+[2]収支予測!P40</f>
        <v>749954</v>
      </c>
      <c r="Q40" s="212">
        <f>+[2]収支予測!Q40</f>
        <v>749954</v>
      </c>
      <c r="R40" s="212">
        <f>+[2]収支予測!R40</f>
        <v>749954</v>
      </c>
      <c r="S40" s="212">
        <v>749954</v>
      </c>
      <c r="T40" s="212">
        <v>749954</v>
      </c>
      <c r="U40" s="212"/>
      <c r="V40" s="212"/>
      <c r="W40" s="212"/>
      <c r="X40" s="212"/>
      <c r="Y40" s="212"/>
      <c r="Z40" s="212"/>
    </row>
    <row r="41" spans="1:26" ht="14.65" customHeight="1">
      <c r="A41" s="227"/>
      <c r="B41" s="224"/>
      <c r="C41" s="224"/>
      <c r="E41" s="496"/>
      <c r="F41" s="572" t="s">
        <v>286</v>
      </c>
      <c r="G41" s="590">
        <f>'[1]2024.07～恵愛予測'!C20+'[1]2024.7~村予測'!C20+'[1]2024.7~弁当予測'!C20+'[1]2024.7~シェアバー予測'!C20+'[1]2024.7~サウナ予測'!C20+'[1]2024.07~本部予測'!C20</f>
        <v>30000</v>
      </c>
      <c r="H41" s="212">
        <f>+[2]収支予測!H41</f>
        <v>30000</v>
      </c>
      <c r="I41" s="212">
        <f>+[2]収支予測!I41</f>
        <v>30000</v>
      </c>
      <c r="J41" s="212">
        <f>+[2]収支予測!J41</f>
        <v>30000</v>
      </c>
      <c r="K41" s="212">
        <f>+[2]収支予測!K41</f>
        <v>30000</v>
      </c>
      <c r="L41" s="212">
        <f>+[2]収支予測!L41</f>
        <v>30000</v>
      </c>
      <c r="M41" s="212">
        <f>+[2]収支予測!M41</f>
        <v>30000</v>
      </c>
      <c r="N41" s="212">
        <f>+[2]収支予測!N41</f>
        <v>30000</v>
      </c>
      <c r="O41" s="212">
        <f>+[2]収支予測!O41</f>
        <v>30000</v>
      </c>
      <c r="P41" s="212">
        <f>+[2]収支予測!P41</f>
        <v>30000</v>
      </c>
      <c r="Q41" s="212">
        <f>+[2]収支予測!Q41</f>
        <v>30000</v>
      </c>
      <c r="R41" s="212">
        <f>+[2]収支予測!R41</f>
        <v>30000</v>
      </c>
      <c r="S41" s="212">
        <v>30000</v>
      </c>
      <c r="T41" s="212">
        <v>30000</v>
      </c>
      <c r="U41" s="212"/>
      <c r="V41" s="212"/>
      <c r="W41" s="212"/>
      <c r="X41" s="212"/>
      <c r="Y41" s="212"/>
      <c r="Z41" s="212"/>
    </row>
    <row r="42" spans="1:26" ht="14.65" customHeight="1">
      <c r="A42" s="227"/>
      <c r="B42" s="224"/>
      <c r="C42" s="224"/>
      <c r="E42" s="496"/>
      <c r="F42" s="572" t="s">
        <v>287</v>
      </c>
      <c r="G42" s="590">
        <f>1645661-350000</f>
        <v>1295661</v>
      </c>
      <c r="H42" s="212">
        <f>+[2]収支予測!H42-350000</f>
        <v>1295661</v>
      </c>
      <c r="I42" s="212">
        <f>+[2]収支予測!I42-350000</f>
        <v>1295661</v>
      </c>
      <c r="J42" s="212">
        <f>+[2]収支予測!J42-350000</f>
        <v>1295661</v>
      </c>
      <c r="K42" s="212">
        <f>+[2]収支予測!K42-350000</f>
        <v>1295661</v>
      </c>
      <c r="L42" s="212">
        <f>+[2]収支予測!L42-350000</f>
        <v>1295661</v>
      </c>
      <c r="M42" s="212">
        <f>+[2]収支予測!M42-350000</f>
        <v>1295661</v>
      </c>
      <c r="N42" s="212">
        <f>+[2]収支予測!N42-350000</f>
        <v>1295661</v>
      </c>
      <c r="O42" s="212">
        <f>+[2]収支予測!O42-350000</f>
        <v>1295661</v>
      </c>
      <c r="P42" s="212">
        <f>+[2]収支予測!P42-350000</f>
        <v>1295661</v>
      </c>
      <c r="Q42" s="212">
        <f>+[2]収支予測!Q42-350000</f>
        <v>1295661</v>
      </c>
      <c r="R42" s="212">
        <f>+[2]収支予測!R42-350000</f>
        <v>1295661</v>
      </c>
      <c r="S42" s="212">
        <f t="shared" ref="I42:T42" si="12">+R42</f>
        <v>1295661</v>
      </c>
      <c r="T42" s="212">
        <f t="shared" si="12"/>
        <v>1295661</v>
      </c>
      <c r="U42" s="212"/>
      <c r="V42" s="212"/>
      <c r="W42" s="212"/>
      <c r="X42" s="212"/>
      <c r="Y42" s="212"/>
      <c r="Z42" s="212"/>
    </row>
    <row r="43" spans="1:26" ht="14.65" customHeight="1">
      <c r="A43" s="227"/>
      <c r="B43" s="224"/>
      <c r="C43" s="224"/>
      <c r="E43" s="496"/>
      <c r="F43" s="572" t="s">
        <v>288</v>
      </c>
      <c r="G43" s="590">
        <f>'[1]2024.07～恵愛予測'!C22+'[1]2024.7~村予測'!C22+'[1]2024.7~弁当予測'!C22+'[1]2024.7~シェアバー予測'!C22+'[1]2024.7~サウナ予測'!C22+'[1]2024.07~本部予測'!C22</f>
        <v>49700</v>
      </c>
      <c r="H43" s="212">
        <f>+[2]収支予測!H43</f>
        <v>49700</v>
      </c>
      <c r="I43" s="212">
        <f>+[2]収支予測!I43</f>
        <v>49700</v>
      </c>
      <c r="J43" s="212">
        <f>+[2]収支予測!J43</f>
        <v>49700</v>
      </c>
      <c r="K43" s="212">
        <f>+[2]収支予測!K43</f>
        <v>49700</v>
      </c>
      <c r="L43" s="212">
        <f>+[2]収支予測!L43</f>
        <v>49700</v>
      </c>
      <c r="M43" s="212">
        <f>+[2]収支予測!M43</f>
        <v>49700</v>
      </c>
      <c r="N43" s="212">
        <f>+[2]収支予測!N43</f>
        <v>49700</v>
      </c>
      <c r="O43" s="212">
        <f>+[2]収支予測!O43</f>
        <v>49700</v>
      </c>
      <c r="P43" s="212">
        <f>+[2]収支予測!P43</f>
        <v>49700</v>
      </c>
      <c r="Q43" s="212">
        <f>+[2]収支予測!Q43</f>
        <v>49700</v>
      </c>
      <c r="R43" s="212">
        <f>+[2]収支予測!R43</f>
        <v>49700</v>
      </c>
      <c r="S43" s="212">
        <v>49700</v>
      </c>
      <c r="T43" s="212">
        <v>49700</v>
      </c>
      <c r="U43" s="212"/>
      <c r="V43" s="212"/>
      <c r="W43" s="212"/>
      <c r="X43" s="212"/>
      <c r="Y43" s="212"/>
      <c r="Z43" s="212"/>
    </row>
    <row r="44" spans="1:26" ht="14.65" customHeight="1">
      <c r="A44" s="227"/>
      <c r="B44" s="224"/>
      <c r="C44" s="224"/>
      <c r="E44" s="496"/>
      <c r="F44" s="572" t="s">
        <v>289</v>
      </c>
      <c r="G44" s="590">
        <f>'[1]2024.07～恵愛予測'!C23+'[1]2024.7~村予測'!C23+'[1]2024.7~弁当予測'!C23+'[1]2024.7~シェアバー予測'!C23+'[1]2024.7~サウナ予測'!C23+'[1]2024.07~本部予測'!C23</f>
        <v>10000</v>
      </c>
      <c r="H44" s="212">
        <f>+[2]収支予測!H44</f>
        <v>10000</v>
      </c>
      <c r="I44" s="212">
        <f>+[2]収支予測!I44</f>
        <v>10000</v>
      </c>
      <c r="J44" s="212">
        <f>+[2]収支予測!J44</f>
        <v>10000</v>
      </c>
      <c r="K44" s="212">
        <f>+[2]収支予測!K44</f>
        <v>10000</v>
      </c>
      <c r="L44" s="212">
        <f>+[2]収支予測!L44</f>
        <v>10000</v>
      </c>
      <c r="M44" s="212">
        <f>+[2]収支予測!M44</f>
        <v>10000</v>
      </c>
      <c r="N44" s="212">
        <f>+[2]収支予測!N44</f>
        <v>10000</v>
      </c>
      <c r="O44" s="212">
        <f>+[2]収支予測!O44</f>
        <v>10000</v>
      </c>
      <c r="P44" s="212">
        <f>+[2]収支予測!P44</f>
        <v>10000</v>
      </c>
      <c r="Q44" s="212">
        <f>+[2]収支予測!Q44</f>
        <v>10000</v>
      </c>
      <c r="R44" s="212">
        <f>+[2]収支予測!R44</f>
        <v>10000</v>
      </c>
      <c r="S44" s="212">
        <v>10000</v>
      </c>
      <c r="T44" s="212">
        <v>10000</v>
      </c>
      <c r="U44" s="212"/>
      <c r="V44" s="212"/>
      <c r="W44" s="212"/>
      <c r="X44" s="212"/>
      <c r="Y44" s="212"/>
      <c r="Z44" s="212"/>
    </row>
    <row r="45" spans="1:26" ht="14.65" customHeight="1">
      <c r="A45" s="227"/>
      <c r="B45" s="224"/>
      <c r="C45" s="224"/>
      <c r="E45" s="496"/>
      <c r="F45" s="572" t="s">
        <v>290</v>
      </c>
      <c r="G45" s="590">
        <f>'[1]2024.07～恵愛予測'!C24+'[1]2024.7~村予測'!C24+'[1]2024.7~弁当予測'!C24+'[1]2024.7~シェアバー予測'!C24+'[1]2024.7~サウナ予測'!C24+'[1]2024.07~本部予測'!C24</f>
        <v>22215</v>
      </c>
      <c r="H45" s="212">
        <f>+[2]収支予測!H45</f>
        <v>25320</v>
      </c>
      <c r="I45" s="212">
        <f>+[2]収支予測!I45</f>
        <v>25320</v>
      </c>
      <c r="J45" s="212">
        <f>+[2]収支予測!J45</f>
        <v>25320</v>
      </c>
      <c r="K45" s="212">
        <f>+[2]収支予測!K45</f>
        <v>25320</v>
      </c>
      <c r="L45" s="212">
        <f>+[2]収支予測!L45</f>
        <v>25320</v>
      </c>
      <c r="M45" s="212">
        <f>+[2]収支予測!M45</f>
        <v>25320</v>
      </c>
      <c r="N45" s="212">
        <f>+[2]収支予測!N45</f>
        <v>25320</v>
      </c>
      <c r="O45" s="212">
        <f>+[2]収支予測!O45</f>
        <v>25320</v>
      </c>
      <c r="P45" s="212">
        <f>+[2]収支予測!P45</f>
        <v>25320</v>
      </c>
      <c r="Q45" s="212">
        <f>+[2]収支予測!Q45</f>
        <v>25320</v>
      </c>
      <c r="R45" s="212">
        <f>+[2]収支予測!R45</f>
        <v>25320</v>
      </c>
      <c r="S45" s="212">
        <v>22215</v>
      </c>
      <c r="T45" s="212">
        <v>22215</v>
      </c>
      <c r="U45" s="212"/>
      <c r="V45" s="212"/>
      <c r="W45" s="212"/>
      <c r="X45" s="212"/>
      <c r="Y45" s="212"/>
      <c r="Z45" s="212"/>
    </row>
    <row r="46" spans="1:26" ht="14.65" customHeight="1">
      <c r="A46" s="227"/>
      <c r="B46" s="224"/>
      <c r="C46" s="224"/>
      <c r="E46" s="496"/>
      <c r="F46" s="572" t="s">
        <v>291</v>
      </c>
      <c r="G46" s="590">
        <v>660000</v>
      </c>
      <c r="H46" s="212">
        <f>+[2]収支予測!H46-200000</f>
        <v>660000</v>
      </c>
      <c r="I46" s="212">
        <f>+[2]収支予測!I46-200000</f>
        <v>660000</v>
      </c>
      <c r="J46" s="212">
        <f>+[2]収支予測!J46-200000</f>
        <v>660000</v>
      </c>
      <c r="K46" s="212">
        <f>+[2]収支予測!K46-200000</f>
        <v>660000</v>
      </c>
      <c r="L46" s="212">
        <f>+[2]収支予測!L46-200000</f>
        <v>860000</v>
      </c>
      <c r="M46" s="212">
        <f>+[2]収支予測!M46-200000</f>
        <v>660000</v>
      </c>
      <c r="N46" s="212">
        <f>+[2]収支予測!N46-200000</f>
        <v>660000</v>
      </c>
      <c r="O46" s="212">
        <f>+[2]収支予測!O46-200000</f>
        <v>780000</v>
      </c>
      <c r="P46" s="212">
        <f>+[2]収支予測!P46-200000</f>
        <v>660000</v>
      </c>
      <c r="Q46" s="212">
        <f>+[2]収支予測!Q46-200000</f>
        <v>660000</v>
      </c>
      <c r="R46" s="212">
        <f>+[2]収支予測!R46-200000</f>
        <v>660000</v>
      </c>
      <c r="S46" s="212">
        <v>860000</v>
      </c>
      <c r="T46" s="212">
        <v>860000</v>
      </c>
      <c r="U46" s="212"/>
      <c r="V46" s="212"/>
      <c r="W46" s="212"/>
      <c r="X46" s="212"/>
      <c r="Y46" s="212"/>
      <c r="Z46" s="212"/>
    </row>
    <row r="47" spans="1:26" ht="14.65" customHeight="1">
      <c r="A47" s="227"/>
      <c r="B47" s="224"/>
      <c r="C47" s="224"/>
      <c r="E47" s="496"/>
      <c r="F47" s="572" t="s">
        <v>292</v>
      </c>
      <c r="G47" s="590">
        <f>'[1]2024.07～恵愛予測'!C26+'[1]2024.7~村予測'!C26+'[1]2024.7~弁当予測'!C26+'[1]2024.7~シェアバー予測'!C26+'[1]2024.7~サウナ予測'!C26+'[1]2024.07~本部予測'!C26</f>
        <v>200000</v>
      </c>
      <c r="H47" s="212">
        <f>+[2]収支予測!H47</f>
        <v>180000</v>
      </c>
      <c r="I47" s="212">
        <f>+[2]収支予測!I47</f>
        <v>180000</v>
      </c>
      <c r="J47" s="212">
        <f>+[2]収支予測!J47</f>
        <v>180000</v>
      </c>
      <c r="K47" s="212">
        <f>+[2]収支予測!K47</f>
        <v>180000</v>
      </c>
      <c r="L47" s="212">
        <f>+[2]収支予測!L47</f>
        <v>230000</v>
      </c>
      <c r="M47" s="212">
        <f>+[2]収支予測!M47</f>
        <v>180000</v>
      </c>
      <c r="N47" s="212">
        <f>+[2]収支予測!N47</f>
        <v>180000</v>
      </c>
      <c r="O47" s="212">
        <f>+[2]収支予測!O47</f>
        <v>210000</v>
      </c>
      <c r="P47" s="212">
        <f>+[2]収支予測!P47</f>
        <v>180000</v>
      </c>
      <c r="Q47" s="212">
        <f>+[2]収支予測!Q47</f>
        <v>180000</v>
      </c>
      <c r="R47" s="212">
        <f>+[2]収支予測!R47</f>
        <v>180000</v>
      </c>
      <c r="S47" s="212">
        <v>200000</v>
      </c>
      <c r="T47" s="212">
        <v>200000</v>
      </c>
      <c r="U47" s="212"/>
      <c r="V47" s="212"/>
      <c r="W47" s="212"/>
      <c r="X47" s="212"/>
      <c r="Y47" s="212"/>
      <c r="Z47" s="212"/>
    </row>
    <row r="48" spans="1:26" ht="14.65" customHeight="1">
      <c r="A48" s="227"/>
      <c r="B48" s="224"/>
      <c r="C48" s="224"/>
      <c r="E48" s="496"/>
      <c r="F48" s="572" t="s">
        <v>293</v>
      </c>
      <c r="G48" s="590">
        <f>'[1]2024.07～恵愛予測'!C27+'[1]2024.7~村予測'!C27+'[1]2024.7~弁当予測'!C27+'[1]2024.7~シェアバー予測'!C27+'[1]2024.7~サウナ予測'!C27+'[1]2024.07~本部予測'!C27</f>
        <v>131000</v>
      </c>
      <c r="H48" s="212">
        <f>+[2]収支予測!H48</f>
        <v>1000</v>
      </c>
      <c r="I48" s="212">
        <f>+[2]収支予測!I48</f>
        <v>147000</v>
      </c>
      <c r="J48" s="212">
        <f>+[2]収支予測!J48</f>
        <v>1000</v>
      </c>
      <c r="K48" s="212">
        <f>+[2]収支予測!K48</f>
        <v>1000</v>
      </c>
      <c r="L48" s="212">
        <f>+[2]収支予測!L48</f>
        <v>147000</v>
      </c>
      <c r="M48" s="212">
        <f>+[2]収支予測!M48</f>
        <v>1000</v>
      </c>
      <c r="N48" s="212">
        <f>+[2]収支予測!N48</f>
        <v>1000</v>
      </c>
      <c r="O48" s="212">
        <f>+[2]収支予測!O48</f>
        <v>1000</v>
      </c>
      <c r="P48" s="212">
        <f>+[2]収支予測!P48</f>
        <v>131000</v>
      </c>
      <c r="Q48" s="212">
        <f>+[2]収支予測!Q48</f>
        <v>1000</v>
      </c>
      <c r="R48" s="212">
        <f>+[2]収支予測!R48</f>
        <v>1000</v>
      </c>
      <c r="S48" s="212">
        <v>1000</v>
      </c>
      <c r="T48" s="212">
        <v>1000</v>
      </c>
      <c r="U48" s="212"/>
      <c r="V48" s="212"/>
      <c r="W48" s="212"/>
      <c r="X48" s="212"/>
      <c r="Y48" s="212"/>
      <c r="Z48" s="212"/>
    </row>
    <row r="49" spans="1:26" ht="14.65" customHeight="1">
      <c r="A49" s="231">
        <v>1750</v>
      </c>
      <c r="B49" s="224"/>
      <c r="C49" s="224"/>
      <c r="E49" s="496"/>
      <c r="F49" s="572" t="s">
        <v>294</v>
      </c>
      <c r="G49" s="590">
        <f>'[1]2024.07～恵愛予測'!C28+'[1]2024.7~村予測'!C28+'[1]2024.7~弁当予測'!C28+'[1]2024.7~シェアバー予測'!C28+'[1]2024.7~サウナ予測'!C28+'[1]2024.07~本部予測'!C28</f>
        <v>165000</v>
      </c>
      <c r="H49" s="212">
        <f>+[2]収支予測!H49</f>
        <v>165000</v>
      </c>
      <c r="I49" s="212">
        <f>+[2]収支予測!I49</f>
        <v>165000</v>
      </c>
      <c r="J49" s="212">
        <f>+[2]収支予測!J49</f>
        <v>165000</v>
      </c>
      <c r="K49" s="212">
        <f>+[2]収支予測!K49</f>
        <v>165000</v>
      </c>
      <c r="L49" s="212">
        <f>+[2]収支予測!L49</f>
        <v>165000</v>
      </c>
      <c r="M49" s="212">
        <f>+[2]収支予測!M49</f>
        <v>165000</v>
      </c>
      <c r="N49" s="212">
        <f>+[2]収支予測!N49</f>
        <v>165000</v>
      </c>
      <c r="O49" s="212">
        <f>+[2]収支予測!O49</f>
        <v>165000</v>
      </c>
      <c r="P49" s="212">
        <f>+[2]収支予測!P49</f>
        <v>165000</v>
      </c>
      <c r="Q49" s="212">
        <f>+[2]収支予測!Q49</f>
        <v>165000</v>
      </c>
      <c r="R49" s="212">
        <f>+[2]収支予測!R49</f>
        <v>165000</v>
      </c>
      <c r="S49" s="212">
        <v>165000</v>
      </c>
      <c r="T49" s="212">
        <v>165000</v>
      </c>
      <c r="U49" s="212"/>
      <c r="V49" s="212"/>
      <c r="W49" s="212"/>
      <c r="X49" s="212"/>
      <c r="Y49" s="212"/>
      <c r="Z49" s="212"/>
    </row>
    <row r="50" spans="1:26" ht="14.65" customHeight="1">
      <c r="A50" s="231"/>
      <c r="B50" s="224"/>
      <c r="C50" s="224"/>
      <c r="E50" s="496"/>
      <c r="F50" s="572" t="s">
        <v>295</v>
      </c>
      <c r="G50" s="590">
        <f>'[1]2024.07～恵愛予測'!C29+'[1]2024.7~村予測'!C29+'[1]2024.7~弁当予測'!C29+'[1]2024.7~シェアバー予測'!C29+'[1]2024.7~サウナ予測'!C29+'[1]2024.07~本部予測'!C29</f>
        <v>281500</v>
      </c>
      <c r="H50" s="212">
        <f>+[2]収支予測!H50</f>
        <v>292500</v>
      </c>
      <c r="I50" s="212">
        <f>+[2]収支予測!I50</f>
        <v>292500</v>
      </c>
      <c r="J50" s="212">
        <f>+[2]収支予測!J50</f>
        <v>292500</v>
      </c>
      <c r="K50" s="212">
        <f>+[2]収支予測!K50</f>
        <v>292500</v>
      </c>
      <c r="L50" s="212">
        <f>+[2]収支予測!L50</f>
        <v>345000</v>
      </c>
      <c r="M50" s="212">
        <f>+[2]収支予測!M50</f>
        <v>292500</v>
      </c>
      <c r="N50" s="212">
        <f>+[2]収支予測!N50</f>
        <v>292500</v>
      </c>
      <c r="O50" s="212">
        <f>+[2]収支予測!O50</f>
        <v>324000</v>
      </c>
      <c r="P50" s="212">
        <f>+[2]収支予測!P50</f>
        <v>292500</v>
      </c>
      <c r="Q50" s="212">
        <f>+[2]収支予測!Q50</f>
        <v>292500</v>
      </c>
      <c r="R50" s="212">
        <f>+[2]収支予測!R50</f>
        <v>292500</v>
      </c>
      <c r="S50" s="212">
        <v>331500</v>
      </c>
      <c r="T50" s="212">
        <v>331500</v>
      </c>
      <c r="U50" s="212"/>
      <c r="V50" s="212"/>
      <c r="W50" s="212"/>
      <c r="X50" s="212"/>
      <c r="Y50" s="212"/>
      <c r="Z50" s="212"/>
    </row>
    <row r="51" spans="1:26" ht="14.65" customHeight="1">
      <c r="A51" s="231"/>
      <c r="B51" s="224"/>
      <c r="C51" s="224"/>
      <c r="E51" s="496"/>
      <c r="F51" s="572" t="s">
        <v>296</v>
      </c>
      <c r="G51" s="590">
        <f>'[1]2024.07～恵愛予測'!C30+'[1]2024.7~村予測'!C30+'[1]2024.7~弁当予測'!C30+'[1]2024.7~シェアバー予測'!C30+'[1]2024.7~サウナ予測'!C30+'[1]2024.07~本部予測'!C30</f>
        <v>0</v>
      </c>
      <c r="H51" s="212">
        <f>+[2]収支予測!H51</f>
        <v>0</v>
      </c>
      <c r="I51" s="212">
        <f>+[2]収支予測!I51</f>
        <v>0</v>
      </c>
      <c r="J51" s="212">
        <f>+[2]収支予測!J51</f>
        <v>0</v>
      </c>
      <c r="K51" s="212">
        <f>+[2]収支予測!K51</f>
        <v>0</v>
      </c>
      <c r="L51" s="212">
        <f>+[2]収支予測!L51</f>
        <v>0</v>
      </c>
      <c r="M51" s="212">
        <f>+[2]収支予測!M51</f>
        <v>0</v>
      </c>
      <c r="N51" s="212">
        <f>+[2]収支予測!N51</f>
        <v>0</v>
      </c>
      <c r="O51" s="212">
        <f>+[2]収支予測!O51</f>
        <v>0</v>
      </c>
      <c r="P51" s="212">
        <f>+[2]収支予測!P51</f>
        <v>0</v>
      </c>
      <c r="Q51" s="212">
        <f>+[2]収支予測!Q51</f>
        <v>0</v>
      </c>
      <c r="R51" s="212">
        <f>+[2]収支予測!R51</f>
        <v>0</v>
      </c>
      <c r="S51" s="212">
        <v>5000</v>
      </c>
      <c r="T51" s="212">
        <v>5000</v>
      </c>
      <c r="U51" s="212"/>
      <c r="V51" s="212"/>
      <c r="W51" s="212"/>
      <c r="X51" s="212"/>
      <c r="Y51" s="212"/>
      <c r="Z51" s="212"/>
    </row>
    <row r="52" spans="1:26" ht="14.65" customHeight="1">
      <c r="A52" s="231"/>
      <c r="B52" s="224"/>
      <c r="C52" s="224"/>
      <c r="E52" s="496"/>
      <c r="F52" s="572" t="s">
        <v>297</v>
      </c>
      <c r="G52" s="590">
        <f>'[1]2024.07～恵愛予測'!C31+'[1]2024.7~村予測'!C31+'[1]2024.7~弁当予測'!C31+'[1]2024.7~シェアバー予測'!C31+'[1]2024.7~サウナ予測'!C31+'[1]2024.07~本部予測'!C31</f>
        <v>70000</v>
      </c>
      <c r="H52" s="212">
        <f>+[2]収支予測!H52</f>
        <v>70000</v>
      </c>
      <c r="I52" s="212">
        <f>+[2]収支予測!I52</f>
        <v>280000</v>
      </c>
      <c r="J52" s="212">
        <f>+[2]収支予測!J52</f>
        <v>70000</v>
      </c>
      <c r="K52" s="212">
        <f>+[2]収支予測!K52</f>
        <v>110000</v>
      </c>
      <c r="L52" s="212">
        <f>+[2]収支予測!L52</f>
        <v>70000</v>
      </c>
      <c r="M52" s="212">
        <f>+[2]収支予測!M52</f>
        <v>70000</v>
      </c>
      <c r="N52" s="212">
        <f>+[2]収支予測!N52</f>
        <v>70000</v>
      </c>
      <c r="O52" s="212">
        <f>+[2]収支予測!O52</f>
        <v>70000</v>
      </c>
      <c r="P52" s="212">
        <f>+[2]収支予測!P52</f>
        <v>70000</v>
      </c>
      <c r="Q52" s="212">
        <f>+[2]収支予測!Q52</f>
        <v>70000</v>
      </c>
      <c r="R52" s="212">
        <f>+[2]収支予測!R52</f>
        <v>70000</v>
      </c>
      <c r="S52" s="212">
        <v>70000</v>
      </c>
      <c r="T52" s="212">
        <v>70000</v>
      </c>
      <c r="U52" s="212"/>
      <c r="V52" s="212"/>
      <c r="W52" s="212"/>
      <c r="X52" s="212"/>
      <c r="Y52" s="212"/>
      <c r="Z52" s="212"/>
    </row>
    <row r="53" spans="1:26" ht="14.65" customHeight="1">
      <c r="A53" s="231"/>
      <c r="B53" s="224"/>
      <c r="C53" s="224"/>
      <c r="E53" s="496"/>
      <c r="F53" s="572" t="s">
        <v>298</v>
      </c>
      <c r="G53" s="590">
        <f>'[1]2024.07～恵愛予測'!C32+'[1]2024.7~村予測'!C32+'[1]2024.7~弁当予測'!C32+'[1]2024.7~シェアバー予測'!C32+'[1]2024.7~サウナ予測'!C32+'[1]2024.07~本部予測'!C32</f>
        <v>50000</v>
      </c>
      <c r="H53" s="212">
        <f>+[2]収支予測!H53</f>
        <v>45000</v>
      </c>
      <c r="I53" s="212">
        <f>+[2]収支予測!I53</f>
        <v>45000</v>
      </c>
      <c r="J53" s="212">
        <f>+[2]収支予測!J53</f>
        <v>45000</v>
      </c>
      <c r="K53" s="212">
        <f>+[2]収支予測!K53</f>
        <v>45000</v>
      </c>
      <c r="L53" s="212">
        <f>+[2]収支予測!L53</f>
        <v>45000</v>
      </c>
      <c r="M53" s="212">
        <f>+[2]収支予測!M53</f>
        <v>45000</v>
      </c>
      <c r="N53" s="212">
        <f>+[2]収支予測!N53</f>
        <v>45000</v>
      </c>
      <c r="O53" s="212">
        <f>+[2]収支予測!O53</f>
        <v>45000</v>
      </c>
      <c r="P53" s="212">
        <f>+[2]収支予測!P53</f>
        <v>45000</v>
      </c>
      <c r="Q53" s="212">
        <f>+[2]収支予測!Q53</f>
        <v>45000</v>
      </c>
      <c r="R53" s="212">
        <f>+[2]収支予測!R53</f>
        <v>45000</v>
      </c>
      <c r="S53" s="212">
        <v>50000</v>
      </c>
      <c r="T53" s="212">
        <v>50000</v>
      </c>
      <c r="U53" s="212"/>
      <c r="V53" s="212"/>
      <c r="W53" s="212"/>
      <c r="X53" s="212"/>
      <c r="Y53" s="212"/>
      <c r="Z53" s="212"/>
    </row>
    <row r="54" spans="1:26" ht="14.65" customHeight="1">
      <c r="A54" s="231">
        <v>2758</v>
      </c>
      <c r="B54" s="224"/>
      <c r="C54" s="224"/>
      <c r="E54" s="496"/>
      <c r="F54" s="575"/>
      <c r="G54" s="591"/>
      <c r="H54" s="216">
        <f>+[2]収支予測!H54</f>
        <v>0</v>
      </c>
      <c r="I54" s="216">
        <f>+[2]収支予測!I54</f>
        <v>0</v>
      </c>
      <c r="J54" s="216">
        <f>+[2]収支予測!J54</f>
        <v>0</v>
      </c>
      <c r="K54" s="216">
        <f>+[2]収支予測!K54</f>
        <v>0</v>
      </c>
      <c r="L54" s="216">
        <f>+[2]収支予測!L54</f>
        <v>0</v>
      </c>
      <c r="M54" s="216">
        <f>+[2]収支予測!M54</f>
        <v>0</v>
      </c>
      <c r="N54" s="216">
        <f>+[2]収支予測!N54</f>
        <v>0</v>
      </c>
      <c r="O54" s="216">
        <f>+[2]収支予測!O54</f>
        <v>0</v>
      </c>
      <c r="P54" s="216">
        <f>+[2]収支予測!P54</f>
        <v>0</v>
      </c>
      <c r="Q54" s="216">
        <f>+[2]収支予測!Q54</f>
        <v>0</v>
      </c>
      <c r="R54" s="216">
        <f>+[2]収支予測!R54</f>
        <v>0</v>
      </c>
      <c r="S54" s="216"/>
      <c r="T54" s="216"/>
      <c r="U54" s="216"/>
      <c r="V54" s="216"/>
      <c r="W54" s="216"/>
      <c r="X54" s="212"/>
      <c r="Y54" s="212"/>
      <c r="Z54" s="212"/>
    </row>
    <row r="55" spans="1:26" ht="14.65" customHeight="1">
      <c r="A55" s="232"/>
      <c r="B55" s="224"/>
      <c r="C55" s="224"/>
      <c r="E55" s="497"/>
      <c r="F55" s="576" t="s">
        <v>278</v>
      </c>
      <c r="G55" s="600">
        <f t="shared" ref="G55:Z55" si="13">SUM(G35:G54)</f>
        <v>3838080</v>
      </c>
      <c r="H55" s="233">
        <f t="shared" si="13"/>
        <v>3688185</v>
      </c>
      <c r="I55" s="233">
        <f t="shared" ref="I55:R55" si="14">SUM(I35:I54)</f>
        <v>4044185</v>
      </c>
      <c r="J55" s="233">
        <f t="shared" si="14"/>
        <v>3688185</v>
      </c>
      <c r="K55" s="233">
        <f t="shared" si="14"/>
        <v>3728185</v>
      </c>
      <c r="L55" s="233">
        <f t="shared" si="14"/>
        <v>4161685</v>
      </c>
      <c r="M55" s="233">
        <f t="shared" si="14"/>
        <v>3693185</v>
      </c>
      <c r="N55" s="233">
        <f t="shared" si="14"/>
        <v>3693185</v>
      </c>
      <c r="O55" s="233">
        <f t="shared" si="14"/>
        <v>3894685</v>
      </c>
      <c r="P55" s="233">
        <f t="shared" si="14"/>
        <v>3818185</v>
      </c>
      <c r="Q55" s="233">
        <f t="shared" si="14"/>
        <v>3688185</v>
      </c>
      <c r="R55" s="233">
        <f t="shared" si="14"/>
        <v>3688185</v>
      </c>
      <c r="S55" s="233">
        <f t="shared" si="13"/>
        <v>4009080</v>
      </c>
      <c r="T55" s="233">
        <f t="shared" si="13"/>
        <v>4009080</v>
      </c>
      <c r="U55" s="233">
        <f t="shared" si="13"/>
        <v>0</v>
      </c>
      <c r="V55" s="233">
        <f t="shared" si="13"/>
        <v>0</v>
      </c>
      <c r="W55" s="233">
        <f t="shared" si="13"/>
        <v>0</v>
      </c>
      <c r="X55" s="233">
        <f t="shared" si="13"/>
        <v>0</v>
      </c>
      <c r="Y55" s="233">
        <f t="shared" si="13"/>
        <v>0</v>
      </c>
      <c r="Z55" s="233">
        <f t="shared" si="13"/>
        <v>0</v>
      </c>
    </row>
    <row r="56" spans="1:26" ht="14.65" customHeight="1" thickBot="1">
      <c r="A56" s="232"/>
      <c r="B56" s="224"/>
      <c r="C56" s="224"/>
      <c r="E56" s="498" t="s">
        <v>299</v>
      </c>
      <c r="F56" s="577"/>
      <c r="G56" s="601">
        <f t="shared" ref="G56:Z56" si="15">G34+G55</f>
        <v>6560399</v>
      </c>
      <c r="H56" s="234">
        <f t="shared" si="15"/>
        <v>6461186</v>
      </c>
      <c r="I56" s="234">
        <f t="shared" ref="I56:R56" si="16">I34+I55</f>
        <v>6782525</v>
      </c>
      <c r="J56" s="234">
        <f t="shared" si="16"/>
        <v>6512563</v>
      </c>
      <c r="K56" s="234">
        <f t="shared" si="16"/>
        <v>6478930</v>
      </c>
      <c r="L56" s="234">
        <f t="shared" si="16"/>
        <v>7280951</v>
      </c>
      <c r="M56" s="234">
        <f t="shared" si="16"/>
        <v>6432710</v>
      </c>
      <c r="N56" s="234">
        <f t="shared" si="16"/>
        <v>6419405</v>
      </c>
      <c r="O56" s="234">
        <f t="shared" si="16"/>
        <v>6870430</v>
      </c>
      <c r="P56" s="234">
        <f t="shared" si="16"/>
        <v>6565504</v>
      </c>
      <c r="Q56" s="234">
        <f t="shared" si="16"/>
        <v>6435504</v>
      </c>
      <c r="R56" s="234">
        <f t="shared" si="16"/>
        <v>6435504</v>
      </c>
      <c r="S56" s="234">
        <f t="shared" si="15"/>
        <v>6756399</v>
      </c>
      <c r="T56" s="234">
        <f t="shared" si="15"/>
        <v>6756399</v>
      </c>
      <c r="U56" s="234">
        <f t="shared" si="15"/>
        <v>0</v>
      </c>
      <c r="V56" s="234">
        <f t="shared" si="15"/>
        <v>0</v>
      </c>
      <c r="W56" s="234">
        <f t="shared" si="15"/>
        <v>0</v>
      </c>
      <c r="X56" s="234">
        <f t="shared" si="15"/>
        <v>0</v>
      </c>
      <c r="Y56" s="234">
        <f t="shared" si="15"/>
        <v>0</v>
      </c>
      <c r="Z56" s="234">
        <f t="shared" si="15"/>
        <v>0</v>
      </c>
    </row>
    <row r="57" spans="1:26" ht="14.65" customHeight="1" thickTop="1" thickBot="1">
      <c r="A57" s="223" t="s">
        <v>268</v>
      </c>
      <c r="B57" s="224"/>
      <c r="C57" s="224"/>
      <c r="E57" s="493" t="s">
        <v>300</v>
      </c>
      <c r="F57" s="578"/>
      <c r="G57" s="602">
        <f t="shared" ref="G57:Z57" si="17">G25-G56</f>
        <v>489601</v>
      </c>
      <c r="H57" s="235">
        <f t="shared" si="17"/>
        <v>2276314</v>
      </c>
      <c r="I57" s="235">
        <f t="shared" ref="I57:R57" si="18">I25-I56</f>
        <v>334975</v>
      </c>
      <c r="J57" s="235">
        <f t="shared" si="18"/>
        <v>565587</v>
      </c>
      <c r="K57" s="235">
        <f t="shared" si="18"/>
        <v>638570</v>
      </c>
      <c r="L57" s="235">
        <f t="shared" si="18"/>
        <v>1700170</v>
      </c>
      <c r="M57" s="235">
        <f t="shared" si="18"/>
        <v>684790</v>
      </c>
      <c r="N57" s="235">
        <f t="shared" si="18"/>
        <v>698095</v>
      </c>
      <c r="O57" s="235">
        <f t="shared" si="18"/>
        <v>1372070</v>
      </c>
      <c r="P57" s="235">
        <f t="shared" si="18"/>
        <v>551996</v>
      </c>
      <c r="Q57" s="235">
        <f t="shared" si="18"/>
        <v>681996</v>
      </c>
      <c r="R57" s="235">
        <f t="shared" si="18"/>
        <v>681996</v>
      </c>
      <c r="S57" s="235">
        <f t="shared" si="17"/>
        <v>-6756399</v>
      </c>
      <c r="T57" s="235">
        <f t="shared" si="17"/>
        <v>-6756399</v>
      </c>
      <c r="U57" s="235">
        <f t="shared" si="17"/>
        <v>0</v>
      </c>
      <c r="V57" s="235">
        <f t="shared" si="17"/>
        <v>0</v>
      </c>
      <c r="W57" s="235">
        <f t="shared" si="17"/>
        <v>0</v>
      </c>
      <c r="X57" s="235">
        <f t="shared" si="17"/>
        <v>0</v>
      </c>
      <c r="Y57" s="235">
        <f t="shared" si="17"/>
        <v>0</v>
      </c>
      <c r="Z57" s="235">
        <f t="shared" si="17"/>
        <v>0</v>
      </c>
    </row>
    <row r="58" spans="1:26" ht="14.65" customHeight="1" thickTop="1">
      <c r="A58" s="231"/>
      <c r="B58" s="224"/>
      <c r="C58" s="224"/>
      <c r="E58" s="499" t="s">
        <v>301</v>
      </c>
      <c r="F58" s="579"/>
      <c r="G58" s="588">
        <v>0</v>
      </c>
      <c r="H58" s="210">
        <f>+[2]収支予測!H58</f>
        <v>0</v>
      </c>
      <c r="I58" s="210">
        <f>+[2]収支予測!I58</f>
        <v>0</v>
      </c>
      <c r="J58" s="210">
        <f>+[2]収支予測!J58</f>
        <v>0</v>
      </c>
      <c r="K58" s="210">
        <f>+[2]収支予測!K58</f>
        <v>0</v>
      </c>
      <c r="L58" s="210">
        <f>+[2]収支予測!L58</f>
        <v>0</v>
      </c>
      <c r="M58" s="210">
        <f>+[2]収支予測!M58</f>
        <v>0</v>
      </c>
      <c r="N58" s="210">
        <f>+[2]収支予測!N58</f>
        <v>0</v>
      </c>
      <c r="O58" s="210">
        <f>+[2]収支予測!O58</f>
        <v>0</v>
      </c>
      <c r="P58" s="210">
        <f>+[2]収支予測!P58</f>
        <v>0</v>
      </c>
      <c r="Q58" s="210">
        <f>+[2]収支予測!Q58</f>
        <v>0</v>
      </c>
      <c r="R58" s="210">
        <f>+[2]収支予測!R58</f>
        <v>0</v>
      </c>
      <c r="S58" s="210"/>
      <c r="T58" s="210"/>
      <c r="U58" s="210"/>
      <c r="V58" s="210"/>
      <c r="W58" s="210"/>
      <c r="X58" s="210"/>
      <c r="Y58" s="210"/>
      <c r="Z58" s="210"/>
    </row>
    <row r="59" spans="1:26" ht="14.65" customHeight="1" thickBot="1">
      <c r="A59" s="236">
        <v>76</v>
      </c>
      <c r="B59" s="224"/>
      <c r="C59" s="224"/>
      <c r="E59" s="500" t="s">
        <v>302</v>
      </c>
      <c r="F59" s="580"/>
      <c r="G59" s="603">
        <f>'[1]2024.07～恵愛予測'!C36+'[1]2024.07～恵愛予測'!C37+'[1]2024.7~村予測'!C36+'[1]2024.7~村予測'!C37+'[1]2024.7~弁当予測'!C36+'[1]2024.7~弁当予測'!C37+'[1]2024.7~シェアバー予測'!C36+'[1]2024.7~シェアバー予測'!C37+'[1]2024.7~サウナ予測'!C36+'[1]2024.7~サウナ予測'!C37+'[1]2024.07~本部予測'!C36+'[1]2024.07~本部予測'!C37</f>
        <v>120000</v>
      </c>
      <c r="H59" s="237">
        <f>+[2]収支予測!H59</f>
        <v>150000</v>
      </c>
      <c r="I59" s="237">
        <f>+[2]収支予測!I59</f>
        <v>150000</v>
      </c>
      <c r="J59" s="237">
        <f>+[2]収支予測!J59</f>
        <v>150000</v>
      </c>
      <c r="K59" s="237">
        <f>+[2]収支予測!K59</f>
        <v>150760</v>
      </c>
      <c r="L59" s="237">
        <f>+[2]収支予測!L59</f>
        <v>150000</v>
      </c>
      <c r="M59" s="237">
        <f>+[2]収支予測!M59</f>
        <v>150000</v>
      </c>
      <c r="N59" s="237">
        <f>+[2]収支予測!N59</f>
        <v>150000</v>
      </c>
      <c r="O59" s="237">
        <f>+[2]収支予測!O59</f>
        <v>150000</v>
      </c>
      <c r="P59" s="237">
        <f>+[2]収支予測!P59</f>
        <v>150000</v>
      </c>
      <c r="Q59" s="237">
        <f>+[2]収支予測!Q59</f>
        <v>150000</v>
      </c>
      <c r="R59" s="237">
        <f>+[2]収支予測!R59</f>
        <v>150000</v>
      </c>
      <c r="S59" s="237">
        <v>120000</v>
      </c>
      <c r="T59" s="237">
        <v>120000</v>
      </c>
      <c r="U59" s="237"/>
      <c r="V59" s="237"/>
      <c r="W59" s="237"/>
      <c r="X59" s="237"/>
      <c r="Y59" s="237"/>
      <c r="Z59" s="237"/>
    </row>
    <row r="60" spans="1:26" ht="14.65" customHeight="1" thickTop="1" thickBot="1">
      <c r="A60" s="223" t="s">
        <v>268</v>
      </c>
      <c r="B60" s="224"/>
      <c r="C60" s="224"/>
      <c r="E60" s="493" t="s">
        <v>303</v>
      </c>
      <c r="F60" s="578"/>
      <c r="G60" s="602">
        <f t="shared" ref="G60:Z60" si="19">G57+G58-G59</f>
        <v>369601</v>
      </c>
      <c r="H60" s="235">
        <f t="shared" si="19"/>
        <v>2126314</v>
      </c>
      <c r="I60" s="235">
        <f t="shared" si="19"/>
        <v>184975</v>
      </c>
      <c r="J60" s="235">
        <f t="shared" si="19"/>
        <v>415587</v>
      </c>
      <c r="K60" s="235">
        <f t="shared" si="19"/>
        <v>487810</v>
      </c>
      <c r="L60" s="235">
        <f t="shared" si="19"/>
        <v>1550170</v>
      </c>
      <c r="M60" s="235">
        <f t="shared" si="19"/>
        <v>534790</v>
      </c>
      <c r="N60" s="235">
        <f t="shared" si="19"/>
        <v>548095</v>
      </c>
      <c r="O60" s="235">
        <f t="shared" si="19"/>
        <v>1222070</v>
      </c>
      <c r="P60" s="235">
        <f t="shared" si="19"/>
        <v>401996</v>
      </c>
      <c r="Q60" s="235">
        <f t="shared" si="19"/>
        <v>531996</v>
      </c>
      <c r="R60" s="235">
        <f t="shared" si="19"/>
        <v>531996</v>
      </c>
      <c r="S60" s="235">
        <f t="shared" si="19"/>
        <v>-6876399</v>
      </c>
      <c r="T60" s="235">
        <f t="shared" si="19"/>
        <v>-6876399</v>
      </c>
      <c r="U60" s="235">
        <f t="shared" si="19"/>
        <v>0</v>
      </c>
      <c r="V60" s="235">
        <f t="shared" si="19"/>
        <v>0</v>
      </c>
      <c r="W60" s="235">
        <f t="shared" si="19"/>
        <v>0</v>
      </c>
      <c r="X60" s="235">
        <f t="shared" si="19"/>
        <v>0</v>
      </c>
      <c r="Y60" s="235">
        <f t="shared" si="19"/>
        <v>0</v>
      </c>
      <c r="Z60" s="235">
        <f t="shared" si="19"/>
        <v>0</v>
      </c>
    </row>
    <row r="61" spans="1:26" ht="14.65" customHeight="1" thickTop="1">
      <c r="A61" s="231"/>
      <c r="B61" s="224"/>
      <c r="C61" s="224"/>
      <c r="E61" s="494" t="s">
        <v>304</v>
      </c>
      <c r="F61" s="581"/>
      <c r="G61" s="604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</row>
    <row r="62" spans="1:26" ht="14.65" customHeight="1" thickBot="1">
      <c r="A62" s="236"/>
      <c r="B62" s="224"/>
      <c r="C62" s="224"/>
      <c r="E62" s="515" t="s">
        <v>305</v>
      </c>
      <c r="F62" s="582"/>
      <c r="G62" s="605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spans="1:26" ht="14.65" customHeight="1" thickTop="1" thickBot="1">
      <c r="B63" s="224"/>
      <c r="C63" s="224"/>
      <c r="E63" s="493" t="s">
        <v>306</v>
      </c>
      <c r="F63" s="578"/>
      <c r="G63" s="602">
        <f t="shared" ref="G63:Z63" si="20">G60+G61-G62</f>
        <v>369601</v>
      </c>
      <c r="H63" s="235">
        <f t="shared" si="20"/>
        <v>2126314</v>
      </c>
      <c r="I63" s="235">
        <f t="shared" si="20"/>
        <v>184975</v>
      </c>
      <c r="J63" s="235">
        <f t="shared" si="20"/>
        <v>415587</v>
      </c>
      <c r="K63" s="235">
        <f t="shared" si="20"/>
        <v>487810</v>
      </c>
      <c r="L63" s="235">
        <f t="shared" si="20"/>
        <v>1550170</v>
      </c>
      <c r="M63" s="235">
        <f t="shared" si="20"/>
        <v>534790</v>
      </c>
      <c r="N63" s="235">
        <f t="shared" si="20"/>
        <v>548095</v>
      </c>
      <c r="O63" s="235">
        <f t="shared" si="20"/>
        <v>1222070</v>
      </c>
      <c r="P63" s="235">
        <f t="shared" si="20"/>
        <v>401996</v>
      </c>
      <c r="Q63" s="235">
        <f t="shared" si="20"/>
        <v>531996</v>
      </c>
      <c r="R63" s="235">
        <f t="shared" si="20"/>
        <v>531996</v>
      </c>
      <c r="S63" s="235">
        <f t="shared" si="20"/>
        <v>-6876399</v>
      </c>
      <c r="T63" s="235">
        <f t="shared" si="20"/>
        <v>-6876399</v>
      </c>
      <c r="U63" s="235">
        <f t="shared" si="20"/>
        <v>0</v>
      </c>
      <c r="V63" s="235">
        <f t="shared" si="20"/>
        <v>0</v>
      </c>
      <c r="W63" s="235">
        <f t="shared" si="20"/>
        <v>0</v>
      </c>
      <c r="X63" s="235">
        <f t="shared" si="20"/>
        <v>0</v>
      </c>
      <c r="Y63" s="235">
        <f t="shared" si="20"/>
        <v>0</v>
      </c>
      <c r="Z63" s="235">
        <f t="shared" si="20"/>
        <v>0</v>
      </c>
    </row>
    <row r="64" spans="1:26" ht="14.65" customHeight="1" thickTop="1" thickBot="1">
      <c r="E64" s="516" t="s">
        <v>307</v>
      </c>
      <c r="F64" s="583"/>
      <c r="G64" s="606">
        <f>G63</f>
        <v>369601</v>
      </c>
      <c r="H64" s="240">
        <f t="shared" ref="H64:R64" si="21">+G64+H63</f>
        <v>2495915</v>
      </c>
      <c r="I64" s="240">
        <f t="shared" si="21"/>
        <v>2680890</v>
      </c>
      <c r="J64" s="240">
        <f t="shared" si="21"/>
        <v>3096477</v>
      </c>
      <c r="K64" s="240">
        <f t="shared" si="21"/>
        <v>3584287</v>
      </c>
      <c r="L64" s="240">
        <f t="shared" si="21"/>
        <v>5134457</v>
      </c>
      <c r="M64" s="240">
        <f t="shared" si="21"/>
        <v>5669247</v>
      </c>
      <c r="N64" s="240">
        <f t="shared" si="21"/>
        <v>6217342</v>
      </c>
      <c r="O64" s="240">
        <f t="shared" si="21"/>
        <v>7439412</v>
      </c>
      <c r="P64" s="240">
        <f t="shared" si="21"/>
        <v>7841408</v>
      </c>
      <c r="Q64" s="240">
        <f t="shared" si="21"/>
        <v>8373404</v>
      </c>
      <c r="R64" s="240">
        <f t="shared" si="21"/>
        <v>8905400</v>
      </c>
      <c r="S64" s="240">
        <f>S63</f>
        <v>-6876399</v>
      </c>
      <c r="T64" s="240">
        <f t="shared" ref="T64:Z64" si="22">+S64+T63</f>
        <v>-13752798</v>
      </c>
      <c r="U64" s="240">
        <f t="shared" si="22"/>
        <v>-13752798</v>
      </c>
      <c r="V64" s="240">
        <f t="shared" si="22"/>
        <v>-13752798</v>
      </c>
      <c r="W64" s="240">
        <f t="shared" si="22"/>
        <v>-13752798</v>
      </c>
      <c r="X64" s="240">
        <f t="shared" si="22"/>
        <v>-13752798</v>
      </c>
      <c r="Y64" s="240">
        <f t="shared" si="22"/>
        <v>-13752798</v>
      </c>
      <c r="Z64" s="240">
        <f t="shared" si="22"/>
        <v>-13752798</v>
      </c>
    </row>
    <row r="65" spans="5:27" ht="6" customHeight="1" thickBot="1">
      <c r="E65" s="241"/>
      <c r="F65" s="241"/>
      <c r="G65" s="607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</row>
    <row r="66" spans="5:27" ht="13.15" thickTop="1">
      <c r="E66" s="517" t="s">
        <v>308</v>
      </c>
      <c r="F66" s="584"/>
      <c r="G66" s="608">
        <f t="shared" ref="G66:Z66" si="23">+G24+G34</f>
        <v>4922319</v>
      </c>
      <c r="H66" s="243">
        <f t="shared" si="23"/>
        <v>4905501</v>
      </c>
      <c r="I66" s="243">
        <f t="shared" si="23"/>
        <v>4870840</v>
      </c>
      <c r="J66" s="243">
        <f t="shared" si="23"/>
        <v>4996228</v>
      </c>
      <c r="K66" s="243">
        <f t="shared" si="23"/>
        <v>4883245</v>
      </c>
      <c r="L66" s="243">
        <f t="shared" si="23"/>
        <v>5888145</v>
      </c>
      <c r="M66" s="243">
        <f t="shared" si="23"/>
        <v>4872025</v>
      </c>
      <c r="N66" s="243">
        <f t="shared" si="23"/>
        <v>4858720</v>
      </c>
      <c r="O66" s="243">
        <f t="shared" si="23"/>
        <v>5483245</v>
      </c>
      <c r="P66" s="243">
        <f t="shared" si="23"/>
        <v>4879819</v>
      </c>
      <c r="Q66" s="243">
        <f t="shared" si="23"/>
        <v>4879819</v>
      </c>
      <c r="R66" s="243">
        <f t="shared" si="23"/>
        <v>4879819</v>
      </c>
      <c r="S66" s="243">
        <f t="shared" si="23"/>
        <v>2747319</v>
      </c>
      <c r="T66" s="243">
        <f t="shared" si="23"/>
        <v>2747319</v>
      </c>
      <c r="U66" s="243">
        <f t="shared" si="23"/>
        <v>0</v>
      </c>
      <c r="V66" s="243">
        <f t="shared" si="23"/>
        <v>0</v>
      </c>
      <c r="W66" s="243">
        <f t="shared" si="23"/>
        <v>0</v>
      </c>
      <c r="X66" s="243">
        <f t="shared" si="23"/>
        <v>0</v>
      </c>
      <c r="Y66" s="243">
        <f t="shared" si="23"/>
        <v>0</v>
      </c>
      <c r="Z66" s="243">
        <f t="shared" si="23"/>
        <v>0</v>
      </c>
    </row>
    <row r="67" spans="5:27" ht="13.15" thickBot="1">
      <c r="E67" s="518"/>
      <c r="F67" s="585"/>
      <c r="G67" s="609">
        <f t="shared" ref="G67:Z67" si="24">+G66/G17</f>
        <v>0.53214259459459456</v>
      </c>
      <c r="H67" s="244">
        <f t="shared" si="24"/>
        <v>0.45128804047838089</v>
      </c>
      <c r="I67" s="244">
        <f t="shared" si="24"/>
        <v>0.5265772972972973</v>
      </c>
      <c r="J67" s="244">
        <f t="shared" si="24"/>
        <v>0.54013275675675676</v>
      </c>
      <c r="K67" s="244">
        <f t="shared" si="24"/>
        <v>0.52791837837837841</v>
      </c>
      <c r="L67" s="244">
        <f t="shared" si="24"/>
        <v>0.50111872340425534</v>
      </c>
      <c r="M67" s="244">
        <f t="shared" si="24"/>
        <v>0.52670540540540545</v>
      </c>
      <c r="N67" s="244">
        <f t="shared" si="24"/>
        <v>0.52526702702702699</v>
      </c>
      <c r="O67" s="244">
        <f t="shared" si="24"/>
        <v>0.51006930232558134</v>
      </c>
      <c r="P67" s="244">
        <f t="shared" si="24"/>
        <v>0.52754800000000002</v>
      </c>
      <c r="Q67" s="244">
        <f t="shared" si="24"/>
        <v>0.52754800000000002</v>
      </c>
      <c r="R67" s="244">
        <f t="shared" si="24"/>
        <v>0.52754800000000002</v>
      </c>
      <c r="S67" s="244" t="e">
        <f t="shared" si="24"/>
        <v>#DIV/0!</v>
      </c>
      <c r="T67" s="244" t="e">
        <f t="shared" si="24"/>
        <v>#DIV/0!</v>
      </c>
      <c r="U67" s="244" t="e">
        <f t="shared" si="24"/>
        <v>#DIV/0!</v>
      </c>
      <c r="V67" s="244" t="e">
        <f t="shared" si="24"/>
        <v>#DIV/0!</v>
      </c>
      <c r="W67" s="244" t="e">
        <f t="shared" si="24"/>
        <v>#DIV/0!</v>
      </c>
      <c r="X67" s="244" t="e">
        <f t="shared" si="24"/>
        <v>#DIV/0!</v>
      </c>
      <c r="Y67" s="244" t="e">
        <f t="shared" si="24"/>
        <v>#DIV/0!</v>
      </c>
      <c r="Z67" s="244" t="e">
        <f t="shared" si="24"/>
        <v>#DIV/0!</v>
      </c>
    </row>
    <row r="68" spans="5:27" ht="13.5" hidden="1" customHeight="1" thickTop="1"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</row>
    <row r="69" spans="5:27" ht="13.5" hidden="1" customHeight="1" thickTop="1"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</row>
    <row r="70" spans="5:27" ht="13.5" hidden="1" customHeight="1" thickTop="1" thickBot="1"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</row>
    <row r="71" spans="5:27" ht="13.5" hidden="1" customHeight="1" thickTop="1" thickBot="1"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</row>
    <row r="72" spans="5:27" ht="13.5" hidden="1" customHeight="1" thickTop="1" thickBot="1"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</row>
    <row r="73" spans="5:27" ht="17.25" customHeight="1" thickTop="1" thickBot="1">
      <c r="E73" s="245" t="s">
        <v>309</v>
      </c>
      <c r="F73" s="245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</row>
    <row r="74" spans="5:27" ht="18" customHeight="1">
      <c r="E74" s="511" t="s">
        <v>310</v>
      </c>
      <c r="F74" s="512"/>
      <c r="G74" s="246">
        <f t="shared" ref="G74:Z74" si="25">+G9</f>
        <v>0</v>
      </c>
      <c r="H74" s="246">
        <f t="shared" si="25"/>
        <v>0</v>
      </c>
      <c r="I74" s="246">
        <f t="shared" si="25"/>
        <v>0</v>
      </c>
      <c r="J74" s="246">
        <f t="shared" si="25"/>
        <v>0</v>
      </c>
      <c r="K74" s="246">
        <f t="shared" si="25"/>
        <v>0</v>
      </c>
      <c r="L74" s="246">
        <f t="shared" si="25"/>
        <v>0</v>
      </c>
      <c r="M74" s="246">
        <f t="shared" si="25"/>
        <v>0</v>
      </c>
      <c r="N74" s="246">
        <f t="shared" si="25"/>
        <v>0</v>
      </c>
      <c r="O74" s="246">
        <f t="shared" si="25"/>
        <v>0</v>
      </c>
      <c r="P74" s="246">
        <f t="shared" si="25"/>
        <v>0</v>
      </c>
      <c r="Q74" s="246">
        <f t="shared" si="25"/>
        <v>0</v>
      </c>
      <c r="R74" s="246">
        <f t="shared" si="25"/>
        <v>0</v>
      </c>
      <c r="S74" s="246" t="str">
        <f t="shared" si="25"/>
        <v>手入力</v>
      </c>
      <c r="T74" s="246" t="str">
        <f t="shared" si="25"/>
        <v>手入力</v>
      </c>
      <c r="U74" s="246">
        <f t="shared" si="25"/>
        <v>0</v>
      </c>
      <c r="V74" s="246">
        <f t="shared" si="25"/>
        <v>0</v>
      </c>
      <c r="W74" s="246">
        <f t="shared" si="25"/>
        <v>0</v>
      </c>
      <c r="X74" s="246">
        <f t="shared" si="25"/>
        <v>0</v>
      </c>
      <c r="Y74" s="246">
        <f t="shared" si="25"/>
        <v>0</v>
      </c>
      <c r="Z74" s="246">
        <f t="shared" si="25"/>
        <v>0</v>
      </c>
    </row>
    <row r="75" spans="5:27" ht="18" customHeight="1" thickBot="1">
      <c r="E75" s="513"/>
      <c r="F75" s="514"/>
      <c r="G75" s="610" t="str">
        <f t="shared" ref="G75:Z75" si="26">G10</f>
        <v>R8.07</v>
      </c>
      <c r="H75" s="610" t="str">
        <f t="shared" si="26"/>
        <v>R8.08</v>
      </c>
      <c r="I75" s="610" t="str">
        <f t="shared" si="26"/>
        <v>R8.09</v>
      </c>
      <c r="J75" s="610" t="str">
        <f t="shared" si="26"/>
        <v>R8.10</v>
      </c>
      <c r="K75" s="610" t="str">
        <f t="shared" si="26"/>
        <v>R8.11</v>
      </c>
      <c r="L75" s="610" t="str">
        <f t="shared" si="26"/>
        <v>R8.12</v>
      </c>
      <c r="M75" s="610" t="str">
        <f t="shared" si="26"/>
        <v>R9.01</v>
      </c>
      <c r="N75" s="610" t="str">
        <f t="shared" si="26"/>
        <v>R9.02</v>
      </c>
      <c r="O75" s="610" t="str">
        <f t="shared" si="26"/>
        <v>R9.03</v>
      </c>
      <c r="P75" s="610" t="str">
        <f t="shared" si="26"/>
        <v>R9.04</v>
      </c>
      <c r="Q75" s="610" t="str">
        <f t="shared" si="26"/>
        <v>R9.05</v>
      </c>
      <c r="R75" s="610" t="str">
        <f t="shared" si="26"/>
        <v>R9.06</v>
      </c>
      <c r="S75" s="247" t="str">
        <f t="shared" si="26"/>
        <v>R8.07</v>
      </c>
      <c r="T75" s="247" t="str">
        <f t="shared" si="26"/>
        <v>R8.08</v>
      </c>
      <c r="U75" s="247" t="str">
        <f t="shared" si="26"/>
        <v>R8.09</v>
      </c>
      <c r="V75" s="247" t="str">
        <f t="shared" si="26"/>
        <v>R8.10</v>
      </c>
      <c r="W75" s="247" t="str">
        <f t="shared" si="26"/>
        <v>R8.11</v>
      </c>
      <c r="X75" s="247" t="str">
        <f t="shared" si="26"/>
        <v>R8.12</v>
      </c>
      <c r="Y75" s="247" t="str">
        <f t="shared" si="26"/>
        <v>R9.01</v>
      </c>
      <c r="Z75" s="247" t="str">
        <f t="shared" si="26"/>
        <v>R9.02</v>
      </c>
    </row>
    <row r="76" spans="5:27" ht="18" customHeight="1" thickTop="1" thickBot="1">
      <c r="E76" s="519" t="s">
        <v>311</v>
      </c>
      <c r="F76" s="520"/>
      <c r="G76" s="248">
        <v>34901665</v>
      </c>
      <c r="H76" s="248">
        <f>+G105</f>
        <v>36117672</v>
      </c>
      <c r="I76" s="248">
        <f t="shared" ref="I76:S76" si="27">+H105</f>
        <v>37408525</v>
      </c>
      <c r="J76" s="248">
        <f t="shared" si="27"/>
        <v>36821753</v>
      </c>
      <c r="K76" s="248">
        <f t="shared" si="27"/>
        <v>36725608.5</v>
      </c>
      <c r="L76" s="248">
        <f t="shared" si="27"/>
        <v>38011242.5</v>
      </c>
      <c r="M76" s="248">
        <f t="shared" si="27"/>
        <v>39626012.5</v>
      </c>
      <c r="N76" s="248">
        <f t="shared" si="27"/>
        <v>39295303.289999999</v>
      </c>
      <c r="O76" s="248">
        <f t="shared" si="27"/>
        <v>37173890.289999999</v>
      </c>
      <c r="P76" s="248">
        <f t="shared" si="27"/>
        <v>35248489.289999999</v>
      </c>
      <c r="Q76" s="248">
        <f t="shared" si="27"/>
        <v>36087105.289999999</v>
      </c>
      <c r="R76" s="248">
        <f t="shared" si="27"/>
        <v>36886000.289999999</v>
      </c>
      <c r="S76" s="248">
        <f t="shared" si="27"/>
        <v>37684895.289999999</v>
      </c>
      <c r="T76" s="248"/>
      <c r="U76" s="248"/>
      <c r="V76" s="248"/>
      <c r="W76" s="248"/>
      <c r="X76" s="248"/>
      <c r="Y76" s="248"/>
      <c r="Z76" s="248"/>
      <c r="AA76" s="198">
        <f t="shared" ref="Z76:AA76" si="28">Z105</f>
        <v>0</v>
      </c>
    </row>
    <row r="77" spans="5:27" ht="18" customHeight="1" thickTop="1">
      <c r="E77" s="521" t="s">
        <v>312</v>
      </c>
      <c r="F77" s="249" t="s">
        <v>313</v>
      </c>
      <c r="G77" s="250">
        <v>4404630</v>
      </c>
      <c r="H77" s="250">
        <v>4483340</v>
      </c>
      <c r="I77" s="250">
        <v>3551970</v>
      </c>
      <c r="J77" s="250">
        <v>3709140</v>
      </c>
      <c r="K77" s="250">
        <f>4189500+103200</f>
        <v>4292700</v>
      </c>
      <c r="L77" s="250">
        <v>6407140</v>
      </c>
      <c r="M77" s="250">
        <f t="shared" ref="M77:R77" si="29">+M17*$C17</f>
        <v>6104999.9999999991</v>
      </c>
      <c r="N77" s="250">
        <v>3566980</v>
      </c>
      <c r="O77" s="250">
        <v>4535740</v>
      </c>
      <c r="P77" s="250">
        <f t="shared" si="29"/>
        <v>6104999.9999999991</v>
      </c>
      <c r="Q77" s="250">
        <f t="shared" si="29"/>
        <v>6104999.9999999991</v>
      </c>
      <c r="R77" s="250">
        <f t="shared" si="29"/>
        <v>6104999.9999999991</v>
      </c>
      <c r="S77" s="250"/>
      <c r="T77" s="250"/>
      <c r="U77" s="250"/>
      <c r="V77" s="250"/>
      <c r="W77" s="250"/>
      <c r="X77" s="250"/>
      <c r="Y77" s="250"/>
      <c r="Z77" s="250"/>
      <c r="AA77" s="198">
        <f t="shared" ref="V77:AA77" si="30">+AA17*$C17</f>
        <v>0</v>
      </c>
    </row>
    <row r="78" spans="5:27" ht="18" customHeight="1">
      <c r="E78" s="522"/>
      <c r="F78" s="251" t="s">
        <v>314</v>
      </c>
      <c r="G78" s="252">
        <v>5710627</v>
      </c>
      <c r="H78" s="252">
        <v>5596401</v>
      </c>
      <c r="I78" s="252">
        <v>5575843</v>
      </c>
      <c r="J78" s="252">
        <v>3993875</v>
      </c>
      <c r="K78" s="252">
        <f>6676752-2187510</f>
        <v>4489242</v>
      </c>
      <c r="L78" s="252">
        <v>3984396</v>
      </c>
      <c r="M78" s="252">
        <f t="shared" ref="M78" si="31">+L17*$B17</f>
        <v>3995000.0000000005</v>
      </c>
      <c r="N78" s="252">
        <v>4716296</v>
      </c>
      <c r="O78" s="252">
        <v>4155311</v>
      </c>
      <c r="P78" s="252">
        <f t="shared" ref="P78:R78" si="32">+O17*$B17</f>
        <v>3655000.0000000005</v>
      </c>
      <c r="Q78" s="252">
        <f t="shared" si="32"/>
        <v>3145000</v>
      </c>
      <c r="R78" s="252">
        <f t="shared" si="32"/>
        <v>3145000</v>
      </c>
      <c r="S78" s="252"/>
      <c r="T78" s="252"/>
      <c r="U78" s="252"/>
      <c r="V78" s="252"/>
      <c r="W78" s="252"/>
      <c r="X78" s="252"/>
      <c r="Y78" s="252"/>
      <c r="Z78" s="252"/>
      <c r="AA78" s="198">
        <f t="shared" ref="Y78:AA78" si="33">+Z17*$B17</f>
        <v>0</v>
      </c>
    </row>
    <row r="79" spans="5:27" ht="18" customHeight="1">
      <c r="E79" s="522"/>
      <c r="F79" s="253" t="s">
        <v>315</v>
      </c>
      <c r="G79" s="254">
        <f t="shared" ref="G79:K79" si="34">+G58</f>
        <v>0</v>
      </c>
      <c r="H79" s="254">
        <f t="shared" si="34"/>
        <v>0</v>
      </c>
      <c r="I79" s="254">
        <f t="shared" si="34"/>
        <v>0</v>
      </c>
      <c r="J79" s="254">
        <f t="shared" si="34"/>
        <v>0</v>
      </c>
      <c r="K79" s="254">
        <f t="shared" si="34"/>
        <v>0</v>
      </c>
      <c r="L79" s="254">
        <v>0</v>
      </c>
      <c r="M79" s="254">
        <f t="shared" ref="M79:R79" si="35">+M58</f>
        <v>0</v>
      </c>
      <c r="N79" s="254">
        <f t="shared" si="35"/>
        <v>0</v>
      </c>
      <c r="O79" s="254">
        <f t="shared" si="35"/>
        <v>0</v>
      </c>
      <c r="P79" s="254">
        <f t="shared" si="35"/>
        <v>0</v>
      </c>
      <c r="Q79" s="254">
        <f t="shared" si="35"/>
        <v>0</v>
      </c>
      <c r="R79" s="254">
        <f t="shared" si="35"/>
        <v>0</v>
      </c>
      <c r="S79" s="254"/>
      <c r="T79" s="254"/>
      <c r="U79" s="254"/>
      <c r="V79" s="254"/>
      <c r="W79" s="254"/>
      <c r="X79" s="254"/>
      <c r="Y79" s="254"/>
      <c r="Z79" s="254"/>
      <c r="AA79" s="198">
        <f t="shared" ref="V79:AA79" si="36">+AA58</f>
        <v>0</v>
      </c>
    </row>
    <row r="80" spans="5:27" ht="18" customHeight="1">
      <c r="E80" s="523"/>
      <c r="F80" s="255" t="s">
        <v>316</v>
      </c>
      <c r="G80" s="256">
        <f t="shared" ref="G80:R80" si="37">SUM(G77:G79)</f>
        <v>10115257</v>
      </c>
      <c r="H80" s="256">
        <f t="shared" si="37"/>
        <v>10079741</v>
      </c>
      <c r="I80" s="256">
        <f t="shared" si="37"/>
        <v>9127813</v>
      </c>
      <c r="J80" s="256">
        <f t="shared" si="37"/>
        <v>7703015</v>
      </c>
      <c r="K80" s="256">
        <f t="shared" si="37"/>
        <v>8781942</v>
      </c>
      <c r="L80" s="256">
        <f t="shared" si="37"/>
        <v>10391536</v>
      </c>
      <c r="M80" s="256">
        <f t="shared" si="37"/>
        <v>10100000</v>
      </c>
      <c r="N80" s="256">
        <f t="shared" si="37"/>
        <v>8283276</v>
      </c>
      <c r="O80" s="256">
        <f t="shared" si="37"/>
        <v>8691051</v>
      </c>
      <c r="P80" s="256">
        <f t="shared" si="37"/>
        <v>9760000</v>
      </c>
      <c r="Q80" s="256">
        <f t="shared" si="37"/>
        <v>9250000</v>
      </c>
      <c r="R80" s="256">
        <f t="shared" si="37"/>
        <v>9250000</v>
      </c>
      <c r="S80" s="256"/>
      <c r="T80" s="256"/>
      <c r="U80" s="256"/>
      <c r="V80" s="256"/>
      <c r="W80" s="256"/>
      <c r="X80" s="256"/>
      <c r="Y80" s="256"/>
      <c r="Z80" s="256"/>
      <c r="AA80" s="198">
        <f t="shared" ref="G80:AA80" si="38">SUM(AA77:AA79)</f>
        <v>0</v>
      </c>
    </row>
    <row r="81" spans="2:27" ht="18" customHeight="1">
      <c r="E81" s="524" t="s">
        <v>317</v>
      </c>
      <c r="F81" s="257" t="s">
        <v>318</v>
      </c>
      <c r="G81" s="258">
        <v>133139</v>
      </c>
      <c r="H81" s="258">
        <f t="shared" ref="H81:R81" si="39">+H24*$C24</f>
        <v>21325.000000000018</v>
      </c>
      <c r="I81" s="258">
        <f t="shared" si="39"/>
        <v>21325.000000000018</v>
      </c>
      <c r="J81" s="258">
        <f t="shared" si="39"/>
        <v>21718.500000000018</v>
      </c>
      <c r="K81" s="258">
        <v>135773</v>
      </c>
      <c r="L81" s="258">
        <v>142310</v>
      </c>
      <c r="M81" s="258">
        <f t="shared" si="39"/>
        <v>21325.000000000018</v>
      </c>
      <c r="N81" s="258">
        <f t="shared" si="39"/>
        <v>21325.000000000018</v>
      </c>
      <c r="O81" s="258">
        <f t="shared" si="39"/>
        <v>25075.000000000022</v>
      </c>
      <c r="P81" s="258">
        <f t="shared" si="39"/>
        <v>21325.000000000018</v>
      </c>
      <c r="Q81" s="258">
        <f t="shared" si="39"/>
        <v>21325.000000000018</v>
      </c>
      <c r="R81" s="258">
        <f t="shared" si="39"/>
        <v>21325.000000000018</v>
      </c>
      <c r="S81" s="258"/>
      <c r="T81" s="258"/>
      <c r="U81" s="258"/>
      <c r="V81" s="258"/>
      <c r="W81" s="258"/>
      <c r="X81" s="258"/>
      <c r="Y81" s="258"/>
      <c r="Z81" s="258"/>
      <c r="AA81" s="198">
        <f t="shared" ref="Q81:AA81" si="40">+AA24*$C24</f>
        <v>0</v>
      </c>
    </row>
    <row r="82" spans="2:27" ht="18" customHeight="1">
      <c r="E82" s="522"/>
      <c r="F82" s="251" t="s">
        <v>319</v>
      </c>
      <c r="G82" s="252">
        <v>1861886</v>
      </c>
      <c r="H82" s="252">
        <v>2756954</v>
      </c>
      <c r="I82" s="252">
        <v>2127052</v>
      </c>
      <c r="J82" s="252">
        <v>2001114</v>
      </c>
      <c r="K82" s="252">
        <v>1850037</v>
      </c>
      <c r="L82" s="252">
        <v>2104183</v>
      </c>
      <c r="M82" s="252">
        <f t="shared" ref="M82" si="41">+L24*$B24</f>
        <v>2741190.21</v>
      </c>
      <c r="N82" s="252">
        <v>1688264</v>
      </c>
      <c r="O82" s="252">
        <v>2090236</v>
      </c>
      <c r="P82" s="252">
        <f t="shared" ref="P82:R82" si="42">+O24*$B24</f>
        <v>2482425</v>
      </c>
      <c r="Q82" s="252">
        <f t="shared" si="42"/>
        <v>2111175</v>
      </c>
      <c r="R82" s="252">
        <f t="shared" si="42"/>
        <v>2111175</v>
      </c>
      <c r="S82" s="252"/>
      <c r="T82" s="252"/>
      <c r="U82" s="252"/>
      <c r="V82" s="252"/>
      <c r="W82" s="252"/>
      <c r="X82" s="252"/>
      <c r="Y82" s="252"/>
      <c r="Z82" s="252"/>
      <c r="AA82" s="198">
        <f t="shared" ref="Y82:AA82" si="43">+Z24*$B24</f>
        <v>0</v>
      </c>
    </row>
    <row r="83" spans="2:27" ht="18" customHeight="1">
      <c r="E83" s="522"/>
      <c r="F83" s="259" t="s">
        <v>320</v>
      </c>
      <c r="G83" s="252">
        <f>2075200+3978677-3074798</f>
        <v>2979079</v>
      </c>
      <c r="H83" s="252">
        <f>1934531+3688023-3106827</f>
        <v>2515727</v>
      </c>
      <c r="I83" s="252">
        <v>3660733</v>
      </c>
      <c r="J83" s="252">
        <v>2726363</v>
      </c>
      <c r="K83" s="252">
        <v>2320083</v>
      </c>
      <c r="L83" s="252">
        <v>4085440</v>
      </c>
      <c r="M83" s="252">
        <f t="shared" ref="M83:R83" si="44">L34+L55-L84-L40</f>
        <v>4471908</v>
      </c>
      <c r="N83" s="252">
        <v>3126353</v>
      </c>
      <c r="O83" s="252">
        <v>4143958</v>
      </c>
      <c r="P83" s="252">
        <f t="shared" si="44"/>
        <v>2846348</v>
      </c>
      <c r="Q83" s="252">
        <f t="shared" si="44"/>
        <v>2877319</v>
      </c>
      <c r="R83" s="252">
        <f t="shared" si="44"/>
        <v>2877319</v>
      </c>
      <c r="S83" s="252"/>
      <c r="T83" s="252"/>
      <c r="U83" s="252"/>
      <c r="V83" s="252"/>
      <c r="W83" s="252"/>
      <c r="X83" s="252"/>
      <c r="Y83" s="252"/>
      <c r="Z83" s="252"/>
      <c r="AA83" s="198">
        <f t="shared" ref="V83:AA83" si="45">Z34+Z55-Z84-Z40</f>
        <v>0</v>
      </c>
    </row>
    <row r="84" spans="2:27" ht="18" customHeight="1">
      <c r="B84" s="260"/>
      <c r="E84" s="522"/>
      <c r="F84" s="261" t="s">
        <v>321</v>
      </c>
      <c r="G84" s="262">
        <f>3074798+225923+49700+30000+146000+12708</f>
        <v>3539129</v>
      </c>
      <c r="H84" s="262">
        <f>3106827</f>
        <v>3106827</v>
      </c>
      <c r="I84" s="262">
        <f>2955112+194554+280000+147000</f>
        <v>3576666</v>
      </c>
      <c r="J84" s="262">
        <f>2923775-214331</f>
        <v>2709444</v>
      </c>
      <c r="K84" s="262">
        <f t="shared" ref="K84:R84" si="46">K36+K54+K46+K47+K38+K49+K42+K43+K45+K41+K39+K48+K50+K51+K53</f>
        <v>2808231</v>
      </c>
      <c r="L84" s="262">
        <v>2059089</v>
      </c>
      <c r="M84" s="262">
        <f t="shared" si="46"/>
        <v>2808231</v>
      </c>
      <c r="N84" s="262">
        <f>N36+N54+N46+N47+N38+N49+N42+N43+N45+N41+N39+N48+N50+N51+N53+213961</f>
        <v>3022192</v>
      </c>
      <c r="O84" s="262">
        <v>3274128</v>
      </c>
      <c r="P84" s="262">
        <f t="shared" si="46"/>
        <v>2938231</v>
      </c>
      <c r="Q84" s="262">
        <f t="shared" si="46"/>
        <v>2808231</v>
      </c>
      <c r="R84" s="262">
        <f t="shared" si="46"/>
        <v>2808231</v>
      </c>
      <c r="S84" s="262"/>
      <c r="T84" s="262"/>
      <c r="U84" s="262"/>
      <c r="V84" s="262"/>
      <c r="W84" s="262"/>
      <c r="X84" s="262"/>
      <c r="Y84" s="262"/>
      <c r="Z84" s="262"/>
      <c r="AA84" s="198">
        <f t="shared" ref="T84:AA84" si="47">AA36+AA54+AA46+AA47+AA38+AA49+AA42+AA43+AA45+AA41+AA39+AA48+AA50+AA51+AA53</f>
        <v>0</v>
      </c>
    </row>
    <row r="85" spans="2:27" ht="18" customHeight="1">
      <c r="C85" s="215"/>
      <c r="D85" s="263"/>
      <c r="E85" s="522"/>
      <c r="F85" s="253" t="s">
        <v>322</v>
      </c>
      <c r="G85" s="254">
        <v>147962</v>
      </c>
      <c r="H85" s="254">
        <f t="shared" ref="H85:R85" si="48">+H59</f>
        <v>150000</v>
      </c>
      <c r="I85" s="254">
        <f t="shared" si="48"/>
        <v>150000</v>
      </c>
      <c r="J85" s="254">
        <f t="shared" si="48"/>
        <v>150000</v>
      </c>
      <c r="K85" s="254">
        <f t="shared" si="48"/>
        <v>150760</v>
      </c>
      <c r="L85" s="254">
        <f t="shared" si="48"/>
        <v>150000</v>
      </c>
      <c r="M85" s="254">
        <f t="shared" si="48"/>
        <v>150000</v>
      </c>
      <c r="N85" s="254">
        <f t="shared" si="48"/>
        <v>150000</v>
      </c>
      <c r="O85" s="254">
        <f t="shared" si="48"/>
        <v>150000</v>
      </c>
      <c r="P85" s="254">
        <f t="shared" si="48"/>
        <v>150000</v>
      </c>
      <c r="Q85" s="254">
        <f t="shared" si="48"/>
        <v>150000</v>
      </c>
      <c r="R85" s="254">
        <f t="shared" si="48"/>
        <v>150000</v>
      </c>
      <c r="S85" s="254"/>
      <c r="T85" s="254"/>
      <c r="U85" s="254"/>
      <c r="V85" s="254"/>
      <c r="W85" s="254"/>
      <c r="X85" s="254"/>
      <c r="Y85" s="254"/>
      <c r="Z85" s="254"/>
      <c r="AA85" s="198">
        <f t="shared" ref="Q85:AA85" si="49">+AA59</f>
        <v>0</v>
      </c>
    </row>
    <row r="86" spans="2:27" ht="18" customHeight="1" thickBot="1">
      <c r="C86" s="215"/>
      <c r="D86" s="263"/>
      <c r="E86" s="525"/>
      <c r="F86" s="264" t="s">
        <v>323</v>
      </c>
      <c r="G86" s="265">
        <f t="shared" ref="G86:R86" si="50">SUM(G81:G85)</f>
        <v>8661195</v>
      </c>
      <c r="H86" s="265">
        <f>SUM(H81:H85)</f>
        <v>8550833</v>
      </c>
      <c r="I86" s="265">
        <f t="shared" si="50"/>
        <v>9535776</v>
      </c>
      <c r="J86" s="265">
        <f t="shared" si="50"/>
        <v>7608639.5</v>
      </c>
      <c r="K86" s="265">
        <f t="shared" si="50"/>
        <v>7264884</v>
      </c>
      <c r="L86" s="265">
        <f t="shared" si="50"/>
        <v>8541022</v>
      </c>
      <c r="M86" s="265">
        <f t="shared" si="50"/>
        <v>10192654.210000001</v>
      </c>
      <c r="N86" s="265">
        <f t="shared" si="50"/>
        <v>8008134</v>
      </c>
      <c r="O86" s="265">
        <f t="shared" si="50"/>
        <v>9683397</v>
      </c>
      <c r="P86" s="265">
        <f t="shared" si="50"/>
        <v>8438329</v>
      </c>
      <c r="Q86" s="265">
        <f t="shared" si="50"/>
        <v>7968050</v>
      </c>
      <c r="R86" s="265">
        <f t="shared" si="50"/>
        <v>7968050</v>
      </c>
      <c r="S86" s="265"/>
      <c r="T86" s="265"/>
      <c r="U86" s="265"/>
      <c r="V86" s="265"/>
      <c r="W86" s="265"/>
      <c r="X86" s="265"/>
      <c r="Y86" s="265"/>
      <c r="Z86" s="265"/>
      <c r="AA86" s="198">
        <f t="shared" ref="M86:AA86" si="51">SUM(AA81:AA85)</f>
        <v>0</v>
      </c>
    </row>
    <row r="87" spans="2:27" ht="18" customHeight="1" thickTop="1" thickBot="1">
      <c r="D87" s="215"/>
      <c r="E87" s="526" t="s">
        <v>324</v>
      </c>
      <c r="F87" s="527"/>
      <c r="G87" s="266">
        <f t="shared" ref="G87:R87" si="52">+G80-G86</f>
        <v>1454062</v>
      </c>
      <c r="H87" s="266">
        <f t="shared" si="52"/>
        <v>1528908</v>
      </c>
      <c r="I87" s="266">
        <f t="shared" si="52"/>
        <v>-407963</v>
      </c>
      <c r="J87" s="266">
        <f t="shared" si="52"/>
        <v>94375.5</v>
      </c>
      <c r="K87" s="266">
        <f t="shared" si="52"/>
        <v>1517058</v>
      </c>
      <c r="L87" s="266">
        <f t="shared" si="52"/>
        <v>1850514</v>
      </c>
      <c r="M87" s="266">
        <f t="shared" si="52"/>
        <v>-92654.210000000894</v>
      </c>
      <c r="N87" s="266">
        <f t="shared" si="52"/>
        <v>275142</v>
      </c>
      <c r="O87" s="266">
        <f t="shared" si="52"/>
        <v>-992346</v>
      </c>
      <c r="P87" s="266">
        <f t="shared" si="52"/>
        <v>1321671</v>
      </c>
      <c r="Q87" s="266">
        <f t="shared" si="52"/>
        <v>1281950</v>
      </c>
      <c r="R87" s="266">
        <f t="shared" si="52"/>
        <v>1281950</v>
      </c>
      <c r="S87" s="266"/>
      <c r="T87" s="266"/>
      <c r="U87" s="266"/>
      <c r="V87" s="266"/>
      <c r="W87" s="266"/>
      <c r="X87" s="266"/>
      <c r="Y87" s="266"/>
      <c r="Z87" s="266"/>
      <c r="AA87" s="198">
        <f t="shared" ref="G87:AA87" si="53">+AA80-AA86</f>
        <v>0</v>
      </c>
    </row>
    <row r="88" spans="2:27" ht="18" customHeight="1" thickTop="1">
      <c r="C88" s="215"/>
      <c r="E88" s="521" t="s">
        <v>325</v>
      </c>
      <c r="F88" s="267" t="s">
        <v>326</v>
      </c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/>
      <c r="X88" s="258"/>
      <c r="Y88" s="258"/>
      <c r="Z88" s="258"/>
    </row>
    <row r="89" spans="2:27" ht="18" customHeight="1">
      <c r="C89" s="215"/>
      <c r="E89" s="522"/>
      <c r="F89" s="261" t="s">
        <v>327</v>
      </c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</row>
    <row r="90" spans="2:27" ht="18" customHeight="1">
      <c r="D90" s="215"/>
      <c r="E90" s="522"/>
      <c r="F90" s="479" t="s">
        <v>455</v>
      </c>
      <c r="G90" s="480"/>
      <c r="H90" s="480"/>
      <c r="I90" s="480"/>
      <c r="J90" s="480"/>
      <c r="K90" s="480"/>
      <c r="L90" s="480"/>
      <c r="M90" s="480"/>
      <c r="N90" s="480"/>
      <c r="O90" s="480"/>
      <c r="P90" s="480"/>
      <c r="Q90" s="480"/>
      <c r="R90" s="480"/>
      <c r="S90" s="480"/>
      <c r="T90" s="480"/>
      <c r="U90" s="480"/>
      <c r="V90" s="480"/>
      <c r="W90" s="480"/>
      <c r="X90" s="480"/>
      <c r="Y90" s="480"/>
      <c r="Z90" s="480"/>
    </row>
    <row r="91" spans="2:27" ht="18" customHeight="1">
      <c r="C91" s="215"/>
      <c r="E91" s="522"/>
      <c r="F91" s="268" t="s">
        <v>328</v>
      </c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spans="2:27" ht="18" customHeight="1">
      <c r="C92" s="215"/>
      <c r="E92" s="522"/>
      <c r="F92" s="270" t="s">
        <v>456</v>
      </c>
      <c r="G92" s="254"/>
      <c r="H92" s="254"/>
      <c r="I92" s="254">
        <v>59246</v>
      </c>
      <c r="J92" s="254">
        <v>47535</v>
      </c>
      <c r="K92" s="254">
        <v>6631</v>
      </c>
      <c r="L92" s="254">
        <v>2311</v>
      </c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</row>
    <row r="93" spans="2:27" ht="18" customHeight="1">
      <c r="E93" s="523"/>
      <c r="F93" s="255" t="s">
        <v>329</v>
      </c>
      <c r="G93" s="256">
        <f t="shared" ref="G93:R93" si="54">SUM(G88:G92)</f>
        <v>0</v>
      </c>
      <c r="H93" s="256">
        <f t="shared" si="54"/>
        <v>0</v>
      </c>
      <c r="I93" s="256">
        <f t="shared" si="54"/>
        <v>59246</v>
      </c>
      <c r="J93" s="256">
        <f t="shared" si="54"/>
        <v>47535</v>
      </c>
      <c r="K93" s="256">
        <f t="shared" si="54"/>
        <v>6631</v>
      </c>
      <c r="L93" s="256">
        <f t="shared" si="54"/>
        <v>2311</v>
      </c>
      <c r="M93" s="256">
        <f t="shared" si="54"/>
        <v>0</v>
      </c>
      <c r="N93" s="256">
        <f t="shared" si="54"/>
        <v>0</v>
      </c>
      <c r="O93" s="256">
        <f t="shared" si="54"/>
        <v>0</v>
      </c>
      <c r="P93" s="256">
        <f t="shared" si="54"/>
        <v>0</v>
      </c>
      <c r="Q93" s="256">
        <f t="shared" si="54"/>
        <v>0</v>
      </c>
      <c r="R93" s="256">
        <f t="shared" si="54"/>
        <v>0</v>
      </c>
      <c r="S93" s="256"/>
      <c r="T93" s="256"/>
      <c r="U93" s="256"/>
      <c r="V93" s="256"/>
      <c r="W93" s="256"/>
      <c r="X93" s="256"/>
      <c r="Y93" s="256"/>
      <c r="Z93" s="256"/>
      <c r="AA93" s="198">
        <f t="shared" ref="G93:AA93" si="55">SUM(AA88:AA92)</f>
        <v>0</v>
      </c>
    </row>
    <row r="94" spans="2:27" ht="18" customHeight="1">
      <c r="E94" s="524" t="s">
        <v>330</v>
      </c>
      <c r="F94" s="271" t="s">
        <v>457</v>
      </c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</row>
    <row r="95" spans="2:27" ht="18" customHeight="1">
      <c r="E95" s="522"/>
      <c r="F95" s="273" t="s">
        <v>328</v>
      </c>
      <c r="G95" s="252">
        <v>3055</v>
      </c>
      <c r="H95" s="252">
        <v>3055</v>
      </c>
      <c r="I95" s="252">
        <v>3055</v>
      </c>
      <c r="J95" s="252">
        <v>3055</v>
      </c>
      <c r="K95" s="252">
        <v>3055</v>
      </c>
      <c r="L95" s="252">
        <v>3055</v>
      </c>
      <c r="M95" s="252">
        <v>3055</v>
      </c>
      <c r="N95" s="252">
        <v>3055</v>
      </c>
      <c r="O95" s="252">
        <v>3055</v>
      </c>
      <c r="P95" s="252">
        <v>3055</v>
      </c>
      <c r="Q95" s="252">
        <v>3055</v>
      </c>
      <c r="R95" s="252">
        <v>3055</v>
      </c>
      <c r="S95" s="252"/>
      <c r="T95" s="252"/>
      <c r="U95" s="252"/>
      <c r="V95" s="252"/>
      <c r="W95" s="252"/>
      <c r="X95" s="252"/>
      <c r="Y95" s="252"/>
      <c r="Z95" s="252"/>
      <c r="AA95" s="198">
        <v>3055</v>
      </c>
    </row>
    <row r="96" spans="2:27" ht="18" customHeight="1">
      <c r="E96" s="522"/>
      <c r="F96" s="273" t="s">
        <v>458</v>
      </c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spans="2:27" ht="18" customHeight="1">
      <c r="E97" s="522"/>
      <c r="F97" s="273" t="s">
        <v>459</v>
      </c>
      <c r="G97" s="252"/>
      <c r="H97" s="252"/>
      <c r="I97" s="252"/>
      <c r="J97" s="252"/>
      <c r="K97" s="252"/>
      <c r="L97" s="252"/>
      <c r="M97" s="252"/>
      <c r="N97" s="252">
        <v>1943500</v>
      </c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 spans="2:27" ht="18" customHeight="1">
      <c r="E98" s="522"/>
      <c r="F98" s="274" t="s">
        <v>331</v>
      </c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 spans="2:27" ht="18" customHeight="1">
      <c r="E99" s="522"/>
      <c r="F99" s="275" t="s">
        <v>332</v>
      </c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</row>
    <row r="100" spans="2:27" ht="18" customHeight="1">
      <c r="E100" s="522"/>
      <c r="F100" s="277" t="s">
        <v>333</v>
      </c>
      <c r="G100" s="252">
        <f t="shared" ref="G100:R100" si="56">SUM(G111:G118)</f>
        <v>235000</v>
      </c>
      <c r="H100" s="252">
        <f t="shared" si="56"/>
        <v>235000</v>
      </c>
      <c r="I100" s="252">
        <f t="shared" si="56"/>
        <v>235000</v>
      </c>
      <c r="J100" s="252">
        <f t="shared" si="56"/>
        <v>235000</v>
      </c>
      <c r="K100" s="252">
        <f t="shared" si="56"/>
        <v>235000</v>
      </c>
      <c r="L100" s="252">
        <v>235000</v>
      </c>
      <c r="M100" s="252">
        <f t="shared" si="56"/>
        <v>235000</v>
      </c>
      <c r="N100" s="252">
        <f t="shared" si="56"/>
        <v>450000</v>
      </c>
      <c r="O100" s="252">
        <v>930000</v>
      </c>
      <c r="P100" s="252">
        <f t="shared" si="56"/>
        <v>480000</v>
      </c>
      <c r="Q100" s="252">
        <f t="shared" si="56"/>
        <v>480000</v>
      </c>
      <c r="R100" s="252">
        <f t="shared" si="56"/>
        <v>480000</v>
      </c>
      <c r="S100" s="252"/>
      <c r="T100" s="252"/>
      <c r="U100" s="252"/>
      <c r="V100" s="252"/>
      <c r="W100" s="252"/>
      <c r="X100" s="252"/>
      <c r="Y100" s="252"/>
      <c r="Z100" s="252"/>
      <c r="AA100" s="198">
        <f t="shared" ref="G100:AA100" si="57">SUM(AA111:AA118)</f>
        <v>0</v>
      </c>
    </row>
    <row r="101" spans="2:27" ht="18" customHeight="1">
      <c r="E101" s="522"/>
      <c r="F101" s="278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</row>
    <row r="102" spans="2:27" ht="18" customHeight="1" thickBot="1">
      <c r="E102" s="525"/>
      <c r="F102" s="264" t="s">
        <v>334</v>
      </c>
      <c r="G102" s="265">
        <f t="shared" ref="G102:R102" si="58">SUM(G94:G101)</f>
        <v>238055</v>
      </c>
      <c r="H102" s="265">
        <f t="shared" si="58"/>
        <v>238055</v>
      </c>
      <c r="I102" s="265">
        <f t="shared" si="58"/>
        <v>238055</v>
      </c>
      <c r="J102" s="265">
        <f t="shared" si="58"/>
        <v>238055</v>
      </c>
      <c r="K102" s="265">
        <f t="shared" si="58"/>
        <v>238055</v>
      </c>
      <c r="L102" s="265">
        <f t="shared" si="58"/>
        <v>238055</v>
      </c>
      <c r="M102" s="265">
        <f t="shared" si="58"/>
        <v>238055</v>
      </c>
      <c r="N102" s="265">
        <f t="shared" si="58"/>
        <v>2396555</v>
      </c>
      <c r="O102" s="265">
        <f t="shared" si="58"/>
        <v>933055</v>
      </c>
      <c r="P102" s="265">
        <f t="shared" si="58"/>
        <v>483055</v>
      </c>
      <c r="Q102" s="265">
        <f t="shared" si="58"/>
        <v>483055</v>
      </c>
      <c r="R102" s="265">
        <f t="shared" si="58"/>
        <v>483055</v>
      </c>
      <c r="S102" s="265"/>
      <c r="T102" s="265"/>
      <c r="U102" s="265"/>
      <c r="V102" s="265"/>
      <c r="W102" s="265"/>
      <c r="X102" s="265"/>
      <c r="Y102" s="265"/>
      <c r="Z102" s="265"/>
      <c r="AA102" s="198">
        <f t="shared" ref="G102:AA102" si="59">SUM(AA94:AA101)</f>
        <v>3055</v>
      </c>
    </row>
    <row r="103" spans="2:27" ht="18" customHeight="1" thickTop="1" thickBot="1">
      <c r="E103" s="526" t="s">
        <v>335</v>
      </c>
      <c r="F103" s="527"/>
      <c r="G103" s="266">
        <f t="shared" ref="G103:R103" si="60">+G93-G102</f>
        <v>-238055</v>
      </c>
      <c r="H103" s="266">
        <f t="shared" si="60"/>
        <v>-238055</v>
      </c>
      <c r="I103" s="266">
        <f t="shared" si="60"/>
        <v>-178809</v>
      </c>
      <c r="J103" s="266">
        <f t="shared" si="60"/>
        <v>-190520</v>
      </c>
      <c r="K103" s="266">
        <f t="shared" si="60"/>
        <v>-231424</v>
      </c>
      <c r="L103" s="266">
        <f t="shared" si="60"/>
        <v>-235744</v>
      </c>
      <c r="M103" s="266">
        <f t="shared" si="60"/>
        <v>-238055</v>
      </c>
      <c r="N103" s="266">
        <f t="shared" si="60"/>
        <v>-2396555</v>
      </c>
      <c r="O103" s="266">
        <f t="shared" si="60"/>
        <v>-933055</v>
      </c>
      <c r="P103" s="266">
        <f t="shared" si="60"/>
        <v>-483055</v>
      </c>
      <c r="Q103" s="266">
        <f t="shared" si="60"/>
        <v>-483055</v>
      </c>
      <c r="R103" s="266">
        <f t="shared" si="60"/>
        <v>-483055</v>
      </c>
      <c r="S103" s="266">
        <f t="shared" ref="G103:AA103" si="61">+S93-S102</f>
        <v>0</v>
      </c>
      <c r="T103" s="266">
        <f t="shared" si="61"/>
        <v>0</v>
      </c>
      <c r="U103" s="266">
        <f t="shared" si="61"/>
        <v>0</v>
      </c>
      <c r="V103" s="266">
        <f t="shared" si="61"/>
        <v>0</v>
      </c>
      <c r="W103" s="266">
        <f t="shared" si="61"/>
        <v>0</v>
      </c>
      <c r="X103" s="266">
        <f t="shared" si="61"/>
        <v>0</v>
      </c>
      <c r="Y103" s="266">
        <f t="shared" si="61"/>
        <v>0</v>
      </c>
      <c r="Z103" s="266">
        <f t="shared" si="61"/>
        <v>0</v>
      </c>
      <c r="AA103" s="198">
        <f t="shared" si="61"/>
        <v>-3055</v>
      </c>
    </row>
    <row r="104" spans="2:27" ht="35.450000000000003" customHeight="1" thickTop="1" thickBot="1">
      <c r="E104" s="526" t="s">
        <v>336</v>
      </c>
      <c r="F104" s="527"/>
      <c r="G104" s="279">
        <f t="shared" ref="G104:R104" si="62">+G87+G103</f>
        <v>1216007</v>
      </c>
      <c r="H104" s="279">
        <f>+H87+H103</f>
        <v>1290853</v>
      </c>
      <c r="I104" s="279">
        <f t="shared" si="62"/>
        <v>-586772</v>
      </c>
      <c r="J104" s="279">
        <f t="shared" si="62"/>
        <v>-96144.5</v>
      </c>
      <c r="K104" s="279">
        <f t="shared" si="62"/>
        <v>1285634</v>
      </c>
      <c r="L104" s="279">
        <f t="shared" si="62"/>
        <v>1614770</v>
      </c>
      <c r="M104" s="279">
        <f t="shared" si="62"/>
        <v>-330709.21000000089</v>
      </c>
      <c r="N104" s="279">
        <f t="shared" si="62"/>
        <v>-2121413</v>
      </c>
      <c r="O104" s="279">
        <f t="shared" si="62"/>
        <v>-1925401</v>
      </c>
      <c r="P104" s="279">
        <f t="shared" si="62"/>
        <v>838616</v>
      </c>
      <c r="Q104" s="279">
        <f t="shared" si="62"/>
        <v>798895</v>
      </c>
      <c r="R104" s="279">
        <f t="shared" si="62"/>
        <v>798895</v>
      </c>
      <c r="S104" s="279">
        <f t="shared" ref="G104:AA104" si="63">+S87+S103</f>
        <v>0</v>
      </c>
      <c r="T104" s="279">
        <f t="shared" si="63"/>
        <v>0</v>
      </c>
      <c r="U104" s="279">
        <f t="shared" si="63"/>
        <v>0</v>
      </c>
      <c r="V104" s="279">
        <f t="shared" si="63"/>
        <v>0</v>
      </c>
      <c r="W104" s="279">
        <f t="shared" si="63"/>
        <v>0</v>
      </c>
      <c r="X104" s="279">
        <f t="shared" si="63"/>
        <v>0</v>
      </c>
      <c r="Y104" s="279">
        <f t="shared" si="63"/>
        <v>0</v>
      </c>
      <c r="Z104" s="279">
        <f t="shared" si="63"/>
        <v>0</v>
      </c>
      <c r="AA104" s="198">
        <f t="shared" si="63"/>
        <v>-3055</v>
      </c>
    </row>
    <row r="105" spans="2:27" ht="43.5" customHeight="1" thickTop="1" thickBot="1">
      <c r="E105" s="528" t="s">
        <v>337</v>
      </c>
      <c r="F105" s="529"/>
      <c r="G105" s="481">
        <f t="shared" ref="G105:R105" si="64">+G76+G104</f>
        <v>36117672</v>
      </c>
      <c r="H105" s="481">
        <f>+H76+H104</f>
        <v>37408525</v>
      </c>
      <c r="I105" s="481">
        <f t="shared" si="64"/>
        <v>36821753</v>
      </c>
      <c r="J105" s="481">
        <f t="shared" si="64"/>
        <v>36725608.5</v>
      </c>
      <c r="K105" s="481">
        <f t="shared" si="64"/>
        <v>38011242.5</v>
      </c>
      <c r="L105" s="481">
        <f t="shared" si="64"/>
        <v>39626012.5</v>
      </c>
      <c r="M105" s="481">
        <f t="shared" si="64"/>
        <v>39295303.289999999</v>
      </c>
      <c r="N105" s="481">
        <f t="shared" si="64"/>
        <v>37173890.289999999</v>
      </c>
      <c r="O105" s="481">
        <f t="shared" si="64"/>
        <v>35248489.289999999</v>
      </c>
      <c r="P105" s="481">
        <f t="shared" si="64"/>
        <v>36087105.289999999</v>
      </c>
      <c r="Q105" s="481">
        <f t="shared" si="64"/>
        <v>36886000.289999999</v>
      </c>
      <c r="R105" s="481">
        <f t="shared" si="64"/>
        <v>37684895.289999999</v>
      </c>
      <c r="S105" s="481">
        <f t="shared" ref="G105:AA105" si="65">+S76+S104</f>
        <v>37684895.289999999</v>
      </c>
      <c r="T105" s="481">
        <f t="shared" si="65"/>
        <v>0</v>
      </c>
      <c r="U105" s="481">
        <f t="shared" si="65"/>
        <v>0</v>
      </c>
      <c r="V105" s="481">
        <f t="shared" si="65"/>
        <v>0</v>
      </c>
      <c r="W105" s="481">
        <f t="shared" si="65"/>
        <v>0</v>
      </c>
      <c r="X105" s="481">
        <f t="shared" si="65"/>
        <v>0</v>
      </c>
      <c r="Y105" s="481">
        <f t="shared" si="65"/>
        <v>0</v>
      </c>
      <c r="Z105" s="481">
        <f t="shared" si="65"/>
        <v>0</v>
      </c>
      <c r="AA105" s="198">
        <f t="shared" si="65"/>
        <v>-3055</v>
      </c>
    </row>
    <row r="106" spans="2:27" ht="25.9" customHeight="1" thickTop="1" thickBot="1">
      <c r="E106" s="530" t="s">
        <v>460</v>
      </c>
      <c r="F106" s="531"/>
      <c r="G106" s="482">
        <f>G63+G40-G100</f>
        <v>884555</v>
      </c>
      <c r="H106" s="482">
        <f t="shared" ref="H106:R106" si="66">H63+H40-H100</f>
        <v>2641268</v>
      </c>
      <c r="I106" s="482">
        <f t="shared" si="66"/>
        <v>699929</v>
      </c>
      <c r="J106" s="482">
        <f t="shared" si="66"/>
        <v>930541</v>
      </c>
      <c r="K106" s="482">
        <f t="shared" si="66"/>
        <v>1002764</v>
      </c>
      <c r="L106" s="482">
        <f t="shared" si="66"/>
        <v>2065124</v>
      </c>
      <c r="M106" s="482">
        <f t="shared" si="66"/>
        <v>1049744</v>
      </c>
      <c r="N106" s="482">
        <f t="shared" si="66"/>
        <v>848049</v>
      </c>
      <c r="O106" s="482">
        <f t="shared" si="66"/>
        <v>1042024</v>
      </c>
      <c r="P106" s="482">
        <f t="shared" si="66"/>
        <v>671950</v>
      </c>
      <c r="Q106" s="482">
        <f t="shared" si="66"/>
        <v>801950</v>
      </c>
      <c r="R106" s="482">
        <f t="shared" si="66"/>
        <v>801950</v>
      </c>
      <c r="S106" s="482">
        <f t="shared" ref="Q106:AA106" si="67">S63+S40-S100</f>
        <v>-6126445</v>
      </c>
      <c r="T106" s="482">
        <f t="shared" si="67"/>
        <v>-6126445</v>
      </c>
      <c r="U106" s="482">
        <f t="shared" si="67"/>
        <v>0</v>
      </c>
      <c r="V106" s="482">
        <f t="shared" si="67"/>
        <v>0</v>
      </c>
      <c r="W106" s="482">
        <f t="shared" si="67"/>
        <v>0</v>
      </c>
      <c r="X106" s="482">
        <f t="shared" si="67"/>
        <v>0</v>
      </c>
      <c r="Y106" s="482">
        <f t="shared" si="67"/>
        <v>0</v>
      </c>
      <c r="Z106" s="482">
        <f t="shared" si="67"/>
        <v>0</v>
      </c>
      <c r="AA106" s="198">
        <f t="shared" si="67"/>
        <v>0</v>
      </c>
    </row>
    <row r="107" spans="2:27" s="263" customFormat="1" ht="38.65" customHeight="1">
      <c r="F107" s="280" t="s">
        <v>338</v>
      </c>
    </row>
    <row r="108" spans="2:27" ht="31.5" customHeight="1">
      <c r="F108" s="281" t="s">
        <v>339</v>
      </c>
      <c r="G108" s="282">
        <f t="shared" ref="G108:Z108" si="68">G105-G107</f>
        <v>36117672</v>
      </c>
      <c r="H108" s="282">
        <f t="shared" si="68"/>
        <v>37408525</v>
      </c>
      <c r="I108" s="282">
        <f t="shared" si="68"/>
        <v>36821753</v>
      </c>
      <c r="J108" s="282">
        <f t="shared" si="68"/>
        <v>36725608.5</v>
      </c>
      <c r="K108" s="282">
        <f t="shared" si="68"/>
        <v>38011242.5</v>
      </c>
      <c r="L108" s="282">
        <f t="shared" si="68"/>
        <v>39626012.5</v>
      </c>
      <c r="M108" s="282">
        <f t="shared" si="68"/>
        <v>39295303.289999999</v>
      </c>
      <c r="N108" s="282">
        <f t="shared" si="68"/>
        <v>37173890.289999999</v>
      </c>
      <c r="O108" s="282">
        <f t="shared" si="68"/>
        <v>35248489.289999999</v>
      </c>
      <c r="P108" s="282">
        <f t="shared" si="68"/>
        <v>36087105.289999999</v>
      </c>
      <c r="Q108" s="282">
        <f t="shared" si="68"/>
        <v>36886000.289999999</v>
      </c>
      <c r="R108" s="282">
        <f t="shared" si="68"/>
        <v>37684895.289999999</v>
      </c>
      <c r="S108" s="282">
        <f t="shared" si="68"/>
        <v>37684895.289999999</v>
      </c>
      <c r="T108" s="282">
        <f t="shared" si="68"/>
        <v>0</v>
      </c>
      <c r="U108" s="282">
        <f t="shared" si="68"/>
        <v>0</v>
      </c>
      <c r="V108" s="282">
        <f t="shared" si="68"/>
        <v>0</v>
      </c>
      <c r="W108" s="282">
        <f t="shared" si="68"/>
        <v>0</v>
      </c>
      <c r="X108" s="282">
        <f t="shared" si="68"/>
        <v>0</v>
      </c>
      <c r="Y108" s="282">
        <f t="shared" si="68"/>
        <v>0</v>
      </c>
      <c r="Z108" s="282">
        <f t="shared" si="68"/>
        <v>0</v>
      </c>
    </row>
    <row r="109" spans="2:27">
      <c r="D109" s="283"/>
    </row>
    <row r="110" spans="2:27">
      <c r="B110" s="284" t="s">
        <v>340</v>
      </c>
      <c r="C110" s="284"/>
      <c r="D110" s="285" t="s">
        <v>341</v>
      </c>
      <c r="E110" s="285"/>
      <c r="F110" s="285" t="s">
        <v>342</v>
      </c>
    </row>
    <row r="111" spans="2:27" ht="17.649999999999999">
      <c r="B111" s="286" t="s">
        <v>343</v>
      </c>
      <c r="C111" s="286" t="s">
        <v>344</v>
      </c>
      <c r="D111" s="286" t="s">
        <v>345</v>
      </c>
      <c r="E111" s="286" t="s">
        <v>346</v>
      </c>
      <c r="F111" s="286" t="s">
        <v>347</v>
      </c>
      <c r="G111" s="207" t="str">
        <f t="shared" ref="G111:Z111" si="69">IF($E111&gt;=G$110,$F111,0)</f>
        <v>備考</v>
      </c>
      <c r="H111" s="207" t="str">
        <f t="shared" si="69"/>
        <v>備考</v>
      </c>
      <c r="I111" s="207" t="str">
        <f t="shared" si="69"/>
        <v>備考</v>
      </c>
      <c r="J111" s="207" t="str">
        <f t="shared" si="69"/>
        <v>備考</v>
      </c>
      <c r="K111" s="207" t="str">
        <f t="shared" si="69"/>
        <v>備考</v>
      </c>
      <c r="L111" s="207" t="str">
        <f t="shared" si="69"/>
        <v>備考</v>
      </c>
      <c r="M111" s="207" t="str">
        <f t="shared" si="69"/>
        <v>備考</v>
      </c>
      <c r="N111" s="207" t="str">
        <f t="shared" si="69"/>
        <v>備考</v>
      </c>
      <c r="O111" s="207" t="str">
        <f t="shared" si="69"/>
        <v>備考</v>
      </c>
      <c r="P111" s="207" t="str">
        <f t="shared" si="69"/>
        <v>備考</v>
      </c>
      <c r="Q111" s="207" t="str">
        <f t="shared" si="69"/>
        <v>備考</v>
      </c>
      <c r="R111" s="207" t="str">
        <f t="shared" si="69"/>
        <v>備考</v>
      </c>
      <c r="S111" s="207" t="str">
        <f t="shared" si="69"/>
        <v>備考</v>
      </c>
      <c r="T111" s="207" t="str">
        <f t="shared" si="69"/>
        <v>備考</v>
      </c>
      <c r="U111" s="207" t="str">
        <f t="shared" si="69"/>
        <v>備考</v>
      </c>
      <c r="V111" s="207" t="str">
        <f t="shared" si="69"/>
        <v>備考</v>
      </c>
      <c r="W111" s="207" t="str">
        <f t="shared" si="69"/>
        <v>備考</v>
      </c>
      <c r="X111" s="207" t="str">
        <f t="shared" si="69"/>
        <v>備考</v>
      </c>
      <c r="Y111" s="207" t="str">
        <f t="shared" si="69"/>
        <v>備考</v>
      </c>
      <c r="Z111" s="207" t="str">
        <f t="shared" si="69"/>
        <v>備考</v>
      </c>
    </row>
    <row r="112" spans="2:27" ht="17.649999999999999">
      <c r="B112" s="286"/>
      <c r="C112" s="287"/>
      <c r="D112" s="288"/>
      <c r="E112" s="289"/>
      <c r="F112" s="286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</row>
    <row r="113" spans="2:26" ht="17.649999999999999">
      <c r="B113" s="286" t="s">
        <v>348</v>
      </c>
      <c r="C113" s="287">
        <v>245000</v>
      </c>
      <c r="D113" s="287">
        <v>23000000</v>
      </c>
      <c r="E113" s="289">
        <v>48913</v>
      </c>
      <c r="F113" s="286" t="s">
        <v>461</v>
      </c>
      <c r="G113" s="290"/>
      <c r="H113" s="290"/>
      <c r="I113" s="290"/>
      <c r="J113" s="290"/>
      <c r="K113" s="290"/>
      <c r="L113" s="290"/>
      <c r="M113" s="290"/>
      <c r="N113" s="290">
        <v>215000</v>
      </c>
      <c r="O113" s="290">
        <v>245000</v>
      </c>
      <c r="P113" s="290">
        <v>245000</v>
      </c>
      <c r="Q113" s="290">
        <v>245000</v>
      </c>
      <c r="R113" s="290">
        <v>245000</v>
      </c>
      <c r="S113" s="290">
        <v>245000</v>
      </c>
      <c r="T113" s="290">
        <v>245000</v>
      </c>
      <c r="U113" s="290">
        <v>245000</v>
      </c>
      <c r="V113" s="290">
        <v>245000</v>
      </c>
      <c r="W113" s="290">
        <v>245000</v>
      </c>
      <c r="X113" s="290">
        <v>245000</v>
      </c>
      <c r="Y113" s="290">
        <v>245000</v>
      </c>
      <c r="Z113" s="290">
        <v>245000</v>
      </c>
    </row>
    <row r="114" spans="2:26" ht="17.649999999999999">
      <c r="B114" s="286" t="s">
        <v>462</v>
      </c>
      <c r="C114" s="287">
        <v>239000</v>
      </c>
      <c r="D114" s="287">
        <v>20000000</v>
      </c>
      <c r="E114" s="289">
        <v>48852</v>
      </c>
      <c r="F114" s="286" t="s">
        <v>463</v>
      </c>
      <c r="G114" s="290"/>
      <c r="H114" s="290"/>
      <c r="I114" s="290"/>
      <c r="J114" s="290"/>
      <c r="K114" s="290"/>
      <c r="L114" s="290"/>
      <c r="M114" s="290"/>
      <c r="N114" s="290"/>
      <c r="O114" s="290"/>
      <c r="P114" s="290"/>
      <c r="Q114" s="290"/>
      <c r="R114" s="290"/>
      <c r="S114" s="290"/>
      <c r="T114" s="290"/>
      <c r="U114" s="290"/>
      <c r="V114" s="290"/>
      <c r="W114" s="290">
        <v>239000</v>
      </c>
      <c r="X114" s="290">
        <v>239000</v>
      </c>
      <c r="Y114" s="290">
        <v>239000</v>
      </c>
      <c r="Z114" s="290">
        <v>239000</v>
      </c>
    </row>
    <row r="115" spans="2:26" ht="17.649999999999999">
      <c r="B115" s="286" t="s">
        <v>464</v>
      </c>
      <c r="C115" s="287">
        <v>239000</v>
      </c>
      <c r="D115" s="287">
        <v>20000000</v>
      </c>
      <c r="E115" s="289">
        <v>49018</v>
      </c>
      <c r="F115" s="286" t="s">
        <v>465</v>
      </c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</row>
    <row r="116" spans="2:26" ht="17.649999999999999">
      <c r="B116" s="286" t="s">
        <v>466</v>
      </c>
      <c r="C116" s="287">
        <v>715000</v>
      </c>
      <c r="D116" s="287">
        <v>60000000</v>
      </c>
      <c r="E116" s="289">
        <v>49025</v>
      </c>
      <c r="F116" s="286" t="s">
        <v>467</v>
      </c>
      <c r="G116" s="290"/>
      <c r="H116" s="290"/>
      <c r="I116" s="290"/>
      <c r="J116" s="290"/>
      <c r="K116" s="290"/>
      <c r="L116" s="290"/>
      <c r="M116" s="290"/>
      <c r="N116" s="290"/>
      <c r="O116" s="290"/>
      <c r="P116" s="290"/>
      <c r="Q116" s="290"/>
      <c r="R116" s="290"/>
      <c r="S116" s="290"/>
      <c r="T116" s="290"/>
      <c r="U116" s="290"/>
      <c r="V116" s="290"/>
      <c r="W116" s="290"/>
      <c r="X116" s="290"/>
      <c r="Y116" s="290"/>
      <c r="Z116" s="290"/>
    </row>
    <row r="117" spans="2:26" ht="17.649999999999999">
      <c r="B117" s="286"/>
      <c r="C117" s="287"/>
      <c r="D117" s="287"/>
      <c r="E117" s="289"/>
      <c r="F117" s="286"/>
      <c r="G117" s="290"/>
      <c r="H117" s="290"/>
      <c r="I117" s="290"/>
      <c r="J117" s="290"/>
      <c r="K117" s="290"/>
      <c r="L117" s="290"/>
      <c r="M117" s="290"/>
      <c r="N117" s="290"/>
      <c r="O117" s="290"/>
      <c r="P117" s="290"/>
      <c r="Q117" s="290"/>
      <c r="R117" s="290"/>
      <c r="S117" s="290"/>
      <c r="T117" s="290"/>
      <c r="U117" s="290"/>
      <c r="V117" s="290"/>
      <c r="W117" s="290"/>
      <c r="X117" s="290"/>
      <c r="Y117" s="290"/>
      <c r="Z117" s="290"/>
    </row>
    <row r="118" spans="2:26" ht="17.649999999999999">
      <c r="B118" s="286" t="s">
        <v>349</v>
      </c>
      <c r="C118" s="287">
        <v>235000</v>
      </c>
      <c r="D118" s="287">
        <v>20000000</v>
      </c>
      <c r="E118" s="289">
        <v>47938</v>
      </c>
      <c r="F118" s="286" t="s">
        <v>350</v>
      </c>
      <c r="G118" s="290">
        <v>235000</v>
      </c>
      <c r="H118" s="290">
        <v>235000</v>
      </c>
      <c r="I118" s="290">
        <v>235000</v>
      </c>
      <c r="J118" s="290">
        <v>235000</v>
      </c>
      <c r="K118" s="290">
        <v>235000</v>
      </c>
      <c r="L118" s="290">
        <v>235000</v>
      </c>
      <c r="M118" s="290">
        <v>235000</v>
      </c>
      <c r="N118" s="290">
        <v>235000</v>
      </c>
      <c r="O118" s="290">
        <v>235000</v>
      </c>
      <c r="P118" s="290">
        <v>235000</v>
      </c>
      <c r="Q118" s="290">
        <v>235000</v>
      </c>
      <c r="R118" s="290">
        <v>235000</v>
      </c>
      <c r="S118" s="290">
        <v>235000</v>
      </c>
      <c r="T118" s="290">
        <v>235000</v>
      </c>
      <c r="U118" s="290">
        <v>235000</v>
      </c>
      <c r="V118" s="290">
        <v>235000</v>
      </c>
      <c r="W118" s="290">
        <v>235000</v>
      </c>
      <c r="X118" s="290">
        <v>235000</v>
      </c>
      <c r="Y118" s="290">
        <v>235000</v>
      </c>
      <c r="Z118" s="290">
        <v>235000</v>
      </c>
    </row>
    <row r="119" spans="2:26" ht="17.649999999999999">
      <c r="B119" s="286"/>
      <c r="C119" s="287"/>
      <c r="D119" s="287"/>
      <c r="E119" s="291"/>
      <c r="F119" s="286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</row>
    <row r="120" spans="2:26" ht="17.649999999999999">
      <c r="B120" s="286" t="s">
        <v>351</v>
      </c>
      <c r="C120" s="287">
        <f>SUM(C112:C118)</f>
        <v>1673000</v>
      </c>
      <c r="D120" s="287">
        <f>SUM(D112:D119)</f>
        <v>143000000</v>
      </c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</row>
    <row r="121" spans="2:26" ht="17.649999999999999" hidden="1">
      <c r="B121"/>
      <c r="C121"/>
      <c r="D121"/>
      <c r="E121"/>
      <c r="F121"/>
    </row>
    <row r="124" spans="2:26" s="207" customFormat="1" ht="35.65" customHeight="1">
      <c r="B124" s="292" t="s">
        <v>352</v>
      </c>
      <c r="C124" s="293"/>
      <c r="D124" s="293"/>
      <c r="E124" s="293"/>
      <c r="F124" s="294" t="s">
        <v>353</v>
      </c>
      <c r="G124" s="295">
        <f t="shared" ref="G124:Z124" si="70">SUM(G126:G136,G112:G119)</f>
        <v>235000</v>
      </c>
      <c r="H124" s="295">
        <f t="shared" si="70"/>
        <v>335000</v>
      </c>
      <c r="I124" s="295">
        <f t="shared" si="70"/>
        <v>335000</v>
      </c>
      <c r="J124" s="295">
        <f t="shared" si="70"/>
        <v>452000</v>
      </c>
      <c r="K124" s="295">
        <f t="shared" si="70"/>
        <v>452000</v>
      </c>
      <c r="L124" s="295">
        <f t="shared" si="70"/>
        <v>452000</v>
      </c>
      <c r="M124" s="295">
        <f t="shared" si="70"/>
        <v>536000</v>
      </c>
      <c r="N124" s="295">
        <f t="shared" si="70"/>
        <v>751000</v>
      </c>
      <c r="O124" s="295">
        <f t="shared" si="70"/>
        <v>781000</v>
      </c>
      <c r="P124" s="295">
        <f t="shared" si="70"/>
        <v>781000</v>
      </c>
      <c r="Q124" s="295">
        <f t="shared" si="70"/>
        <v>781000</v>
      </c>
      <c r="R124" s="295">
        <f t="shared" si="70"/>
        <v>781000</v>
      </c>
      <c r="S124" s="295">
        <f t="shared" si="70"/>
        <v>781000</v>
      </c>
      <c r="T124" s="295">
        <f t="shared" si="70"/>
        <v>781000</v>
      </c>
      <c r="U124" s="295">
        <f t="shared" si="70"/>
        <v>781000</v>
      </c>
      <c r="V124" s="295">
        <f t="shared" si="70"/>
        <v>781000</v>
      </c>
      <c r="W124" s="295">
        <f t="shared" si="70"/>
        <v>1020000</v>
      </c>
      <c r="X124" s="295">
        <f t="shared" si="70"/>
        <v>1020000</v>
      </c>
      <c r="Y124" s="295">
        <f t="shared" si="70"/>
        <v>1020000</v>
      </c>
      <c r="Z124" s="295">
        <f t="shared" si="70"/>
        <v>1020000</v>
      </c>
    </row>
    <row r="125" spans="2:26" s="207" customFormat="1">
      <c r="B125" s="296"/>
      <c r="C125" s="296" t="s">
        <v>344</v>
      </c>
      <c r="D125" s="296" t="s">
        <v>354</v>
      </c>
      <c r="E125" s="296" t="s">
        <v>346</v>
      </c>
      <c r="F125" s="296" t="s">
        <v>347</v>
      </c>
    </row>
    <row r="126" spans="2:26" s="207" customFormat="1">
      <c r="B126" s="296"/>
      <c r="C126" s="290"/>
      <c r="D126" s="290"/>
      <c r="E126" s="297"/>
      <c r="G126" s="290"/>
      <c r="H126" s="290"/>
      <c r="I126" s="290"/>
      <c r="J126" s="290"/>
      <c r="K126" s="290"/>
      <c r="L126" s="290"/>
      <c r="M126" s="290"/>
    </row>
    <row r="127" spans="2:26" s="207" customFormat="1">
      <c r="B127" s="296" t="s">
        <v>355</v>
      </c>
      <c r="C127" s="290">
        <v>117000</v>
      </c>
      <c r="D127" s="290">
        <v>7000000</v>
      </c>
      <c r="E127" s="297">
        <v>47756</v>
      </c>
      <c r="F127" s="207" t="s">
        <v>356</v>
      </c>
      <c r="G127" s="290"/>
      <c r="H127" s="290"/>
      <c r="I127" s="290"/>
      <c r="J127" s="290">
        <v>117000</v>
      </c>
      <c r="K127" s="290">
        <v>117000</v>
      </c>
      <c r="L127" s="290">
        <v>117000</v>
      </c>
      <c r="M127" s="290">
        <v>117000</v>
      </c>
      <c r="N127" s="290">
        <v>117000</v>
      </c>
      <c r="O127" s="290">
        <v>117000</v>
      </c>
      <c r="P127" s="290">
        <v>117000</v>
      </c>
      <c r="Q127" s="290">
        <v>117000</v>
      </c>
      <c r="R127" s="290">
        <v>117000</v>
      </c>
      <c r="S127" s="290">
        <v>117000</v>
      </c>
      <c r="T127" s="290">
        <v>117000</v>
      </c>
      <c r="U127" s="290">
        <v>117000</v>
      </c>
      <c r="V127" s="290">
        <v>117000</v>
      </c>
      <c r="W127" s="290">
        <v>117000</v>
      </c>
      <c r="X127" s="290">
        <v>117000</v>
      </c>
      <c r="Y127" s="290">
        <v>117000</v>
      </c>
      <c r="Z127" s="290">
        <v>117000</v>
      </c>
    </row>
    <row r="128" spans="2:26" s="207" customFormat="1">
      <c r="B128" s="296"/>
      <c r="C128" s="290"/>
      <c r="D128" s="290"/>
      <c r="E128" s="297"/>
      <c r="F128" s="296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</row>
    <row r="129" spans="2:26" s="207" customFormat="1">
      <c r="B129" s="296" t="s">
        <v>357</v>
      </c>
      <c r="C129" s="290">
        <v>120000</v>
      </c>
      <c r="D129" s="290">
        <v>10000000</v>
      </c>
      <c r="E129" s="297">
        <v>49084</v>
      </c>
      <c r="F129" s="297">
        <v>46558</v>
      </c>
      <c r="G129" s="290"/>
      <c r="H129" s="290"/>
      <c r="I129" s="290"/>
      <c r="J129" s="290"/>
      <c r="K129" s="290"/>
      <c r="L129" s="290"/>
      <c r="M129" s="290"/>
    </row>
    <row r="130" spans="2:26" s="207" customFormat="1">
      <c r="B130" s="296"/>
      <c r="C130" s="290"/>
      <c r="D130" s="290"/>
      <c r="E130" s="297"/>
      <c r="F130" s="297"/>
      <c r="G130" s="290"/>
      <c r="H130" s="290"/>
      <c r="I130" s="290"/>
      <c r="J130" s="290"/>
      <c r="K130" s="290"/>
      <c r="L130" s="290"/>
      <c r="M130" s="290"/>
    </row>
    <row r="131" spans="2:26" s="207" customFormat="1">
      <c r="B131" s="296" t="s">
        <v>358</v>
      </c>
      <c r="C131" s="290">
        <v>84000</v>
      </c>
      <c r="D131" s="290">
        <v>5000000</v>
      </c>
      <c r="E131" s="297">
        <v>47817</v>
      </c>
      <c r="F131" s="297">
        <v>46027</v>
      </c>
      <c r="G131" s="290"/>
      <c r="H131" s="290"/>
      <c r="I131" s="290"/>
      <c r="J131" s="290"/>
      <c r="K131" s="290"/>
      <c r="L131" s="290"/>
      <c r="M131" s="290">
        <v>84000</v>
      </c>
      <c r="N131" s="290">
        <v>84000</v>
      </c>
      <c r="O131" s="290">
        <v>84000</v>
      </c>
      <c r="P131" s="290">
        <v>84000</v>
      </c>
      <c r="Q131" s="290">
        <v>84000</v>
      </c>
      <c r="R131" s="290">
        <v>84000</v>
      </c>
      <c r="S131" s="290">
        <v>84000</v>
      </c>
      <c r="T131" s="290">
        <v>84000</v>
      </c>
      <c r="U131" s="290">
        <v>84000</v>
      </c>
      <c r="V131" s="290">
        <v>84000</v>
      </c>
      <c r="W131" s="290">
        <v>84000</v>
      </c>
      <c r="X131" s="290">
        <v>84000</v>
      </c>
      <c r="Y131" s="290">
        <v>84000</v>
      </c>
      <c r="Z131" s="290">
        <v>84000</v>
      </c>
    </row>
    <row r="132" spans="2:26" s="207" customFormat="1">
      <c r="B132" s="296"/>
      <c r="C132" s="290"/>
      <c r="D132" s="290"/>
      <c r="E132" s="297"/>
      <c r="F132" s="297"/>
      <c r="G132" s="290"/>
      <c r="H132" s="290"/>
      <c r="I132" s="290"/>
      <c r="J132" s="290"/>
      <c r="K132" s="290"/>
      <c r="L132" s="290"/>
      <c r="M132" s="290"/>
    </row>
    <row r="133" spans="2:26" s="207" customFormat="1">
      <c r="B133" s="296" t="s">
        <v>359</v>
      </c>
      <c r="C133" s="290">
        <v>50000</v>
      </c>
      <c r="D133" s="290">
        <v>3000000</v>
      </c>
      <c r="E133" s="297">
        <v>47686</v>
      </c>
      <c r="F133" s="297">
        <v>45891</v>
      </c>
      <c r="G133" s="290"/>
      <c r="H133" s="290">
        <v>50000</v>
      </c>
      <c r="I133" s="290">
        <v>50000</v>
      </c>
      <c r="J133" s="290">
        <v>50000</v>
      </c>
      <c r="K133" s="290">
        <v>50000</v>
      </c>
      <c r="L133" s="290">
        <v>50000</v>
      </c>
      <c r="M133" s="290">
        <v>50000</v>
      </c>
      <c r="N133" s="290">
        <v>50000</v>
      </c>
      <c r="O133" s="290">
        <v>50000</v>
      </c>
      <c r="P133" s="290">
        <v>50000</v>
      </c>
      <c r="Q133" s="290">
        <v>50000</v>
      </c>
      <c r="R133" s="290">
        <v>50000</v>
      </c>
      <c r="S133" s="290">
        <v>50000</v>
      </c>
      <c r="T133" s="290">
        <v>50000</v>
      </c>
      <c r="U133" s="290">
        <v>50000</v>
      </c>
      <c r="V133" s="290">
        <v>50000</v>
      </c>
      <c r="W133" s="290">
        <v>50000</v>
      </c>
      <c r="X133" s="290">
        <v>50000</v>
      </c>
      <c r="Y133" s="290">
        <v>50000</v>
      </c>
      <c r="Z133" s="290">
        <v>50000</v>
      </c>
    </row>
    <row r="134" spans="2:26" s="207" customFormat="1">
      <c r="B134" s="296" t="s">
        <v>360</v>
      </c>
      <c r="C134" s="290">
        <v>50000</v>
      </c>
      <c r="D134" s="290">
        <v>3000000</v>
      </c>
      <c r="E134" s="297">
        <v>47686</v>
      </c>
      <c r="F134" s="297">
        <v>45891</v>
      </c>
      <c r="G134" s="290"/>
      <c r="H134" s="290">
        <v>50000</v>
      </c>
      <c r="I134" s="290">
        <v>50000</v>
      </c>
      <c r="J134" s="290">
        <v>50000</v>
      </c>
      <c r="K134" s="290">
        <v>50000</v>
      </c>
      <c r="L134" s="290">
        <v>50000</v>
      </c>
      <c r="M134" s="290">
        <v>50000</v>
      </c>
      <c r="N134" s="290">
        <v>50000</v>
      </c>
      <c r="O134" s="290">
        <v>50000</v>
      </c>
      <c r="P134" s="290">
        <v>50000</v>
      </c>
      <c r="Q134" s="290">
        <v>50000</v>
      </c>
      <c r="R134" s="290">
        <v>50000</v>
      </c>
      <c r="S134" s="290">
        <v>50000</v>
      </c>
      <c r="T134" s="290">
        <v>50000</v>
      </c>
      <c r="U134" s="290">
        <v>50000</v>
      </c>
      <c r="V134" s="290">
        <v>50000</v>
      </c>
      <c r="W134" s="290">
        <v>50000</v>
      </c>
      <c r="X134" s="290">
        <v>50000</v>
      </c>
      <c r="Y134" s="290">
        <v>50000</v>
      </c>
      <c r="Z134" s="290">
        <v>50000</v>
      </c>
    </row>
    <row r="135" spans="2:26" s="207" customFormat="1">
      <c r="C135" s="290"/>
      <c r="D135" s="290"/>
      <c r="G135" s="290"/>
      <c r="H135" s="290"/>
      <c r="I135" s="290"/>
      <c r="J135" s="290"/>
      <c r="K135" s="290"/>
      <c r="L135" s="290"/>
      <c r="M135" s="290"/>
    </row>
    <row r="136" spans="2:26" s="207" customFormat="1">
      <c r="G136" s="290"/>
      <c r="H136" s="290"/>
      <c r="I136" s="290"/>
      <c r="J136" s="290"/>
      <c r="K136" s="290"/>
      <c r="L136" s="290"/>
      <c r="M136" s="290"/>
    </row>
    <row r="137" spans="2:26">
      <c r="G137" s="263"/>
      <c r="H137" s="263"/>
      <c r="I137" s="263"/>
      <c r="J137" s="263"/>
      <c r="K137" s="263"/>
      <c r="L137" s="263"/>
      <c r="M137" s="263"/>
    </row>
    <row r="142" spans="2:26">
      <c r="F142" s="198">
        <f>IF(D142&lt;&gt;0,VLOOKUP([1]収支予測!D142,#REF!,2),0)</f>
        <v>0</v>
      </c>
    </row>
    <row r="143" spans="2:26">
      <c r="F143" s="198">
        <f>IF(D143&lt;&gt;0,VLOOKUP([1]収支予測!D143,#REF!,2),0)</f>
        <v>0</v>
      </c>
    </row>
    <row r="144" spans="2:26">
      <c r="F144" s="198">
        <f>IF(D144&lt;&gt;0,VLOOKUP([1]収支予測!D144,#REF!,2),0)</f>
        <v>0</v>
      </c>
    </row>
    <row r="145" spans="6:6">
      <c r="F145" s="198">
        <f>IF(D145&lt;&gt;0,VLOOKUP([1]収支予測!D145,#REF!,2),0)</f>
        <v>0</v>
      </c>
    </row>
    <row r="146" spans="6:6">
      <c r="F146" s="198">
        <f>IF(D146&lt;&gt;0,VLOOKUP([1]収支予測!D146,#REF!,2),0)</f>
        <v>0</v>
      </c>
    </row>
    <row r="147" spans="6:6">
      <c r="F147" s="198">
        <f>IF(D147&lt;&gt;0,VLOOKUP([1]収支予測!D147,#REF!,2),0)</f>
        <v>0</v>
      </c>
    </row>
    <row r="148" spans="6:6">
      <c r="F148" s="198">
        <f>IF(D148&lt;&gt;0,VLOOKUP([1]収支予測!D148,#REF!,2),0)</f>
        <v>0</v>
      </c>
    </row>
    <row r="149" spans="6:6">
      <c r="F149" s="198">
        <f>IF(D149&lt;&gt;0,VLOOKUP([1]収支予測!D149,#REF!,2),0)</f>
        <v>0</v>
      </c>
    </row>
    <row r="150" spans="6:6">
      <c r="F150" s="198">
        <f>IF(D150&lt;&gt;0,VLOOKUP([1]収支予測!D150,#REF!,2),0)</f>
        <v>0</v>
      </c>
    </row>
    <row r="151" spans="6:6">
      <c r="F151" s="198">
        <f>IF(D151&lt;&gt;0,VLOOKUP([1]収支予測!D151,#REF!,2),0)</f>
        <v>0</v>
      </c>
    </row>
    <row r="152" spans="6:6">
      <c r="F152" s="198">
        <f>IF(D152&lt;&gt;0,VLOOKUP([1]収支予測!D152,#REF!,2),0)</f>
        <v>0</v>
      </c>
    </row>
    <row r="153" spans="6:6">
      <c r="F153" s="198">
        <f>IF(D153&lt;&gt;0,VLOOKUP([1]収支予測!D153,#REF!,2),0)</f>
        <v>0</v>
      </c>
    </row>
    <row r="154" spans="6:6">
      <c r="F154" s="198">
        <f>IF(D154&lt;&gt;0,VLOOKUP([1]収支予測!D154,#REF!,2),0)</f>
        <v>0</v>
      </c>
    </row>
    <row r="155" spans="6:6">
      <c r="F155" s="198">
        <f>IF(D155&lt;&gt;0,VLOOKUP([1]収支予測!D155,#REF!,2),0)</f>
        <v>0</v>
      </c>
    </row>
    <row r="156" spans="6:6">
      <c r="F156" s="198">
        <f>IF(D156&lt;&gt;0,VLOOKUP([1]収支予測!D156,#REF!,2),0)</f>
        <v>0</v>
      </c>
    </row>
    <row r="157" spans="6:6">
      <c r="F157" s="198">
        <f>IF(D157&lt;&gt;0,VLOOKUP([1]収支予測!D157,#REF!,2),0)</f>
        <v>0</v>
      </c>
    </row>
    <row r="158" spans="6:6">
      <c r="F158" s="198">
        <f>IF(D158&lt;&gt;0,VLOOKUP([1]収支予測!D158,#REF!,2),0)</f>
        <v>0</v>
      </c>
    </row>
    <row r="159" spans="6:6">
      <c r="F159" s="198">
        <f>IF(D159&lt;&gt;0,VLOOKUP([1]収支予測!D159,#REF!,2),0)</f>
        <v>0</v>
      </c>
    </row>
    <row r="160" spans="6:6">
      <c r="F160" s="198">
        <f>IF(D160&lt;&gt;0,VLOOKUP([1]収支予測!D160,#REF!,2),0)</f>
        <v>0</v>
      </c>
    </row>
    <row r="161" spans="6:6">
      <c r="F161" s="198">
        <f>IF(D161&lt;&gt;0,VLOOKUP([1]収支予測!D161,#REF!,2),0)</f>
        <v>0</v>
      </c>
    </row>
    <row r="162" spans="6:6">
      <c r="F162" s="198">
        <f>IF(D162&lt;&gt;0,VLOOKUP([1]収支予測!D162,#REF!,2),0)</f>
        <v>0</v>
      </c>
    </row>
    <row r="163" spans="6:6">
      <c r="F163" s="198">
        <f>IF(D163&lt;&gt;0,VLOOKUP([1]収支予測!D163,#REF!,2),0)</f>
        <v>0</v>
      </c>
    </row>
    <row r="164" spans="6:6">
      <c r="F164" s="198">
        <f>IF(D164&lt;&gt;0,VLOOKUP([1]収支予測!D164,#REF!,2),0)</f>
        <v>0</v>
      </c>
    </row>
    <row r="165" spans="6:6">
      <c r="F165" s="198">
        <f>IF(D165&lt;&gt;0,VLOOKUP([1]収支予測!D165,#REF!,2),0)</f>
        <v>0</v>
      </c>
    </row>
    <row r="166" spans="6:6">
      <c r="F166" s="198">
        <f>IF(D166&lt;&gt;0,VLOOKUP([1]収支予測!D166,#REF!,2),0)</f>
        <v>0</v>
      </c>
    </row>
    <row r="167" spans="6:6">
      <c r="F167" s="198">
        <f>IF(D167&lt;&gt;0,VLOOKUP([1]収支予測!D167,#REF!,2),0)</f>
        <v>0</v>
      </c>
    </row>
    <row r="168" spans="6:6">
      <c r="F168" s="198">
        <f>IF(D168&lt;&gt;0,VLOOKUP([1]収支予測!D168,#REF!,2),0)</f>
        <v>0</v>
      </c>
    </row>
    <row r="169" spans="6:6">
      <c r="F169" s="198">
        <f>IF(D169&lt;&gt;0,VLOOKUP([1]収支予測!D169,#REF!,2),0)</f>
        <v>0</v>
      </c>
    </row>
    <row r="170" spans="6:6">
      <c r="F170" s="198">
        <f>IF(D170&lt;&gt;0,VLOOKUP([1]収支予測!D170,#REF!,2),0)</f>
        <v>0</v>
      </c>
    </row>
    <row r="171" spans="6:6">
      <c r="F171" s="198">
        <f>IF(D171&lt;&gt;0,VLOOKUP([1]収支予測!D171,#REF!,2),0)</f>
        <v>0</v>
      </c>
    </row>
    <row r="172" spans="6:6">
      <c r="F172" s="198">
        <f>IF(D172&lt;&gt;0,VLOOKUP([1]収支予測!D172,#REF!,2),0)</f>
        <v>0</v>
      </c>
    </row>
    <row r="173" spans="6:6">
      <c r="F173" s="198">
        <f>IF(D173&lt;&gt;0,VLOOKUP([1]収支予測!D173,#REF!,2),0)</f>
        <v>0</v>
      </c>
    </row>
    <row r="174" spans="6:6">
      <c r="F174" s="198">
        <f>IF(D174&lt;&gt;0,VLOOKUP([1]収支予測!D174,#REF!,2),0)</f>
        <v>0</v>
      </c>
    </row>
    <row r="175" spans="6:6">
      <c r="F175" s="198">
        <f>IF(D175&lt;&gt;0,VLOOKUP([1]収支予測!D175,#REF!,2),0)</f>
        <v>0</v>
      </c>
    </row>
    <row r="176" spans="6:6">
      <c r="F176" s="198">
        <f>IF(D176&lt;&gt;0,VLOOKUP([1]収支予測!D176,#REF!,2),0)</f>
        <v>0</v>
      </c>
    </row>
    <row r="177" spans="6:6">
      <c r="F177" s="198">
        <f>IF(D177&lt;&gt;0,VLOOKUP([1]収支予測!D177,#REF!,2),0)</f>
        <v>0</v>
      </c>
    </row>
    <row r="178" spans="6:6">
      <c r="F178" s="198">
        <f>IF(D178&lt;&gt;0,VLOOKUP([1]収支予測!D178,#REF!,2),0)</f>
        <v>0</v>
      </c>
    </row>
    <row r="179" spans="6:6">
      <c r="F179" s="198">
        <f>IF(D179&lt;&gt;0,VLOOKUP([1]収支予測!D179,#REF!,2),0)</f>
        <v>0</v>
      </c>
    </row>
    <row r="180" spans="6:6">
      <c r="F180" s="198">
        <f>IF(D180&lt;&gt;0,VLOOKUP([1]収支予測!D180,#REF!,2),0)</f>
        <v>0</v>
      </c>
    </row>
    <row r="181" spans="6:6">
      <c r="F181" s="198">
        <f>IF(D181&lt;&gt;0,VLOOKUP([1]収支予測!D181,#REF!,2),0)</f>
        <v>0</v>
      </c>
    </row>
    <row r="182" spans="6:6">
      <c r="F182" s="198">
        <f>IF(D182&lt;&gt;0,VLOOKUP([1]収支予測!D182,#REF!,2),0)</f>
        <v>0</v>
      </c>
    </row>
    <row r="183" spans="6:6">
      <c r="F183" s="198">
        <f>IF(D183&lt;&gt;0,VLOOKUP([1]収支予測!D183,#REF!,2),0)</f>
        <v>0</v>
      </c>
    </row>
    <row r="184" spans="6:6">
      <c r="F184" s="198">
        <f>IF(D184&lt;&gt;0,VLOOKUP([1]収支予測!D184,#REF!,2),0)</f>
        <v>0</v>
      </c>
    </row>
    <row r="185" spans="6:6">
      <c r="F185" s="198">
        <f>IF(D185&lt;&gt;0,VLOOKUP([1]収支予測!D185,#REF!,2),0)</f>
        <v>0</v>
      </c>
    </row>
    <row r="186" spans="6:6">
      <c r="F186" s="198">
        <f>IF(D186&lt;&gt;0,VLOOKUP([1]収支予測!D186,#REF!,2),0)</f>
        <v>0</v>
      </c>
    </row>
    <row r="187" spans="6:6">
      <c r="F187" s="198">
        <f>IF(D187&lt;&gt;0,VLOOKUP([1]収支予測!D187,#REF!,2),0)</f>
        <v>0</v>
      </c>
    </row>
    <row r="188" spans="6:6">
      <c r="F188" s="198">
        <f>IF(D188&lt;&gt;0,VLOOKUP([1]収支予測!D188,#REF!,2),0)</f>
        <v>0</v>
      </c>
    </row>
    <row r="189" spans="6:6">
      <c r="F189" s="198">
        <f>IF(D189&lt;&gt;0,VLOOKUP([1]収支予測!D189,#REF!,2),0)</f>
        <v>0</v>
      </c>
    </row>
    <row r="190" spans="6:6">
      <c r="F190" s="198">
        <f>IF(D190&lt;&gt;0,VLOOKUP([1]収支予測!D190,#REF!,2),0)</f>
        <v>0</v>
      </c>
    </row>
    <row r="191" spans="6:6">
      <c r="F191" s="198">
        <f>IF(D191&lt;&gt;0,VLOOKUP([1]収支予測!D191,#REF!,2),0)</f>
        <v>0</v>
      </c>
    </row>
    <row r="192" spans="6:6">
      <c r="F192" s="198">
        <f>IF(D192&lt;&gt;0,VLOOKUP([1]収支予測!D192,#REF!,2),0)</f>
        <v>0</v>
      </c>
    </row>
    <row r="193" spans="6:6">
      <c r="F193" s="198">
        <f>IF(D193&lt;&gt;0,VLOOKUP([1]収支予測!D193,#REF!,2),0)</f>
        <v>0</v>
      </c>
    </row>
    <row r="194" spans="6:6">
      <c r="F194" s="198">
        <f>IF(D194&lt;&gt;0,VLOOKUP([1]収支予測!D194,#REF!,2),0)</f>
        <v>0</v>
      </c>
    </row>
    <row r="195" spans="6:6">
      <c r="F195" s="198">
        <f>IF(D195&lt;&gt;0,VLOOKUP([1]収支予測!D195,#REF!,2),0)</f>
        <v>0</v>
      </c>
    </row>
    <row r="196" spans="6:6">
      <c r="F196" s="198">
        <f>IF(D196&lt;&gt;0,VLOOKUP([1]収支予測!D196,#REF!,2),0)</f>
        <v>0</v>
      </c>
    </row>
    <row r="197" spans="6:6">
      <c r="F197" s="198">
        <f>IF(D197&lt;&gt;0,VLOOKUP([1]収支予測!D197,#REF!,2),0)</f>
        <v>0</v>
      </c>
    </row>
    <row r="198" spans="6:6">
      <c r="F198" s="198">
        <f>IF(D198&lt;&gt;0,VLOOKUP([1]収支予測!D198,#REF!,2),0)</f>
        <v>0</v>
      </c>
    </row>
    <row r="199" spans="6:6">
      <c r="F199" s="198">
        <f>IF(D199&lt;&gt;0,VLOOKUP([1]収支予測!D199,#REF!,2),0)</f>
        <v>0</v>
      </c>
    </row>
    <row r="200" spans="6:6">
      <c r="F200" s="198">
        <f>IF(D200&lt;&gt;0,VLOOKUP([1]収支予測!D200,#REF!,2),0)</f>
        <v>0</v>
      </c>
    </row>
    <row r="201" spans="6:6">
      <c r="F201" s="198">
        <f>IF(D201&lt;&gt;0,VLOOKUP([1]収支予測!D201,#REF!,2),0)</f>
        <v>0</v>
      </c>
    </row>
    <row r="202" spans="6:6">
      <c r="F202" s="198">
        <f>IF(D202&lt;&gt;0,VLOOKUP([1]収支予測!D202,#REF!,2),0)</f>
        <v>0</v>
      </c>
    </row>
    <row r="203" spans="6:6">
      <c r="F203" s="198">
        <f>IF(D203&lt;&gt;0,VLOOKUP([1]収支予測!D203,#REF!,2),0)</f>
        <v>0</v>
      </c>
    </row>
    <row r="204" spans="6:6">
      <c r="F204" s="198">
        <f>IF(D204&lt;&gt;0,VLOOKUP([1]収支予測!D204,#REF!,2),0)</f>
        <v>0</v>
      </c>
    </row>
    <row r="205" spans="6:6">
      <c r="F205" s="198">
        <f>IF(D205&lt;&gt;0,VLOOKUP([1]収支予測!D205,#REF!,2),0)</f>
        <v>0</v>
      </c>
    </row>
    <row r="206" spans="6:6">
      <c r="F206" s="198">
        <f>IF(D206&lt;&gt;0,VLOOKUP([1]収支予測!D206,#REF!,2),0)</f>
        <v>0</v>
      </c>
    </row>
    <row r="207" spans="6:6">
      <c r="F207" s="198">
        <f>IF(D207&lt;&gt;0,VLOOKUP([1]収支予測!D207,#REF!,2),0)</f>
        <v>0</v>
      </c>
    </row>
    <row r="208" spans="6:6">
      <c r="F208" s="198">
        <f>IF(D208&lt;&gt;0,VLOOKUP([1]収支予測!D208,#REF!,2),0)</f>
        <v>0</v>
      </c>
    </row>
    <row r="209" spans="6:6">
      <c r="F209" s="198">
        <f>IF(D209&lt;&gt;0,VLOOKUP([1]収支予測!D209,#REF!,2),0)</f>
        <v>0</v>
      </c>
    </row>
    <row r="210" spans="6:6">
      <c r="F210" s="198">
        <f>IF(D210&lt;&gt;0,VLOOKUP([1]収支予測!D210,#REF!,2),0)</f>
        <v>0</v>
      </c>
    </row>
    <row r="211" spans="6:6">
      <c r="F211" s="198">
        <f>IF(D211&lt;&gt;0,VLOOKUP([1]収支予測!D211,#REF!,2),0)</f>
        <v>0</v>
      </c>
    </row>
    <row r="212" spans="6:6">
      <c r="F212" s="198">
        <f>IF(D212&lt;&gt;0,VLOOKUP([1]収支予測!D212,#REF!,2),0)</f>
        <v>0</v>
      </c>
    </row>
    <row r="213" spans="6:6">
      <c r="F213" s="198">
        <f>IF(D213&lt;&gt;0,VLOOKUP([1]収支予測!D213,#REF!,2),0)</f>
        <v>0</v>
      </c>
    </row>
    <row r="214" spans="6:6">
      <c r="F214" s="198">
        <f>IF(D214&lt;&gt;0,VLOOKUP([1]収支予測!D214,#REF!,2),0)</f>
        <v>0</v>
      </c>
    </row>
    <row r="215" spans="6:6">
      <c r="F215" s="198">
        <f>IF(D215&lt;&gt;0,VLOOKUP([1]収支予測!D215,#REF!,2),0)</f>
        <v>0</v>
      </c>
    </row>
    <row r="216" spans="6:6">
      <c r="F216" s="198">
        <f>IF(D216&lt;&gt;0,VLOOKUP([1]収支予測!D216,#REF!,2),0)</f>
        <v>0</v>
      </c>
    </row>
    <row r="217" spans="6:6">
      <c r="F217" s="198">
        <f>IF(D217&lt;&gt;0,VLOOKUP([1]収支予測!D217,#REF!,2),0)</f>
        <v>0</v>
      </c>
    </row>
    <row r="218" spans="6:6">
      <c r="F218" s="198">
        <f>IF(D218&lt;&gt;0,VLOOKUP([1]収支予測!D218,#REF!,2),0)</f>
        <v>0</v>
      </c>
    </row>
    <row r="219" spans="6:6">
      <c r="F219" s="198">
        <f>IF(D219&lt;&gt;0,VLOOKUP([1]収支予測!D219,#REF!,2),0)</f>
        <v>0</v>
      </c>
    </row>
    <row r="220" spans="6:6">
      <c r="F220" s="198">
        <f>IF(D220&lt;&gt;0,VLOOKUP([1]収支予測!D220,#REF!,2),0)</f>
        <v>0</v>
      </c>
    </row>
    <row r="221" spans="6:6">
      <c r="F221" s="198">
        <f>IF(D221&lt;&gt;0,VLOOKUP([1]収支予測!D221,#REF!,2),0)</f>
        <v>0</v>
      </c>
    </row>
    <row r="222" spans="6:6">
      <c r="F222" s="198">
        <f>IF(D222&lt;&gt;0,VLOOKUP([1]収支予測!D222,#REF!,2),0)</f>
        <v>0</v>
      </c>
    </row>
    <row r="223" spans="6:6">
      <c r="F223" s="198">
        <f>IF(D223&lt;&gt;0,VLOOKUP([1]収支予測!D223,#REF!,2),0)</f>
        <v>0</v>
      </c>
    </row>
    <row r="224" spans="6:6">
      <c r="F224" s="198">
        <f>IF(D224&lt;&gt;0,VLOOKUP([1]収支予測!D224,#REF!,2),0)</f>
        <v>0</v>
      </c>
    </row>
    <row r="225" spans="6:6">
      <c r="F225" s="198">
        <f>IF(D225&lt;&gt;0,VLOOKUP([1]収支予測!D225,#REF!,2),0)</f>
        <v>0</v>
      </c>
    </row>
    <row r="226" spans="6:6">
      <c r="F226" s="198">
        <f>IF(D226&lt;&gt;0,VLOOKUP([1]収支予測!D226,#REF!,2),0)</f>
        <v>0</v>
      </c>
    </row>
    <row r="227" spans="6:6">
      <c r="F227" s="198">
        <f>IF(D227&lt;&gt;0,VLOOKUP([1]収支予測!D227,#REF!,2),0)</f>
        <v>0</v>
      </c>
    </row>
    <row r="228" spans="6:6">
      <c r="F228" s="198">
        <f>IF(D228&lt;&gt;0,VLOOKUP([1]収支予測!D228,#REF!,2),0)</f>
        <v>0</v>
      </c>
    </row>
    <row r="229" spans="6:6">
      <c r="F229" s="198">
        <f>IF(D229&lt;&gt;0,VLOOKUP([1]収支予測!D229,#REF!,2),0)</f>
        <v>0</v>
      </c>
    </row>
    <row r="230" spans="6:6">
      <c r="F230" s="198">
        <f>IF(D230&lt;&gt;0,VLOOKUP([1]収支予測!D230,#REF!,2),0)</f>
        <v>0</v>
      </c>
    </row>
    <row r="231" spans="6:6">
      <c r="F231" s="198">
        <f>IF(D231&lt;&gt;0,VLOOKUP([1]収支予測!D231,#REF!,2),0)</f>
        <v>0</v>
      </c>
    </row>
    <row r="232" spans="6:6">
      <c r="F232" s="198">
        <f>IF(D232&lt;&gt;0,VLOOKUP([1]収支予測!D232,#REF!,2),0)</f>
        <v>0</v>
      </c>
    </row>
    <row r="233" spans="6:6">
      <c r="F233" s="198">
        <f>IF(D233&lt;&gt;0,VLOOKUP([1]収支予測!D233,#REF!,2),0)</f>
        <v>0</v>
      </c>
    </row>
    <row r="234" spans="6:6">
      <c r="F234" s="198">
        <f>IF(D234&lt;&gt;0,VLOOKUP([1]収支予測!D234,#REF!,2),0)</f>
        <v>0</v>
      </c>
    </row>
    <row r="235" spans="6:6">
      <c r="F235" s="198">
        <f>IF(D235&lt;&gt;0,VLOOKUP([1]収支予測!D235,#REF!,2),0)</f>
        <v>0</v>
      </c>
    </row>
    <row r="236" spans="6:6">
      <c r="F236" s="198">
        <f>IF(D236&lt;&gt;0,VLOOKUP([1]収支予測!D236,#REF!,2),0)</f>
        <v>0</v>
      </c>
    </row>
    <row r="237" spans="6:6">
      <c r="F237" s="198">
        <f>IF(D237&lt;&gt;0,VLOOKUP([1]収支予測!D237,#REF!,2),0)</f>
        <v>0</v>
      </c>
    </row>
    <row r="238" spans="6:6">
      <c r="F238" s="198">
        <f>IF(D238&lt;&gt;0,VLOOKUP([1]収支予測!D238,#REF!,2),0)</f>
        <v>0</v>
      </c>
    </row>
    <row r="239" spans="6:6">
      <c r="F239" s="198">
        <f>IF(D239&lt;&gt;0,VLOOKUP([1]収支予測!D239,#REF!,2),0)</f>
        <v>0</v>
      </c>
    </row>
    <row r="240" spans="6:6">
      <c r="F240" s="198">
        <f>IF(D240&lt;&gt;0,VLOOKUP([1]収支予測!D240,#REF!,2),0)</f>
        <v>0</v>
      </c>
    </row>
    <row r="241" spans="6:6">
      <c r="F241" s="198">
        <f>IF(D241&lt;&gt;0,VLOOKUP([1]収支予測!D241,#REF!,2),0)</f>
        <v>0</v>
      </c>
    </row>
    <row r="242" spans="6:6">
      <c r="F242" s="198">
        <f>IF(D242&lt;&gt;0,VLOOKUP([1]収支予測!D242,#REF!,2),0)</f>
        <v>0</v>
      </c>
    </row>
    <row r="243" spans="6:6">
      <c r="F243" s="198">
        <f>IF(D243&lt;&gt;0,VLOOKUP([1]収支予測!D243,#REF!,2),0)</f>
        <v>0</v>
      </c>
    </row>
    <row r="244" spans="6:6">
      <c r="F244" s="198">
        <f>IF(D244&lt;&gt;0,VLOOKUP([1]収支予測!D244,#REF!,2),0)</f>
        <v>0</v>
      </c>
    </row>
    <row r="245" spans="6:6">
      <c r="F245" s="198">
        <f>IF(D245&lt;&gt;0,VLOOKUP([1]収支予測!D245,#REF!,2),0)</f>
        <v>0</v>
      </c>
    </row>
    <row r="246" spans="6:6">
      <c r="F246" s="198">
        <f>IF(D246&lt;&gt;0,VLOOKUP([1]収支予測!D246,#REF!,2),0)</f>
        <v>0</v>
      </c>
    </row>
    <row r="247" spans="6:6">
      <c r="F247" s="198">
        <f>IF(D247&lt;&gt;0,VLOOKUP([1]収支予測!D247,#REF!,2),0)</f>
        <v>0</v>
      </c>
    </row>
    <row r="248" spans="6:6">
      <c r="F248" s="198">
        <f>IF(D248&lt;&gt;0,VLOOKUP([1]収支予測!D248,#REF!,2),0)</f>
        <v>0</v>
      </c>
    </row>
    <row r="249" spans="6:6">
      <c r="F249" s="198">
        <f>IF(D249&lt;&gt;0,VLOOKUP([1]収支予測!D249,#REF!,2),0)</f>
        <v>0</v>
      </c>
    </row>
    <row r="250" spans="6:6">
      <c r="F250" s="198">
        <f>IF(D250&lt;&gt;0,VLOOKUP([1]収支予測!D250,#REF!,2),0)</f>
        <v>0</v>
      </c>
    </row>
    <row r="251" spans="6:6">
      <c r="F251" s="198">
        <f>IF(D251&lt;&gt;0,VLOOKUP([1]収支予測!D251,#REF!,2),0)</f>
        <v>0</v>
      </c>
    </row>
    <row r="252" spans="6:6">
      <c r="F252" s="198">
        <f>IF(D252&lt;&gt;0,VLOOKUP([1]収支予測!D252,#REF!,2),0)</f>
        <v>0</v>
      </c>
    </row>
    <row r="253" spans="6:6">
      <c r="F253" s="198">
        <f>IF(D253&lt;&gt;0,VLOOKUP([1]収支予測!D253,#REF!,2),0)</f>
        <v>0</v>
      </c>
    </row>
    <row r="254" spans="6:6">
      <c r="F254" s="198">
        <f>IF(D254&lt;&gt;0,VLOOKUP([1]収支予測!D254,#REF!,2),0)</f>
        <v>0</v>
      </c>
    </row>
    <row r="255" spans="6:6">
      <c r="F255" s="198">
        <f>IF(D255&lt;&gt;0,VLOOKUP([1]収支予測!D255,#REF!,2),0)</f>
        <v>0</v>
      </c>
    </row>
    <row r="256" spans="6:6">
      <c r="F256" s="198">
        <f>IF(D256&lt;&gt;0,VLOOKUP([1]収支予測!D256,#REF!,2),0)</f>
        <v>0</v>
      </c>
    </row>
    <row r="257" spans="6:6">
      <c r="F257" s="198">
        <f>IF(D257&lt;&gt;0,VLOOKUP([1]収支予測!D257,#REF!,2),0)</f>
        <v>0</v>
      </c>
    </row>
    <row r="258" spans="6:6">
      <c r="F258" s="198">
        <f>IF(D258&lt;&gt;0,VLOOKUP([1]収支予測!D258,#REF!,2),0)</f>
        <v>0</v>
      </c>
    </row>
    <row r="259" spans="6:6">
      <c r="F259" s="198">
        <f>IF(D259&lt;&gt;0,VLOOKUP([1]収支予測!D259,#REF!,2),0)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月次BS</vt:lpstr>
      <vt:lpstr>BS千円</vt:lpstr>
      <vt:lpstr>月次PL</vt:lpstr>
      <vt:lpstr>PL推移</vt:lpstr>
      <vt:lpstr>PL予実対比</vt:lpstr>
      <vt:lpstr>CF推移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2026-08-26T02:45:25Z</dcterms:modified>
</cp:coreProperties>
</file>